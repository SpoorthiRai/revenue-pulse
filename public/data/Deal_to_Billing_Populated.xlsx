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300" tabRatio="500" firstSheet="1" activeTab="4"/>
  </bookViews>
  <sheets>
    <sheet name="Masters" sheetId="1" r:id="rId1"/>
    <sheet name="Enquiry" sheetId="2" r:id="rId2"/>
    <sheet name="Deal" sheetId="3" r:id="rId3"/>
    <sheet name="PO_Workflow" sheetId="4" r:id="rId4"/>
    <sheet name="Input_PO" sheetId="5" r:id="rId5"/>
    <sheet name="Contact" sheetId="8" r:id="rId6"/>
  </sheets>
  <definedNames>
    <definedName name="AssignedTo">Masters!$W$2:$W$8</definedName>
    <definedName name="CFOApproval">Masters!$O$2:$O$4</definedName>
    <definedName name="Consulting">Masters!$AK$2:$AK$4</definedName>
    <definedName name="Cybersecurity">Masters!$AM$2:$AM$2</definedName>
    <definedName name="DealStage">Masters!$C$2:$C$6</definedName>
    <definedName name="Finance">Masters!$AG$2:$AG$3</definedName>
    <definedName name="InvoiceStatus">Masters!$K$2:$K$6</definedName>
    <definedName name="InvoiceTerms">Masters!$AO$2:$AO$4</definedName>
    <definedName name="InvoiceType">Masters!$M$2:$M$4</definedName>
    <definedName name="LeadSource">Masters!$Y$2:$Y$9</definedName>
    <definedName name="LeadStatus">Masters!$A$2:$A$8</definedName>
    <definedName name="Marketing">Masters!$AE$2:$AE$4</definedName>
    <definedName name="PaymentCadence">Masters!$G$2:$G$6</definedName>
    <definedName name="PaymentStatus">Masters!$I$2:$I$4</definedName>
    <definedName name="POStatus">Masters!$S$2:$S$4</definedName>
    <definedName name="PostSales">Masters!$AC$2:$AC$4</definedName>
    <definedName name="POValidated">Masters!$U$2:$U$3</definedName>
    <definedName name="PreSales">Masters!$AA$2:$AA$4</definedName>
    <definedName name="ReminderStatus">Masters!$Q$2:$Q$5</definedName>
    <definedName name="ServicePillar">Masters!$E$2:$E$8</definedName>
    <definedName name="Software_Dev">Masters!$AI$2:$AI$4</definedName>
  </definedNames>
  <calcPr calcId="152511" iterateDelta="1E-4"/>
</workbook>
</file>

<file path=xl/calcChain.xml><?xml version="1.0" encoding="utf-8"?>
<calcChain xmlns="http://schemas.openxmlformats.org/spreadsheetml/2006/main">
  <c r="G502" i="8" l="1"/>
  <c r="B502" i="8"/>
  <c r="A502" i="8"/>
  <c r="G501" i="8"/>
  <c r="B501" i="8"/>
  <c r="A501" i="8"/>
  <c r="G500" i="8"/>
  <c r="B500" i="8"/>
  <c r="A500" i="8"/>
  <c r="G499" i="8"/>
  <c r="B499" i="8"/>
  <c r="A499" i="8"/>
  <c r="G498" i="8"/>
  <c r="B498" i="8"/>
  <c r="A498" i="8"/>
  <c r="G497" i="8"/>
  <c r="B497" i="8"/>
  <c r="A497" i="8"/>
  <c r="G496" i="8"/>
  <c r="B496" i="8"/>
  <c r="A496" i="8"/>
  <c r="G495" i="8"/>
  <c r="B495" i="8"/>
  <c r="A495" i="8"/>
  <c r="G494" i="8"/>
  <c r="B494" i="8"/>
  <c r="A494" i="8"/>
  <c r="G493" i="8"/>
  <c r="B493" i="8"/>
  <c r="A493" i="8"/>
  <c r="G492" i="8"/>
  <c r="B492" i="8"/>
  <c r="A492" i="8"/>
  <c r="G491" i="8"/>
  <c r="B491" i="8"/>
  <c r="A491" i="8"/>
  <c r="G490" i="8"/>
  <c r="B490" i="8"/>
  <c r="A490" i="8"/>
  <c r="G489" i="8"/>
  <c r="B489" i="8"/>
  <c r="A489" i="8"/>
  <c r="G488" i="8"/>
  <c r="B488" i="8"/>
  <c r="A488" i="8"/>
  <c r="G487" i="8"/>
  <c r="B487" i="8"/>
  <c r="A487" i="8"/>
  <c r="G486" i="8"/>
  <c r="B486" i="8"/>
  <c r="A486" i="8"/>
  <c r="G485" i="8"/>
  <c r="B485" i="8"/>
  <c r="A485" i="8"/>
  <c r="G484" i="8"/>
  <c r="B484" i="8"/>
  <c r="A484" i="8"/>
  <c r="G483" i="8"/>
  <c r="B483" i="8"/>
  <c r="A483" i="8"/>
  <c r="G482" i="8"/>
  <c r="B482" i="8"/>
  <c r="A482" i="8"/>
  <c r="G481" i="8"/>
  <c r="B481" i="8"/>
  <c r="A481" i="8"/>
  <c r="G480" i="8"/>
  <c r="B480" i="8"/>
  <c r="A480" i="8"/>
  <c r="G479" i="8"/>
  <c r="B479" i="8"/>
  <c r="A479" i="8"/>
  <c r="G478" i="8"/>
  <c r="B478" i="8"/>
  <c r="A478" i="8"/>
  <c r="G477" i="8"/>
  <c r="B477" i="8"/>
  <c r="A477" i="8"/>
  <c r="G476" i="8"/>
  <c r="B476" i="8"/>
  <c r="A476" i="8"/>
  <c r="G475" i="8"/>
  <c r="B475" i="8"/>
  <c r="A475" i="8"/>
  <c r="G474" i="8"/>
  <c r="B474" i="8"/>
  <c r="A474" i="8"/>
  <c r="G473" i="8"/>
  <c r="B473" i="8"/>
  <c r="A473" i="8"/>
  <c r="G472" i="8"/>
  <c r="B472" i="8"/>
  <c r="A472" i="8"/>
  <c r="G471" i="8"/>
  <c r="B471" i="8"/>
  <c r="A471" i="8"/>
  <c r="G470" i="8"/>
  <c r="B470" i="8"/>
  <c r="A470" i="8"/>
  <c r="G469" i="8"/>
  <c r="B469" i="8"/>
  <c r="A469" i="8"/>
  <c r="G468" i="8"/>
  <c r="B468" i="8"/>
  <c r="A468" i="8"/>
  <c r="G467" i="8"/>
  <c r="B467" i="8"/>
  <c r="A467" i="8"/>
  <c r="G466" i="8"/>
  <c r="B466" i="8"/>
  <c r="A466" i="8"/>
  <c r="G465" i="8"/>
  <c r="B465" i="8"/>
  <c r="A465" i="8"/>
  <c r="G464" i="8"/>
  <c r="B464" i="8"/>
  <c r="A464" i="8"/>
  <c r="G463" i="8"/>
  <c r="B463" i="8"/>
  <c r="A463" i="8"/>
  <c r="G462" i="8"/>
  <c r="B462" i="8"/>
  <c r="A462" i="8"/>
  <c r="G461" i="8"/>
  <c r="B461" i="8"/>
  <c r="A461" i="8"/>
  <c r="G460" i="8"/>
  <c r="B460" i="8"/>
  <c r="A460" i="8"/>
  <c r="G459" i="8"/>
  <c r="B459" i="8"/>
  <c r="A459" i="8"/>
  <c r="G458" i="8"/>
  <c r="B458" i="8"/>
  <c r="A458" i="8"/>
  <c r="G457" i="8"/>
  <c r="B457" i="8"/>
  <c r="A457" i="8"/>
  <c r="G456" i="8"/>
  <c r="B456" i="8"/>
  <c r="A456" i="8"/>
  <c r="G455" i="8"/>
  <c r="B455" i="8"/>
  <c r="A455" i="8"/>
  <c r="G454" i="8"/>
  <c r="B454" i="8"/>
  <c r="A454" i="8"/>
  <c r="G453" i="8"/>
  <c r="B453" i="8"/>
  <c r="A453" i="8"/>
  <c r="G452" i="8"/>
  <c r="B452" i="8"/>
  <c r="A452" i="8"/>
  <c r="G451" i="8"/>
  <c r="B451" i="8"/>
  <c r="A451" i="8"/>
  <c r="G450" i="8"/>
  <c r="B450" i="8"/>
  <c r="A450" i="8"/>
  <c r="G449" i="8"/>
  <c r="B449" i="8"/>
  <c r="A449" i="8"/>
  <c r="G448" i="8"/>
  <c r="B448" i="8"/>
  <c r="A448" i="8"/>
  <c r="G447" i="8"/>
  <c r="B447" i="8"/>
  <c r="A447" i="8"/>
  <c r="G446" i="8"/>
  <c r="B446" i="8"/>
  <c r="A446" i="8"/>
  <c r="G445" i="8"/>
  <c r="B445" i="8"/>
  <c r="A445" i="8"/>
  <c r="G444" i="8"/>
  <c r="B444" i="8"/>
  <c r="A444" i="8"/>
  <c r="G443" i="8"/>
  <c r="B443" i="8"/>
  <c r="A443" i="8"/>
  <c r="G442" i="8"/>
  <c r="B442" i="8"/>
  <c r="A442" i="8"/>
  <c r="G441" i="8"/>
  <c r="B441" i="8"/>
  <c r="A441" i="8"/>
  <c r="G440" i="8"/>
  <c r="B440" i="8"/>
  <c r="A440" i="8"/>
  <c r="G439" i="8"/>
  <c r="B439" i="8"/>
  <c r="A439" i="8"/>
  <c r="G438" i="8"/>
  <c r="B438" i="8"/>
  <c r="A438" i="8"/>
  <c r="G437" i="8"/>
  <c r="B437" i="8"/>
  <c r="A437" i="8"/>
  <c r="G436" i="8"/>
  <c r="B436" i="8"/>
  <c r="A436" i="8"/>
  <c r="G435" i="8"/>
  <c r="B435" i="8"/>
  <c r="A435" i="8"/>
  <c r="G434" i="8"/>
  <c r="B434" i="8"/>
  <c r="A434" i="8"/>
  <c r="G433" i="8"/>
  <c r="B433" i="8"/>
  <c r="A433" i="8"/>
  <c r="G432" i="8"/>
  <c r="B432" i="8"/>
  <c r="A432" i="8"/>
  <c r="G431" i="8"/>
  <c r="B431" i="8"/>
  <c r="A431" i="8"/>
  <c r="G430" i="8"/>
  <c r="B430" i="8"/>
  <c r="A430" i="8"/>
  <c r="G429" i="8"/>
  <c r="B429" i="8"/>
  <c r="A429" i="8"/>
  <c r="G428" i="8"/>
  <c r="B428" i="8"/>
  <c r="A428" i="8"/>
  <c r="G427" i="8"/>
  <c r="B427" i="8"/>
  <c r="A427" i="8"/>
  <c r="G426" i="8"/>
  <c r="B426" i="8"/>
  <c r="A426" i="8"/>
  <c r="G425" i="8"/>
  <c r="B425" i="8"/>
  <c r="A425" i="8"/>
  <c r="G424" i="8"/>
  <c r="B424" i="8"/>
  <c r="A424" i="8"/>
  <c r="G423" i="8"/>
  <c r="B423" i="8"/>
  <c r="A423" i="8"/>
  <c r="G422" i="8"/>
  <c r="B422" i="8"/>
  <c r="A422" i="8"/>
  <c r="G421" i="8"/>
  <c r="B421" i="8"/>
  <c r="A421" i="8"/>
  <c r="G420" i="8"/>
  <c r="B420" i="8"/>
  <c r="A420" i="8"/>
  <c r="G419" i="8"/>
  <c r="B419" i="8"/>
  <c r="A419" i="8"/>
  <c r="G418" i="8"/>
  <c r="B418" i="8"/>
  <c r="A418" i="8"/>
  <c r="G417" i="8"/>
  <c r="B417" i="8"/>
  <c r="A417" i="8"/>
  <c r="G416" i="8"/>
  <c r="B416" i="8"/>
  <c r="A416" i="8"/>
  <c r="G415" i="8"/>
  <c r="B415" i="8"/>
  <c r="A415" i="8"/>
  <c r="G414" i="8"/>
  <c r="B414" i="8"/>
  <c r="A414" i="8"/>
  <c r="G413" i="8"/>
  <c r="B413" i="8"/>
  <c r="A413" i="8"/>
  <c r="G412" i="8"/>
  <c r="B412" i="8"/>
  <c r="A412" i="8"/>
  <c r="G411" i="8"/>
  <c r="B411" i="8"/>
  <c r="A411" i="8"/>
  <c r="G410" i="8"/>
  <c r="B410" i="8"/>
  <c r="A410" i="8"/>
  <c r="G409" i="8"/>
  <c r="B409" i="8"/>
  <c r="A409" i="8"/>
  <c r="G408" i="8"/>
  <c r="B408" i="8"/>
  <c r="A408" i="8"/>
  <c r="G407" i="8"/>
  <c r="B407" i="8"/>
  <c r="A407" i="8"/>
  <c r="G406" i="8"/>
  <c r="B406" i="8"/>
  <c r="A406" i="8"/>
  <c r="G405" i="8"/>
  <c r="B405" i="8"/>
  <c r="A405" i="8"/>
  <c r="G404" i="8"/>
  <c r="B404" i="8"/>
  <c r="A404" i="8"/>
  <c r="G403" i="8"/>
  <c r="B403" i="8"/>
  <c r="A403" i="8"/>
  <c r="G402" i="8"/>
  <c r="B402" i="8"/>
  <c r="A402" i="8"/>
  <c r="G401" i="8"/>
  <c r="B401" i="8"/>
  <c r="A401" i="8"/>
  <c r="G400" i="8"/>
  <c r="B400" i="8"/>
  <c r="A400" i="8"/>
  <c r="G399" i="8"/>
  <c r="B399" i="8"/>
  <c r="A399" i="8"/>
  <c r="G398" i="8"/>
  <c r="B398" i="8"/>
  <c r="A398" i="8"/>
  <c r="G397" i="8"/>
  <c r="B397" i="8"/>
  <c r="A397" i="8"/>
  <c r="G396" i="8"/>
  <c r="B396" i="8"/>
  <c r="A396" i="8"/>
  <c r="G395" i="8"/>
  <c r="B395" i="8"/>
  <c r="A395" i="8"/>
  <c r="G394" i="8"/>
  <c r="B394" i="8"/>
  <c r="A394" i="8"/>
  <c r="G393" i="8"/>
  <c r="B393" i="8"/>
  <c r="A393" i="8"/>
  <c r="G392" i="8"/>
  <c r="B392" i="8"/>
  <c r="A392" i="8"/>
  <c r="G391" i="8"/>
  <c r="B391" i="8"/>
  <c r="A391" i="8"/>
  <c r="G390" i="8"/>
  <c r="B390" i="8"/>
  <c r="A390" i="8"/>
  <c r="G389" i="8"/>
  <c r="B389" i="8"/>
  <c r="A389" i="8"/>
  <c r="G388" i="8"/>
  <c r="B388" i="8"/>
  <c r="A388" i="8"/>
  <c r="G387" i="8"/>
  <c r="B387" i="8"/>
  <c r="A387" i="8"/>
  <c r="G386" i="8"/>
  <c r="B386" i="8"/>
  <c r="A386" i="8"/>
  <c r="G385" i="8"/>
  <c r="B385" i="8"/>
  <c r="A385" i="8"/>
  <c r="G384" i="8"/>
  <c r="B384" i="8"/>
  <c r="A384" i="8"/>
  <c r="G383" i="8"/>
  <c r="B383" i="8"/>
  <c r="A383" i="8"/>
  <c r="G382" i="8"/>
  <c r="B382" i="8"/>
  <c r="A382" i="8"/>
  <c r="G381" i="8"/>
  <c r="B381" i="8"/>
  <c r="A381" i="8"/>
  <c r="G380" i="8"/>
  <c r="B380" i="8"/>
  <c r="A380" i="8"/>
  <c r="G379" i="8"/>
  <c r="B379" i="8"/>
  <c r="A379" i="8"/>
  <c r="G378" i="8"/>
  <c r="B378" i="8"/>
  <c r="A378" i="8"/>
  <c r="G377" i="8"/>
  <c r="B377" i="8"/>
  <c r="A377" i="8"/>
  <c r="G376" i="8"/>
  <c r="B376" i="8"/>
  <c r="A376" i="8"/>
  <c r="G375" i="8"/>
  <c r="B375" i="8"/>
  <c r="A375" i="8"/>
  <c r="G374" i="8"/>
  <c r="B374" i="8"/>
  <c r="A374" i="8"/>
  <c r="G373" i="8"/>
  <c r="B373" i="8"/>
  <c r="A373" i="8"/>
  <c r="G372" i="8"/>
  <c r="B372" i="8"/>
  <c r="A372" i="8"/>
  <c r="G371" i="8"/>
  <c r="B371" i="8"/>
  <c r="A371" i="8"/>
  <c r="G370" i="8"/>
  <c r="B370" i="8"/>
  <c r="A370" i="8"/>
  <c r="G369" i="8"/>
  <c r="B369" i="8"/>
  <c r="A369" i="8"/>
  <c r="G368" i="8"/>
  <c r="B368" i="8"/>
  <c r="A368" i="8"/>
  <c r="G367" i="8"/>
  <c r="B367" i="8"/>
  <c r="A367" i="8"/>
  <c r="G366" i="8"/>
  <c r="B366" i="8"/>
  <c r="A366" i="8"/>
  <c r="G365" i="8"/>
  <c r="B365" i="8"/>
  <c r="A365" i="8"/>
  <c r="G364" i="8"/>
  <c r="B364" i="8"/>
  <c r="A364" i="8"/>
  <c r="G363" i="8"/>
  <c r="B363" i="8"/>
  <c r="A363" i="8"/>
  <c r="G362" i="8"/>
  <c r="B362" i="8"/>
  <c r="A362" i="8"/>
  <c r="G361" i="8"/>
  <c r="B361" i="8"/>
  <c r="A361" i="8"/>
  <c r="G360" i="8"/>
  <c r="B360" i="8"/>
  <c r="A360" i="8"/>
  <c r="G359" i="8"/>
  <c r="B359" i="8"/>
  <c r="A359" i="8"/>
  <c r="G358" i="8"/>
  <c r="B358" i="8"/>
  <c r="A358" i="8"/>
  <c r="G357" i="8"/>
  <c r="B357" i="8"/>
  <c r="A357" i="8"/>
  <c r="G356" i="8"/>
  <c r="B356" i="8"/>
  <c r="A356" i="8"/>
  <c r="G355" i="8"/>
  <c r="B355" i="8"/>
  <c r="A355" i="8"/>
  <c r="G354" i="8"/>
  <c r="B354" i="8"/>
  <c r="A354" i="8"/>
  <c r="G353" i="8"/>
  <c r="B353" i="8"/>
  <c r="A353" i="8"/>
  <c r="G352" i="8"/>
  <c r="B352" i="8"/>
  <c r="A352" i="8"/>
  <c r="G351" i="8"/>
  <c r="B351" i="8"/>
  <c r="A351" i="8"/>
  <c r="G350" i="8"/>
  <c r="B350" i="8"/>
  <c r="A350" i="8"/>
  <c r="G349" i="8"/>
  <c r="B349" i="8"/>
  <c r="A349" i="8"/>
  <c r="G348" i="8"/>
  <c r="B348" i="8"/>
  <c r="A348" i="8"/>
  <c r="G347" i="8"/>
  <c r="B347" i="8"/>
  <c r="A347" i="8"/>
  <c r="G346" i="8"/>
  <c r="B346" i="8"/>
  <c r="A346" i="8"/>
  <c r="G345" i="8"/>
  <c r="B345" i="8"/>
  <c r="A345" i="8"/>
  <c r="G344" i="8"/>
  <c r="B344" i="8"/>
  <c r="A344" i="8"/>
  <c r="G343" i="8"/>
  <c r="B343" i="8"/>
  <c r="A343" i="8"/>
  <c r="G342" i="8"/>
  <c r="B342" i="8"/>
  <c r="A342" i="8"/>
  <c r="G341" i="8"/>
  <c r="B341" i="8"/>
  <c r="A341" i="8"/>
  <c r="G340" i="8"/>
  <c r="B340" i="8"/>
  <c r="A340" i="8"/>
  <c r="G339" i="8"/>
  <c r="B339" i="8"/>
  <c r="A339" i="8"/>
  <c r="G338" i="8"/>
  <c r="B338" i="8"/>
  <c r="A338" i="8"/>
  <c r="G337" i="8"/>
  <c r="B337" i="8"/>
  <c r="A337" i="8"/>
  <c r="G336" i="8"/>
  <c r="B336" i="8"/>
  <c r="A336" i="8"/>
  <c r="G335" i="8"/>
  <c r="B335" i="8"/>
  <c r="A335" i="8"/>
  <c r="G334" i="8"/>
  <c r="B334" i="8"/>
  <c r="A334" i="8"/>
  <c r="G333" i="8"/>
  <c r="B333" i="8"/>
  <c r="A333" i="8"/>
  <c r="G332" i="8"/>
  <c r="B332" i="8"/>
  <c r="A332" i="8"/>
  <c r="G331" i="8"/>
  <c r="B331" i="8"/>
  <c r="A331" i="8"/>
  <c r="G330" i="8"/>
  <c r="B330" i="8"/>
  <c r="A330" i="8"/>
  <c r="G329" i="8"/>
  <c r="B329" i="8"/>
  <c r="A329" i="8"/>
  <c r="G328" i="8"/>
  <c r="B328" i="8"/>
  <c r="A328" i="8"/>
  <c r="G327" i="8"/>
  <c r="B327" i="8"/>
  <c r="A327" i="8"/>
  <c r="G326" i="8"/>
  <c r="B326" i="8"/>
  <c r="A326" i="8"/>
  <c r="G325" i="8"/>
  <c r="B325" i="8"/>
  <c r="A325" i="8"/>
  <c r="G324" i="8"/>
  <c r="B324" i="8"/>
  <c r="A324" i="8"/>
  <c r="G323" i="8"/>
  <c r="B323" i="8"/>
  <c r="A323" i="8"/>
  <c r="G322" i="8"/>
  <c r="B322" i="8"/>
  <c r="A322" i="8"/>
  <c r="G321" i="8"/>
  <c r="B321" i="8"/>
  <c r="A321" i="8"/>
  <c r="G320" i="8"/>
  <c r="B320" i="8"/>
  <c r="A320" i="8"/>
  <c r="G319" i="8"/>
  <c r="B319" i="8"/>
  <c r="A319" i="8"/>
  <c r="G318" i="8"/>
  <c r="B318" i="8"/>
  <c r="A318" i="8"/>
  <c r="G317" i="8"/>
  <c r="B317" i="8"/>
  <c r="A317" i="8"/>
  <c r="G316" i="8"/>
  <c r="B316" i="8"/>
  <c r="A316" i="8"/>
  <c r="G315" i="8"/>
  <c r="B315" i="8"/>
  <c r="A315" i="8"/>
  <c r="G314" i="8"/>
  <c r="B314" i="8"/>
  <c r="A314" i="8"/>
  <c r="G313" i="8"/>
  <c r="B313" i="8"/>
  <c r="A313" i="8"/>
  <c r="G312" i="8"/>
  <c r="B312" i="8"/>
  <c r="A312" i="8"/>
  <c r="G311" i="8"/>
  <c r="B311" i="8"/>
  <c r="A311" i="8"/>
  <c r="G310" i="8"/>
  <c r="B310" i="8"/>
  <c r="A310" i="8"/>
  <c r="G309" i="8"/>
  <c r="B309" i="8"/>
  <c r="A309" i="8"/>
  <c r="G308" i="8"/>
  <c r="B308" i="8"/>
  <c r="A308" i="8"/>
  <c r="G307" i="8"/>
  <c r="B307" i="8"/>
  <c r="A307" i="8"/>
  <c r="G306" i="8"/>
  <c r="B306" i="8"/>
  <c r="A306" i="8"/>
  <c r="G305" i="8"/>
  <c r="B305" i="8"/>
  <c r="A305" i="8"/>
  <c r="G304" i="8"/>
  <c r="B304" i="8"/>
  <c r="A304" i="8"/>
  <c r="G303" i="8"/>
  <c r="B303" i="8"/>
  <c r="A303" i="8"/>
  <c r="G302" i="8"/>
  <c r="B302" i="8"/>
  <c r="A302" i="8"/>
  <c r="G301" i="8"/>
  <c r="B301" i="8"/>
  <c r="A301" i="8"/>
  <c r="G300" i="8"/>
  <c r="B300" i="8"/>
  <c r="A300" i="8"/>
  <c r="G299" i="8"/>
  <c r="B299" i="8"/>
  <c r="A299" i="8"/>
  <c r="G298" i="8"/>
  <c r="B298" i="8"/>
  <c r="A298" i="8"/>
  <c r="G297" i="8"/>
  <c r="B297" i="8"/>
  <c r="A297" i="8"/>
  <c r="G296" i="8"/>
  <c r="B296" i="8"/>
  <c r="A296" i="8"/>
  <c r="G295" i="8"/>
  <c r="B295" i="8"/>
  <c r="A295" i="8"/>
  <c r="G294" i="8"/>
  <c r="B294" i="8"/>
  <c r="A294" i="8"/>
  <c r="G293" i="8"/>
  <c r="B293" i="8"/>
  <c r="A293" i="8"/>
  <c r="G292" i="8"/>
  <c r="B292" i="8"/>
  <c r="A292" i="8"/>
  <c r="G291" i="8"/>
  <c r="B291" i="8"/>
  <c r="A291" i="8"/>
  <c r="G290" i="8"/>
  <c r="B290" i="8"/>
  <c r="A290" i="8"/>
  <c r="G289" i="8"/>
  <c r="B289" i="8"/>
  <c r="A289" i="8"/>
  <c r="G288" i="8"/>
  <c r="B288" i="8"/>
  <c r="A288" i="8"/>
  <c r="G287" i="8"/>
  <c r="B287" i="8"/>
  <c r="A287" i="8"/>
  <c r="G286" i="8"/>
  <c r="B286" i="8"/>
  <c r="A286" i="8"/>
  <c r="G285" i="8"/>
  <c r="B285" i="8"/>
  <c r="A285" i="8"/>
  <c r="G284" i="8"/>
  <c r="B284" i="8"/>
  <c r="A284" i="8"/>
  <c r="G283" i="8"/>
  <c r="B283" i="8"/>
  <c r="A283" i="8"/>
  <c r="G282" i="8"/>
  <c r="B282" i="8"/>
  <c r="A282" i="8"/>
  <c r="G281" i="8"/>
  <c r="B281" i="8"/>
  <c r="A281" i="8"/>
  <c r="G280" i="8"/>
  <c r="B280" i="8"/>
  <c r="A280" i="8"/>
  <c r="G279" i="8"/>
  <c r="B279" i="8"/>
  <c r="A279" i="8"/>
  <c r="G278" i="8"/>
  <c r="B278" i="8"/>
  <c r="A278" i="8"/>
  <c r="G277" i="8"/>
  <c r="B277" i="8"/>
  <c r="A277" i="8"/>
  <c r="G276" i="8"/>
  <c r="B276" i="8"/>
  <c r="A276" i="8"/>
  <c r="G275" i="8"/>
  <c r="B275" i="8"/>
  <c r="A275" i="8"/>
  <c r="G274" i="8"/>
  <c r="B274" i="8"/>
  <c r="A274" i="8"/>
  <c r="G273" i="8"/>
  <c r="B273" i="8"/>
  <c r="A273" i="8"/>
  <c r="G272" i="8"/>
  <c r="B272" i="8"/>
  <c r="A272" i="8"/>
  <c r="G271" i="8"/>
  <c r="B271" i="8"/>
  <c r="A271" i="8"/>
  <c r="G270" i="8"/>
  <c r="B270" i="8"/>
  <c r="A270" i="8"/>
  <c r="G269" i="8"/>
  <c r="B269" i="8"/>
  <c r="A269" i="8"/>
  <c r="G268" i="8"/>
  <c r="B268" i="8"/>
  <c r="A268" i="8"/>
  <c r="G267" i="8"/>
  <c r="B267" i="8"/>
  <c r="A267" i="8"/>
  <c r="G266" i="8"/>
  <c r="B266" i="8"/>
  <c r="A266" i="8"/>
  <c r="G265" i="8"/>
  <c r="B265" i="8"/>
  <c r="A265" i="8"/>
  <c r="G264" i="8"/>
  <c r="B264" i="8"/>
  <c r="A264" i="8"/>
  <c r="G263" i="8"/>
  <c r="B263" i="8"/>
  <c r="A263" i="8"/>
  <c r="G262" i="8"/>
  <c r="B262" i="8"/>
  <c r="A262" i="8"/>
  <c r="G261" i="8"/>
  <c r="B261" i="8"/>
  <c r="A261" i="8"/>
  <c r="G260" i="8"/>
  <c r="B260" i="8"/>
  <c r="A260" i="8"/>
  <c r="G259" i="8"/>
  <c r="B259" i="8"/>
  <c r="A259" i="8"/>
  <c r="G258" i="8"/>
  <c r="B258" i="8"/>
  <c r="A258" i="8"/>
  <c r="G257" i="8"/>
  <c r="B257" i="8"/>
  <c r="A257" i="8"/>
  <c r="G256" i="8"/>
  <c r="B256" i="8"/>
  <c r="A256" i="8"/>
  <c r="G255" i="8"/>
  <c r="B255" i="8"/>
  <c r="A255" i="8"/>
  <c r="G254" i="8"/>
  <c r="B254" i="8"/>
  <c r="A254" i="8"/>
  <c r="G253" i="8"/>
  <c r="B253" i="8"/>
  <c r="A253" i="8"/>
  <c r="G252" i="8"/>
  <c r="B252" i="8"/>
  <c r="A252" i="8"/>
  <c r="G251" i="8"/>
  <c r="B251" i="8"/>
  <c r="A251" i="8"/>
  <c r="G250" i="8"/>
  <c r="B250" i="8"/>
  <c r="A250" i="8"/>
  <c r="G249" i="8"/>
  <c r="B249" i="8"/>
  <c r="A249" i="8"/>
  <c r="G248" i="8"/>
  <c r="B248" i="8"/>
  <c r="A248" i="8"/>
  <c r="G247" i="8"/>
  <c r="B247" i="8"/>
  <c r="A247" i="8"/>
  <c r="G246" i="8"/>
  <c r="B246" i="8"/>
  <c r="A246" i="8"/>
  <c r="G245" i="8"/>
  <c r="B245" i="8"/>
  <c r="A245" i="8"/>
  <c r="G244" i="8"/>
  <c r="B244" i="8"/>
  <c r="A244" i="8"/>
  <c r="G243" i="8"/>
  <c r="B243" i="8"/>
  <c r="A243" i="8"/>
  <c r="G242" i="8"/>
  <c r="B242" i="8"/>
  <c r="A242" i="8"/>
  <c r="G241" i="8"/>
  <c r="B241" i="8"/>
  <c r="A241" i="8"/>
  <c r="G240" i="8"/>
  <c r="B240" i="8"/>
  <c r="A240" i="8"/>
  <c r="G239" i="8"/>
  <c r="B239" i="8"/>
  <c r="A239" i="8"/>
  <c r="G238" i="8"/>
  <c r="B238" i="8"/>
  <c r="A238" i="8"/>
  <c r="G237" i="8"/>
  <c r="B237" i="8"/>
  <c r="A237" i="8"/>
  <c r="G236" i="8"/>
  <c r="B236" i="8"/>
  <c r="A236" i="8"/>
  <c r="G235" i="8"/>
  <c r="B235" i="8"/>
  <c r="A235" i="8"/>
  <c r="G234" i="8"/>
  <c r="B234" i="8"/>
  <c r="A234" i="8"/>
  <c r="G233" i="8"/>
  <c r="B233" i="8"/>
  <c r="A233" i="8"/>
  <c r="G232" i="8"/>
  <c r="B232" i="8"/>
  <c r="A232" i="8"/>
  <c r="G231" i="8"/>
  <c r="B231" i="8"/>
  <c r="A231" i="8"/>
  <c r="G230" i="8"/>
  <c r="B230" i="8"/>
  <c r="A230" i="8"/>
  <c r="G229" i="8"/>
  <c r="B229" i="8"/>
  <c r="A229" i="8"/>
  <c r="G228" i="8"/>
  <c r="B228" i="8"/>
  <c r="A228" i="8"/>
  <c r="G227" i="8"/>
  <c r="B227" i="8"/>
  <c r="A227" i="8"/>
  <c r="G226" i="8"/>
  <c r="B226" i="8"/>
  <c r="A226" i="8"/>
  <c r="G225" i="8"/>
  <c r="B225" i="8"/>
  <c r="A225" i="8"/>
  <c r="G224" i="8"/>
  <c r="B224" i="8"/>
  <c r="A224" i="8"/>
  <c r="G223" i="8"/>
  <c r="B223" i="8"/>
  <c r="A223" i="8"/>
  <c r="G222" i="8"/>
  <c r="B222" i="8"/>
  <c r="A222" i="8"/>
  <c r="G221" i="8"/>
  <c r="B221" i="8"/>
  <c r="A221" i="8"/>
  <c r="G220" i="8"/>
  <c r="B220" i="8"/>
  <c r="A220" i="8"/>
  <c r="G219" i="8"/>
  <c r="B219" i="8"/>
  <c r="A219" i="8"/>
  <c r="G218" i="8"/>
  <c r="B218" i="8"/>
  <c r="A218" i="8"/>
  <c r="G217" i="8"/>
  <c r="B217" i="8"/>
  <c r="A217" i="8"/>
  <c r="G216" i="8"/>
  <c r="B216" i="8"/>
  <c r="A216" i="8"/>
  <c r="G215" i="8"/>
  <c r="B215" i="8"/>
  <c r="A215" i="8"/>
  <c r="G214" i="8"/>
  <c r="B214" i="8"/>
  <c r="A214" i="8"/>
  <c r="G213" i="8"/>
  <c r="B213" i="8"/>
  <c r="A213" i="8"/>
  <c r="G212" i="8"/>
  <c r="B212" i="8"/>
  <c r="A212" i="8"/>
  <c r="G211" i="8"/>
  <c r="B211" i="8"/>
  <c r="A211" i="8"/>
  <c r="G210" i="8"/>
  <c r="B210" i="8"/>
  <c r="A210" i="8"/>
  <c r="G209" i="8"/>
  <c r="B209" i="8"/>
  <c r="A209" i="8"/>
  <c r="G208" i="8"/>
  <c r="B208" i="8"/>
  <c r="A208" i="8"/>
  <c r="G207" i="8"/>
  <c r="B207" i="8"/>
  <c r="A207" i="8"/>
  <c r="G206" i="8"/>
  <c r="B206" i="8"/>
  <c r="A206" i="8"/>
  <c r="G205" i="8"/>
  <c r="B205" i="8"/>
  <c r="A205" i="8"/>
  <c r="G204" i="8"/>
  <c r="B204" i="8"/>
  <c r="A204" i="8"/>
  <c r="G203" i="8"/>
  <c r="B203" i="8"/>
  <c r="A203" i="8"/>
  <c r="G202" i="8"/>
  <c r="B202" i="8"/>
  <c r="A202" i="8"/>
  <c r="G201" i="8"/>
  <c r="B201" i="8"/>
  <c r="A201" i="8"/>
  <c r="G200" i="8"/>
  <c r="B200" i="8"/>
  <c r="A200" i="8"/>
  <c r="G199" i="8"/>
  <c r="B199" i="8"/>
  <c r="A199" i="8"/>
  <c r="G198" i="8"/>
  <c r="B198" i="8"/>
  <c r="A198" i="8"/>
  <c r="G197" i="8"/>
  <c r="B197" i="8"/>
  <c r="A197" i="8"/>
  <c r="G196" i="8"/>
  <c r="B196" i="8"/>
  <c r="A196" i="8"/>
  <c r="G195" i="8"/>
  <c r="B195" i="8"/>
  <c r="A195" i="8"/>
  <c r="G194" i="8"/>
  <c r="B194" i="8"/>
  <c r="A194" i="8"/>
  <c r="G193" i="8"/>
  <c r="B193" i="8"/>
  <c r="A193" i="8"/>
  <c r="G192" i="8"/>
  <c r="B192" i="8"/>
  <c r="A192" i="8"/>
  <c r="G191" i="8"/>
  <c r="B191" i="8"/>
  <c r="A191" i="8"/>
  <c r="G190" i="8"/>
  <c r="B190" i="8"/>
  <c r="A190" i="8"/>
  <c r="G189" i="8"/>
  <c r="B189" i="8"/>
  <c r="A189" i="8"/>
  <c r="G188" i="8"/>
  <c r="B188" i="8"/>
  <c r="A188" i="8"/>
  <c r="G187" i="8"/>
  <c r="B187" i="8"/>
  <c r="A187" i="8"/>
  <c r="G186" i="8"/>
  <c r="B186" i="8"/>
  <c r="A186" i="8"/>
  <c r="G185" i="8"/>
  <c r="B185" i="8"/>
  <c r="A185" i="8"/>
  <c r="G184" i="8"/>
  <c r="B184" i="8"/>
  <c r="A184" i="8"/>
  <c r="G183" i="8"/>
  <c r="B183" i="8"/>
  <c r="A183" i="8"/>
  <c r="G182" i="8"/>
  <c r="B182" i="8"/>
  <c r="A182" i="8"/>
  <c r="G181" i="8"/>
  <c r="B181" i="8"/>
  <c r="A181" i="8"/>
  <c r="G180" i="8"/>
  <c r="B180" i="8"/>
  <c r="A180" i="8"/>
  <c r="G179" i="8"/>
  <c r="B179" i="8"/>
  <c r="A179" i="8"/>
  <c r="G178" i="8"/>
  <c r="B178" i="8"/>
  <c r="A178" i="8"/>
  <c r="G177" i="8"/>
  <c r="B177" i="8"/>
  <c r="A177" i="8"/>
  <c r="G176" i="8"/>
  <c r="B176" i="8"/>
  <c r="A176" i="8"/>
  <c r="G175" i="8"/>
  <c r="B175" i="8"/>
  <c r="A175" i="8"/>
  <c r="G174" i="8"/>
  <c r="B174" i="8"/>
  <c r="A174" i="8"/>
  <c r="G173" i="8"/>
  <c r="B173" i="8"/>
  <c r="A173" i="8"/>
  <c r="G172" i="8"/>
  <c r="B172" i="8"/>
  <c r="A172" i="8"/>
  <c r="G171" i="8"/>
  <c r="B171" i="8"/>
  <c r="A171" i="8"/>
  <c r="G170" i="8"/>
  <c r="B170" i="8"/>
  <c r="A170" i="8"/>
  <c r="G169" i="8"/>
  <c r="B169" i="8"/>
  <c r="A169" i="8"/>
  <c r="G168" i="8"/>
  <c r="B168" i="8"/>
  <c r="A168" i="8"/>
  <c r="G167" i="8"/>
  <c r="B167" i="8"/>
  <c r="A167" i="8"/>
  <c r="G166" i="8"/>
  <c r="B166" i="8"/>
  <c r="A166" i="8"/>
  <c r="G165" i="8"/>
  <c r="B165" i="8"/>
  <c r="A165" i="8"/>
  <c r="G164" i="8"/>
  <c r="B164" i="8"/>
  <c r="A164" i="8"/>
  <c r="G163" i="8"/>
  <c r="B163" i="8"/>
  <c r="A163" i="8"/>
  <c r="G162" i="8"/>
  <c r="B162" i="8"/>
  <c r="A162" i="8"/>
  <c r="G161" i="8"/>
  <c r="B161" i="8"/>
  <c r="A161" i="8"/>
  <c r="G160" i="8"/>
  <c r="B160" i="8"/>
  <c r="A160" i="8"/>
  <c r="G159" i="8"/>
  <c r="B159" i="8"/>
  <c r="A159" i="8"/>
  <c r="G158" i="8"/>
  <c r="B158" i="8"/>
  <c r="A158" i="8"/>
  <c r="G157" i="8"/>
  <c r="B157" i="8"/>
  <c r="A157" i="8"/>
  <c r="G156" i="8"/>
  <c r="B156" i="8"/>
  <c r="A156" i="8"/>
  <c r="G155" i="8"/>
  <c r="B155" i="8"/>
  <c r="A155" i="8"/>
  <c r="G154" i="8"/>
  <c r="B154" i="8"/>
  <c r="A154" i="8"/>
  <c r="G153" i="8"/>
  <c r="B153" i="8"/>
  <c r="A153" i="8"/>
  <c r="G152" i="8"/>
  <c r="B152" i="8"/>
  <c r="A152" i="8"/>
  <c r="G151" i="8"/>
  <c r="B151" i="8"/>
  <c r="A151" i="8"/>
  <c r="G150" i="8"/>
  <c r="B150" i="8"/>
  <c r="A150" i="8"/>
  <c r="G149" i="8"/>
  <c r="B149" i="8"/>
  <c r="A149" i="8"/>
  <c r="G148" i="8"/>
  <c r="B148" i="8"/>
  <c r="A148" i="8"/>
  <c r="G147" i="8"/>
  <c r="B147" i="8"/>
  <c r="A147" i="8"/>
  <c r="G146" i="8"/>
  <c r="B146" i="8"/>
  <c r="A146" i="8"/>
  <c r="G145" i="8"/>
  <c r="B145" i="8"/>
  <c r="A145" i="8"/>
  <c r="G144" i="8"/>
  <c r="B144" i="8"/>
  <c r="A144" i="8"/>
  <c r="G143" i="8"/>
  <c r="B143" i="8"/>
  <c r="A143" i="8"/>
  <c r="G142" i="8"/>
  <c r="B142" i="8"/>
  <c r="A142" i="8"/>
  <c r="G141" i="8"/>
  <c r="B141" i="8"/>
  <c r="A141" i="8"/>
  <c r="G140" i="8"/>
  <c r="B140" i="8"/>
  <c r="A140" i="8"/>
  <c r="G139" i="8"/>
  <c r="B139" i="8"/>
  <c r="A139" i="8"/>
  <c r="G138" i="8"/>
  <c r="B138" i="8"/>
  <c r="A138" i="8"/>
  <c r="G137" i="8"/>
  <c r="B137" i="8"/>
  <c r="A137" i="8"/>
  <c r="G136" i="8"/>
  <c r="B136" i="8"/>
  <c r="A136" i="8"/>
  <c r="G135" i="8"/>
  <c r="B135" i="8"/>
  <c r="A135" i="8"/>
  <c r="G134" i="8"/>
  <c r="B134" i="8"/>
  <c r="A134" i="8"/>
  <c r="G133" i="8"/>
  <c r="B133" i="8"/>
  <c r="A133" i="8"/>
  <c r="G132" i="8"/>
  <c r="B132" i="8"/>
  <c r="A132" i="8"/>
  <c r="G131" i="8"/>
  <c r="B131" i="8"/>
  <c r="A131" i="8"/>
  <c r="G130" i="8"/>
  <c r="B130" i="8"/>
  <c r="A130" i="8"/>
  <c r="G129" i="8"/>
  <c r="B129" i="8"/>
  <c r="A129" i="8"/>
  <c r="G128" i="8"/>
  <c r="B128" i="8"/>
  <c r="A128" i="8"/>
  <c r="G127" i="8"/>
  <c r="B127" i="8"/>
  <c r="A127" i="8"/>
  <c r="G126" i="8"/>
  <c r="B126" i="8"/>
  <c r="A126" i="8"/>
  <c r="G125" i="8"/>
  <c r="B125" i="8"/>
  <c r="A125" i="8"/>
  <c r="G124" i="8"/>
  <c r="B124" i="8"/>
  <c r="A124" i="8"/>
  <c r="G123" i="8"/>
  <c r="B123" i="8"/>
  <c r="A123" i="8"/>
  <c r="G122" i="8"/>
  <c r="B122" i="8"/>
  <c r="A122" i="8"/>
  <c r="G121" i="8"/>
  <c r="B121" i="8"/>
  <c r="A121" i="8"/>
  <c r="G120" i="8"/>
  <c r="B120" i="8"/>
  <c r="A120" i="8"/>
  <c r="G119" i="8"/>
  <c r="B119" i="8"/>
  <c r="A119" i="8"/>
  <c r="G118" i="8"/>
  <c r="B118" i="8"/>
  <c r="A118" i="8"/>
  <c r="G117" i="8"/>
  <c r="B117" i="8"/>
  <c r="A117" i="8"/>
  <c r="G116" i="8"/>
  <c r="B116" i="8"/>
  <c r="A116" i="8"/>
  <c r="G115" i="8"/>
  <c r="B115" i="8"/>
  <c r="A115" i="8"/>
  <c r="G114" i="8"/>
  <c r="B114" i="8"/>
  <c r="A114" i="8"/>
  <c r="G113" i="8"/>
  <c r="B113" i="8"/>
  <c r="A113" i="8"/>
  <c r="G112" i="8"/>
  <c r="B112" i="8"/>
  <c r="A112" i="8"/>
  <c r="G111" i="8"/>
  <c r="B111" i="8"/>
  <c r="A111" i="8"/>
  <c r="G110" i="8"/>
  <c r="B110" i="8"/>
  <c r="A110" i="8"/>
  <c r="G109" i="8"/>
  <c r="B109" i="8"/>
  <c r="A109" i="8"/>
  <c r="G108" i="8"/>
  <c r="B108" i="8"/>
  <c r="A108" i="8"/>
  <c r="G107" i="8"/>
  <c r="B107" i="8"/>
  <c r="A107" i="8"/>
  <c r="G106" i="8"/>
  <c r="B106" i="8"/>
  <c r="A106" i="8"/>
  <c r="G105" i="8"/>
  <c r="B105" i="8"/>
  <c r="A105" i="8"/>
  <c r="G104" i="8"/>
  <c r="B104" i="8"/>
  <c r="A104" i="8"/>
  <c r="G103" i="8"/>
  <c r="B103" i="8"/>
  <c r="A103" i="8"/>
  <c r="G102" i="8"/>
  <c r="B102" i="8"/>
  <c r="A102" i="8"/>
  <c r="G101" i="8"/>
  <c r="B101" i="8"/>
  <c r="A101" i="8"/>
  <c r="G100" i="8"/>
  <c r="B100" i="8"/>
  <c r="A100" i="8"/>
  <c r="G99" i="8"/>
  <c r="B99" i="8"/>
  <c r="A99" i="8"/>
  <c r="G98" i="8"/>
  <c r="B98" i="8"/>
  <c r="A98" i="8"/>
  <c r="G97" i="8"/>
  <c r="B97" i="8"/>
  <c r="A97" i="8"/>
  <c r="G96" i="8"/>
  <c r="B96" i="8"/>
  <c r="A96" i="8"/>
  <c r="G95" i="8"/>
  <c r="B95" i="8"/>
  <c r="A95" i="8"/>
  <c r="G94" i="8"/>
  <c r="B94" i="8"/>
  <c r="A94" i="8"/>
  <c r="G93" i="8"/>
  <c r="B93" i="8"/>
  <c r="A93" i="8"/>
  <c r="G92" i="8"/>
  <c r="B92" i="8"/>
  <c r="A92" i="8"/>
  <c r="G91" i="8"/>
  <c r="B91" i="8"/>
  <c r="A91" i="8"/>
  <c r="G90" i="8"/>
  <c r="B90" i="8"/>
  <c r="A90" i="8"/>
  <c r="G89" i="8"/>
  <c r="B89" i="8"/>
  <c r="A89" i="8"/>
  <c r="G88" i="8"/>
  <c r="B88" i="8"/>
  <c r="A88" i="8"/>
  <c r="G87" i="8"/>
  <c r="B87" i="8"/>
  <c r="A87" i="8"/>
  <c r="G86" i="8"/>
  <c r="B86" i="8"/>
  <c r="A86" i="8"/>
  <c r="G85" i="8"/>
  <c r="B85" i="8"/>
  <c r="A85" i="8"/>
  <c r="G84" i="8"/>
  <c r="B84" i="8"/>
  <c r="A84" i="8"/>
  <c r="G83" i="8"/>
  <c r="B83" i="8"/>
  <c r="A83" i="8"/>
  <c r="G82" i="8"/>
  <c r="B82" i="8"/>
  <c r="A82" i="8"/>
  <c r="G81" i="8"/>
  <c r="B81" i="8"/>
  <c r="A81" i="8"/>
  <c r="G80" i="8"/>
  <c r="B80" i="8"/>
  <c r="A80" i="8"/>
  <c r="G79" i="8"/>
  <c r="B79" i="8"/>
  <c r="A79" i="8"/>
  <c r="G78" i="8"/>
  <c r="B78" i="8"/>
  <c r="A78" i="8"/>
  <c r="G77" i="8"/>
  <c r="B77" i="8"/>
  <c r="A77" i="8"/>
  <c r="G76" i="8"/>
  <c r="B76" i="8"/>
  <c r="A76" i="8"/>
  <c r="G75" i="8"/>
  <c r="B75" i="8"/>
  <c r="A75" i="8"/>
  <c r="G74" i="8"/>
  <c r="B74" i="8"/>
  <c r="A74" i="8"/>
  <c r="G73" i="8"/>
  <c r="B73" i="8"/>
  <c r="A73" i="8"/>
  <c r="G72" i="8"/>
  <c r="B72" i="8"/>
  <c r="A72" i="8"/>
  <c r="G71" i="8"/>
  <c r="B71" i="8"/>
  <c r="A71" i="8"/>
  <c r="G70" i="8"/>
  <c r="B70" i="8"/>
  <c r="A70" i="8"/>
  <c r="G69" i="8"/>
  <c r="B69" i="8"/>
  <c r="A69" i="8"/>
  <c r="G68" i="8"/>
  <c r="B68" i="8"/>
  <c r="A68" i="8"/>
  <c r="G67" i="8"/>
  <c r="B67" i="8"/>
  <c r="A67" i="8"/>
  <c r="G66" i="8"/>
  <c r="B66" i="8"/>
  <c r="A66" i="8"/>
  <c r="G65" i="8"/>
  <c r="B65" i="8"/>
  <c r="A65" i="8"/>
  <c r="G64" i="8"/>
  <c r="B64" i="8"/>
  <c r="A64" i="8"/>
  <c r="G63" i="8"/>
  <c r="B63" i="8"/>
  <c r="A63" i="8"/>
  <c r="G62" i="8"/>
  <c r="B62" i="8"/>
  <c r="A62" i="8"/>
  <c r="G61" i="8"/>
  <c r="B61" i="8"/>
  <c r="A61" i="8"/>
  <c r="G60" i="8"/>
  <c r="B60" i="8"/>
  <c r="A60" i="8"/>
  <c r="G59" i="8"/>
  <c r="B59" i="8"/>
  <c r="A59" i="8"/>
  <c r="G58" i="8"/>
  <c r="B58" i="8"/>
  <c r="A58" i="8"/>
  <c r="G57" i="8"/>
  <c r="B57" i="8"/>
  <c r="A57" i="8"/>
  <c r="G56" i="8"/>
  <c r="B56" i="8"/>
  <c r="A56" i="8"/>
  <c r="G55" i="8"/>
  <c r="B55" i="8"/>
  <c r="A55" i="8"/>
  <c r="G54" i="8"/>
  <c r="B54" i="8"/>
  <c r="A54" i="8"/>
  <c r="G53" i="8"/>
  <c r="B53" i="8"/>
  <c r="A53" i="8"/>
  <c r="G52" i="8"/>
  <c r="B52" i="8"/>
  <c r="A52" i="8"/>
  <c r="G51" i="8"/>
  <c r="B51" i="8"/>
  <c r="A51" i="8"/>
  <c r="U301" i="5"/>
  <c r="T301" i="5"/>
  <c r="R301" i="5"/>
  <c r="Q301" i="5"/>
  <c r="O301" i="5"/>
  <c r="L301" i="5"/>
  <c r="K301" i="5"/>
  <c r="M301" i="5" s="1"/>
  <c r="J301" i="5"/>
  <c r="I301" i="5"/>
  <c r="H301" i="5"/>
  <c r="G301" i="5"/>
  <c r="F301" i="5"/>
  <c r="E301" i="5"/>
  <c r="D301" i="5" s="1"/>
  <c r="U300" i="5"/>
  <c r="T300" i="5"/>
  <c r="R300" i="5"/>
  <c r="Q300" i="5"/>
  <c r="O300" i="5"/>
  <c r="L300" i="5"/>
  <c r="K300" i="5"/>
  <c r="M300" i="5" s="1"/>
  <c r="J300" i="5"/>
  <c r="I300" i="5"/>
  <c r="H300" i="5"/>
  <c r="G300" i="5"/>
  <c r="F300" i="5"/>
  <c r="E300" i="5"/>
  <c r="U299" i="5"/>
  <c r="T299" i="5"/>
  <c r="R299" i="5"/>
  <c r="Q299" i="5"/>
  <c r="O299" i="5"/>
  <c r="L299" i="5"/>
  <c r="K299" i="5"/>
  <c r="M299" i="5" s="1"/>
  <c r="J299" i="5"/>
  <c r="I299" i="5"/>
  <c r="H299" i="5"/>
  <c r="G299" i="5"/>
  <c r="F299" i="5"/>
  <c r="E299" i="5"/>
  <c r="D299" i="5" s="1"/>
  <c r="U298" i="5"/>
  <c r="T298" i="5"/>
  <c r="R298" i="5"/>
  <c r="Q298" i="5"/>
  <c r="O298" i="5"/>
  <c r="L298" i="5"/>
  <c r="K298" i="5"/>
  <c r="M298" i="5" s="1"/>
  <c r="J298" i="5"/>
  <c r="I298" i="5"/>
  <c r="H298" i="5"/>
  <c r="G298" i="5"/>
  <c r="F298" i="5"/>
  <c r="E298" i="5"/>
  <c r="U297" i="5"/>
  <c r="T297" i="5"/>
  <c r="R297" i="5"/>
  <c r="Q297" i="5"/>
  <c r="O297" i="5"/>
  <c r="L297" i="5"/>
  <c r="K297" i="5"/>
  <c r="M297" i="5" s="1"/>
  <c r="J297" i="5"/>
  <c r="I297" i="5"/>
  <c r="H297" i="5"/>
  <c r="G297" i="5"/>
  <c r="F297" i="5"/>
  <c r="E297" i="5"/>
  <c r="D297" i="5" s="1"/>
  <c r="U296" i="5"/>
  <c r="T296" i="5"/>
  <c r="R296" i="5"/>
  <c r="Q296" i="5"/>
  <c r="O296" i="5"/>
  <c r="M296" i="5"/>
  <c r="L296" i="5"/>
  <c r="K296" i="5"/>
  <c r="J296" i="5"/>
  <c r="I296" i="5"/>
  <c r="H296" i="5"/>
  <c r="G296" i="5"/>
  <c r="F296" i="5"/>
  <c r="E296" i="5"/>
  <c r="D296" i="5" s="1"/>
  <c r="U295" i="5"/>
  <c r="T295" i="5"/>
  <c r="R295" i="5"/>
  <c r="Q295" i="5"/>
  <c r="O295" i="5"/>
  <c r="L295" i="5"/>
  <c r="K295" i="5"/>
  <c r="M295" i="5" s="1"/>
  <c r="J295" i="5"/>
  <c r="I295" i="5"/>
  <c r="H295" i="5"/>
  <c r="G295" i="5"/>
  <c r="F295" i="5"/>
  <c r="E295" i="5"/>
  <c r="D295" i="5" s="1"/>
  <c r="U294" i="5"/>
  <c r="T294" i="5"/>
  <c r="R294" i="5"/>
  <c r="Q294" i="5"/>
  <c r="O294" i="5"/>
  <c r="M294" i="5"/>
  <c r="L294" i="5"/>
  <c r="K294" i="5"/>
  <c r="J294" i="5"/>
  <c r="I294" i="5"/>
  <c r="H294" i="5"/>
  <c r="G294" i="5"/>
  <c r="F294" i="5"/>
  <c r="E294" i="5"/>
  <c r="D294" i="5" s="1"/>
  <c r="U293" i="5"/>
  <c r="T293" i="5"/>
  <c r="R293" i="5"/>
  <c r="Q293" i="5"/>
  <c r="O293" i="5"/>
  <c r="L293" i="5"/>
  <c r="K293" i="5"/>
  <c r="M293" i="5" s="1"/>
  <c r="J293" i="5"/>
  <c r="I293" i="5"/>
  <c r="H293" i="5"/>
  <c r="G293" i="5"/>
  <c r="F293" i="5"/>
  <c r="E293" i="5"/>
  <c r="D293" i="5" s="1"/>
  <c r="U292" i="5"/>
  <c r="T292" i="5"/>
  <c r="R292" i="5"/>
  <c r="Q292" i="5"/>
  <c r="O292" i="5"/>
  <c r="L292" i="5"/>
  <c r="K292" i="5"/>
  <c r="M292" i="5" s="1"/>
  <c r="J292" i="5"/>
  <c r="I292" i="5"/>
  <c r="H292" i="5"/>
  <c r="G292" i="5"/>
  <c r="F292" i="5"/>
  <c r="E292" i="5"/>
  <c r="U291" i="5"/>
  <c r="T291" i="5"/>
  <c r="R291" i="5"/>
  <c r="Q291" i="5"/>
  <c r="O291" i="5"/>
  <c r="L291" i="5"/>
  <c r="K291" i="5"/>
  <c r="M291" i="5" s="1"/>
  <c r="J291" i="5"/>
  <c r="I291" i="5"/>
  <c r="H291" i="5"/>
  <c r="G291" i="5"/>
  <c r="F291" i="5"/>
  <c r="E291" i="5"/>
  <c r="D291" i="5" s="1"/>
  <c r="U290" i="5"/>
  <c r="T290" i="5"/>
  <c r="R290" i="5"/>
  <c r="Q290" i="5"/>
  <c r="O290" i="5"/>
  <c r="L290" i="5"/>
  <c r="K290" i="5"/>
  <c r="M290" i="5" s="1"/>
  <c r="J290" i="5"/>
  <c r="I290" i="5"/>
  <c r="H290" i="5"/>
  <c r="G290" i="5"/>
  <c r="F290" i="5"/>
  <c r="E290" i="5"/>
  <c r="U289" i="5"/>
  <c r="T289" i="5"/>
  <c r="R289" i="5"/>
  <c r="Q289" i="5"/>
  <c r="O289" i="5"/>
  <c r="L289" i="5"/>
  <c r="K289" i="5"/>
  <c r="M289" i="5" s="1"/>
  <c r="J289" i="5"/>
  <c r="I289" i="5"/>
  <c r="H289" i="5"/>
  <c r="G289" i="5"/>
  <c r="F289" i="5"/>
  <c r="E289" i="5"/>
  <c r="D289" i="5" s="1"/>
  <c r="U288" i="5"/>
  <c r="T288" i="5"/>
  <c r="R288" i="5"/>
  <c r="Q288" i="5"/>
  <c r="O288" i="5"/>
  <c r="M288" i="5"/>
  <c r="L288" i="5"/>
  <c r="K288" i="5"/>
  <c r="J288" i="5"/>
  <c r="I288" i="5"/>
  <c r="H288" i="5"/>
  <c r="G288" i="5"/>
  <c r="F288" i="5"/>
  <c r="E288" i="5"/>
  <c r="D288" i="5" s="1"/>
  <c r="U287" i="5"/>
  <c r="T287" i="5"/>
  <c r="R287" i="5"/>
  <c r="Q287" i="5"/>
  <c r="O287" i="5"/>
  <c r="L287" i="5"/>
  <c r="K287" i="5"/>
  <c r="M287" i="5" s="1"/>
  <c r="J287" i="5"/>
  <c r="I287" i="5"/>
  <c r="H287" i="5"/>
  <c r="G287" i="5"/>
  <c r="F287" i="5"/>
  <c r="E287" i="5"/>
  <c r="D287" i="5" s="1"/>
  <c r="U286" i="5"/>
  <c r="T286" i="5"/>
  <c r="R286" i="5"/>
  <c r="Q286" i="5"/>
  <c r="O286" i="5"/>
  <c r="M286" i="5"/>
  <c r="L286" i="5"/>
  <c r="K286" i="5"/>
  <c r="J286" i="5"/>
  <c r="I286" i="5"/>
  <c r="H286" i="5"/>
  <c r="G286" i="5"/>
  <c r="F286" i="5"/>
  <c r="E286" i="5"/>
  <c r="D286" i="5" s="1"/>
  <c r="U285" i="5"/>
  <c r="T285" i="5"/>
  <c r="R285" i="5"/>
  <c r="Q285" i="5"/>
  <c r="O285" i="5"/>
  <c r="L285" i="5"/>
  <c r="K285" i="5"/>
  <c r="M285" i="5" s="1"/>
  <c r="J285" i="5"/>
  <c r="I285" i="5"/>
  <c r="H285" i="5"/>
  <c r="G285" i="5"/>
  <c r="F285" i="5"/>
  <c r="E285" i="5"/>
  <c r="D285" i="5" s="1"/>
  <c r="U284" i="5"/>
  <c r="T284" i="5"/>
  <c r="R284" i="5"/>
  <c r="Q284" i="5"/>
  <c r="O284" i="5"/>
  <c r="L284" i="5"/>
  <c r="K284" i="5"/>
  <c r="M284" i="5" s="1"/>
  <c r="J284" i="5"/>
  <c r="I284" i="5"/>
  <c r="H284" i="5"/>
  <c r="G284" i="5"/>
  <c r="F284" i="5"/>
  <c r="E284" i="5"/>
  <c r="U283" i="5"/>
  <c r="T283" i="5"/>
  <c r="R283" i="5"/>
  <c r="Q283" i="5"/>
  <c r="O283" i="5"/>
  <c r="L283" i="5"/>
  <c r="K283" i="5"/>
  <c r="M283" i="5" s="1"/>
  <c r="J283" i="5"/>
  <c r="I283" i="5"/>
  <c r="H283" i="5"/>
  <c r="G283" i="5"/>
  <c r="F283" i="5"/>
  <c r="E283" i="5"/>
  <c r="D283" i="5" s="1"/>
  <c r="U282" i="5"/>
  <c r="T282" i="5"/>
  <c r="R282" i="5"/>
  <c r="Q282" i="5"/>
  <c r="O282" i="5"/>
  <c r="L282" i="5"/>
  <c r="K282" i="5"/>
  <c r="M282" i="5" s="1"/>
  <c r="J282" i="5"/>
  <c r="I282" i="5"/>
  <c r="H282" i="5"/>
  <c r="G282" i="5"/>
  <c r="F282" i="5"/>
  <c r="E282" i="5"/>
  <c r="U281" i="5"/>
  <c r="T281" i="5"/>
  <c r="R281" i="5"/>
  <c r="Q281" i="5"/>
  <c r="O281" i="5"/>
  <c r="L281" i="5"/>
  <c r="K281" i="5"/>
  <c r="M281" i="5" s="1"/>
  <c r="J281" i="5"/>
  <c r="I281" i="5"/>
  <c r="H281" i="5"/>
  <c r="G281" i="5"/>
  <c r="F281" i="5"/>
  <c r="E281" i="5"/>
  <c r="D281" i="5" s="1"/>
  <c r="U280" i="5"/>
  <c r="T280" i="5"/>
  <c r="R280" i="5"/>
  <c r="Q280" i="5"/>
  <c r="O280" i="5"/>
  <c r="M280" i="5"/>
  <c r="L280" i="5"/>
  <c r="K280" i="5"/>
  <c r="J280" i="5"/>
  <c r="I280" i="5"/>
  <c r="H280" i="5"/>
  <c r="G280" i="5"/>
  <c r="F280" i="5"/>
  <c r="E280" i="5"/>
  <c r="D280" i="5" s="1"/>
  <c r="U279" i="5"/>
  <c r="T279" i="5"/>
  <c r="R279" i="5"/>
  <c r="Q279" i="5"/>
  <c r="O279" i="5"/>
  <c r="L279" i="5"/>
  <c r="K279" i="5"/>
  <c r="M279" i="5" s="1"/>
  <c r="J279" i="5"/>
  <c r="I279" i="5"/>
  <c r="H279" i="5"/>
  <c r="G279" i="5"/>
  <c r="F279" i="5"/>
  <c r="E279" i="5"/>
  <c r="D279" i="5" s="1"/>
  <c r="U278" i="5"/>
  <c r="T278" i="5"/>
  <c r="R278" i="5"/>
  <c r="Q278" i="5"/>
  <c r="O278" i="5"/>
  <c r="M278" i="5"/>
  <c r="L278" i="5"/>
  <c r="K278" i="5"/>
  <c r="J278" i="5"/>
  <c r="I278" i="5"/>
  <c r="H278" i="5"/>
  <c r="G278" i="5"/>
  <c r="F278" i="5"/>
  <c r="E278" i="5"/>
  <c r="U277" i="5"/>
  <c r="T277" i="5"/>
  <c r="R277" i="5"/>
  <c r="Q277" i="5"/>
  <c r="O277" i="5"/>
  <c r="L277" i="5"/>
  <c r="K277" i="5"/>
  <c r="M277" i="5" s="1"/>
  <c r="J277" i="5"/>
  <c r="I277" i="5"/>
  <c r="H277" i="5"/>
  <c r="G277" i="5"/>
  <c r="F277" i="5"/>
  <c r="E277" i="5"/>
  <c r="D277" i="5" s="1"/>
  <c r="U276" i="5"/>
  <c r="T276" i="5"/>
  <c r="R276" i="5"/>
  <c r="Q276" i="5"/>
  <c r="O276" i="5"/>
  <c r="L276" i="5"/>
  <c r="K276" i="5"/>
  <c r="M276" i="5" s="1"/>
  <c r="J276" i="5"/>
  <c r="I276" i="5"/>
  <c r="H276" i="5"/>
  <c r="G276" i="5"/>
  <c r="F276" i="5"/>
  <c r="E276" i="5"/>
  <c r="U275" i="5"/>
  <c r="T275" i="5"/>
  <c r="R275" i="5"/>
  <c r="Q275" i="5"/>
  <c r="O275" i="5"/>
  <c r="L275" i="5"/>
  <c r="K275" i="5"/>
  <c r="M275" i="5" s="1"/>
  <c r="J275" i="5"/>
  <c r="I275" i="5"/>
  <c r="H275" i="5"/>
  <c r="G275" i="5"/>
  <c r="F275" i="5"/>
  <c r="E275" i="5"/>
  <c r="D275" i="5" s="1"/>
  <c r="U274" i="5"/>
  <c r="T274" i="5"/>
  <c r="R274" i="5"/>
  <c r="Q274" i="5"/>
  <c r="O274" i="5"/>
  <c r="L274" i="5"/>
  <c r="K274" i="5"/>
  <c r="M274" i="5" s="1"/>
  <c r="J274" i="5"/>
  <c r="I274" i="5"/>
  <c r="H274" i="5"/>
  <c r="G274" i="5"/>
  <c r="F274" i="5"/>
  <c r="E274" i="5"/>
  <c r="U273" i="5"/>
  <c r="T273" i="5"/>
  <c r="R273" i="5"/>
  <c r="Q273" i="5"/>
  <c r="O273" i="5"/>
  <c r="L273" i="5"/>
  <c r="K273" i="5"/>
  <c r="M273" i="5" s="1"/>
  <c r="J273" i="5"/>
  <c r="I273" i="5"/>
  <c r="H273" i="5"/>
  <c r="G273" i="5"/>
  <c r="F273" i="5"/>
  <c r="E273" i="5"/>
  <c r="D273" i="5" s="1"/>
  <c r="U272" i="5"/>
  <c r="T272" i="5"/>
  <c r="R272" i="5"/>
  <c r="Q272" i="5"/>
  <c r="O272" i="5"/>
  <c r="M272" i="5"/>
  <c r="L272" i="5"/>
  <c r="K272" i="5"/>
  <c r="J272" i="5"/>
  <c r="I272" i="5"/>
  <c r="H272" i="5"/>
  <c r="G272" i="5"/>
  <c r="F272" i="5"/>
  <c r="E272" i="5"/>
  <c r="D272" i="5" s="1"/>
  <c r="U271" i="5"/>
  <c r="T271" i="5"/>
  <c r="R271" i="5"/>
  <c r="Q271" i="5"/>
  <c r="O271" i="5"/>
  <c r="L271" i="5"/>
  <c r="K271" i="5"/>
  <c r="M271" i="5" s="1"/>
  <c r="J271" i="5"/>
  <c r="I271" i="5"/>
  <c r="H271" i="5"/>
  <c r="G271" i="5"/>
  <c r="F271" i="5"/>
  <c r="E271" i="5"/>
  <c r="D271" i="5" s="1"/>
  <c r="U270" i="5"/>
  <c r="T270" i="5"/>
  <c r="R270" i="5"/>
  <c r="Q270" i="5"/>
  <c r="O270" i="5"/>
  <c r="M270" i="5"/>
  <c r="L270" i="5"/>
  <c r="K270" i="5"/>
  <c r="J270" i="5"/>
  <c r="I270" i="5"/>
  <c r="H270" i="5"/>
  <c r="G270" i="5"/>
  <c r="F270" i="5"/>
  <c r="E270" i="5"/>
  <c r="U269" i="5"/>
  <c r="T269" i="5"/>
  <c r="R269" i="5"/>
  <c r="Q269" i="5"/>
  <c r="O269" i="5"/>
  <c r="L269" i="5"/>
  <c r="K269" i="5"/>
  <c r="M269" i="5" s="1"/>
  <c r="J269" i="5"/>
  <c r="I269" i="5"/>
  <c r="H269" i="5"/>
  <c r="G269" i="5"/>
  <c r="F269" i="5"/>
  <c r="E269" i="5"/>
  <c r="D269" i="5" s="1"/>
  <c r="U268" i="5"/>
  <c r="T268" i="5"/>
  <c r="R268" i="5"/>
  <c r="Q268" i="5"/>
  <c r="O268" i="5"/>
  <c r="L268" i="5"/>
  <c r="K268" i="5"/>
  <c r="M268" i="5" s="1"/>
  <c r="J268" i="5"/>
  <c r="I268" i="5"/>
  <c r="H268" i="5"/>
  <c r="G268" i="5"/>
  <c r="F268" i="5"/>
  <c r="E268" i="5"/>
  <c r="U267" i="5"/>
  <c r="T267" i="5"/>
  <c r="R267" i="5"/>
  <c r="Q267" i="5"/>
  <c r="O267" i="5"/>
  <c r="L267" i="5"/>
  <c r="K267" i="5"/>
  <c r="M267" i="5" s="1"/>
  <c r="J267" i="5"/>
  <c r="I267" i="5"/>
  <c r="H267" i="5"/>
  <c r="G267" i="5"/>
  <c r="F267" i="5"/>
  <c r="E267" i="5"/>
  <c r="D267" i="5" s="1"/>
  <c r="U266" i="5"/>
  <c r="T266" i="5"/>
  <c r="R266" i="5"/>
  <c r="Q266" i="5"/>
  <c r="O266" i="5"/>
  <c r="L266" i="5"/>
  <c r="K266" i="5"/>
  <c r="M266" i="5" s="1"/>
  <c r="J266" i="5"/>
  <c r="I266" i="5"/>
  <c r="H266" i="5"/>
  <c r="G266" i="5"/>
  <c r="F266" i="5"/>
  <c r="E266" i="5"/>
  <c r="U265" i="5"/>
  <c r="T265" i="5"/>
  <c r="R265" i="5"/>
  <c r="Q265" i="5"/>
  <c r="O265" i="5"/>
  <c r="L265" i="5"/>
  <c r="K265" i="5"/>
  <c r="M265" i="5" s="1"/>
  <c r="J265" i="5"/>
  <c r="I265" i="5"/>
  <c r="H265" i="5"/>
  <c r="G265" i="5"/>
  <c r="F265" i="5"/>
  <c r="E265" i="5"/>
  <c r="D265" i="5" s="1"/>
  <c r="U264" i="5"/>
  <c r="T264" i="5"/>
  <c r="R264" i="5"/>
  <c r="Q264" i="5"/>
  <c r="O264" i="5"/>
  <c r="M264" i="5"/>
  <c r="L264" i="5"/>
  <c r="K264" i="5"/>
  <c r="J264" i="5"/>
  <c r="I264" i="5"/>
  <c r="H264" i="5"/>
  <c r="G264" i="5"/>
  <c r="F264" i="5"/>
  <c r="E264" i="5"/>
  <c r="D264" i="5" s="1"/>
  <c r="U263" i="5"/>
  <c r="T263" i="5"/>
  <c r="R263" i="5"/>
  <c r="Q263" i="5"/>
  <c r="O263" i="5"/>
  <c r="L263" i="5"/>
  <c r="K263" i="5"/>
  <c r="M263" i="5" s="1"/>
  <c r="J263" i="5"/>
  <c r="I263" i="5"/>
  <c r="H263" i="5"/>
  <c r="G263" i="5"/>
  <c r="F263" i="5"/>
  <c r="E263" i="5"/>
  <c r="D263" i="5" s="1"/>
  <c r="U262" i="5"/>
  <c r="T262" i="5"/>
  <c r="R262" i="5"/>
  <c r="Q262" i="5"/>
  <c r="O262" i="5"/>
  <c r="M262" i="5"/>
  <c r="L262" i="5"/>
  <c r="K262" i="5"/>
  <c r="J262" i="5"/>
  <c r="I262" i="5"/>
  <c r="H262" i="5"/>
  <c r="G262" i="5"/>
  <c r="F262" i="5"/>
  <c r="E262" i="5"/>
  <c r="U261" i="5"/>
  <c r="T261" i="5"/>
  <c r="R261" i="5"/>
  <c r="Q261" i="5"/>
  <c r="O261" i="5"/>
  <c r="L261" i="5"/>
  <c r="K261" i="5"/>
  <c r="M261" i="5" s="1"/>
  <c r="J261" i="5"/>
  <c r="I261" i="5"/>
  <c r="H261" i="5"/>
  <c r="G261" i="5"/>
  <c r="F261" i="5"/>
  <c r="E261" i="5"/>
  <c r="D261" i="5" s="1"/>
  <c r="U260" i="5"/>
  <c r="T260" i="5"/>
  <c r="R260" i="5"/>
  <c r="Q260" i="5"/>
  <c r="O260" i="5"/>
  <c r="L260" i="5"/>
  <c r="K260" i="5"/>
  <c r="M260" i="5" s="1"/>
  <c r="J260" i="5"/>
  <c r="I260" i="5"/>
  <c r="H260" i="5"/>
  <c r="G260" i="5"/>
  <c r="F260" i="5"/>
  <c r="E260" i="5"/>
  <c r="U259" i="5"/>
  <c r="T259" i="5"/>
  <c r="R259" i="5"/>
  <c r="Q259" i="5"/>
  <c r="O259" i="5"/>
  <c r="L259" i="5"/>
  <c r="K259" i="5"/>
  <c r="M259" i="5" s="1"/>
  <c r="J259" i="5"/>
  <c r="I259" i="5"/>
  <c r="H259" i="5"/>
  <c r="G259" i="5"/>
  <c r="F259" i="5"/>
  <c r="E259" i="5"/>
  <c r="D259" i="5" s="1"/>
  <c r="U258" i="5"/>
  <c r="T258" i="5"/>
  <c r="R258" i="5"/>
  <c r="Q258" i="5"/>
  <c r="O258" i="5"/>
  <c r="L258" i="5"/>
  <c r="K258" i="5"/>
  <c r="M258" i="5" s="1"/>
  <c r="J258" i="5"/>
  <c r="I258" i="5"/>
  <c r="H258" i="5"/>
  <c r="G258" i="5"/>
  <c r="F258" i="5"/>
  <c r="E258" i="5"/>
  <c r="U257" i="5"/>
  <c r="T257" i="5"/>
  <c r="R257" i="5"/>
  <c r="Q257" i="5"/>
  <c r="O257" i="5"/>
  <c r="L257" i="5"/>
  <c r="K257" i="5"/>
  <c r="M257" i="5" s="1"/>
  <c r="J257" i="5"/>
  <c r="I257" i="5"/>
  <c r="H257" i="5"/>
  <c r="G257" i="5"/>
  <c r="F257" i="5"/>
  <c r="E257" i="5"/>
  <c r="D257" i="5" s="1"/>
  <c r="U256" i="5"/>
  <c r="T256" i="5"/>
  <c r="R256" i="5"/>
  <c r="Q256" i="5"/>
  <c r="O256" i="5"/>
  <c r="M256" i="5"/>
  <c r="L256" i="5"/>
  <c r="K256" i="5"/>
  <c r="J256" i="5"/>
  <c r="I256" i="5"/>
  <c r="H256" i="5"/>
  <c r="G256" i="5"/>
  <c r="F256" i="5"/>
  <c r="E256" i="5"/>
  <c r="D256" i="5" s="1"/>
  <c r="U255" i="5"/>
  <c r="T255" i="5"/>
  <c r="R255" i="5"/>
  <c r="Q255" i="5"/>
  <c r="O255" i="5"/>
  <c r="L255" i="5"/>
  <c r="K255" i="5"/>
  <c r="M255" i="5" s="1"/>
  <c r="J255" i="5"/>
  <c r="I255" i="5"/>
  <c r="H255" i="5"/>
  <c r="G255" i="5"/>
  <c r="F255" i="5"/>
  <c r="E255" i="5"/>
  <c r="D255" i="5" s="1"/>
  <c r="U254" i="5"/>
  <c r="T254" i="5"/>
  <c r="R254" i="5"/>
  <c r="Q254" i="5"/>
  <c r="O254" i="5"/>
  <c r="M254" i="5"/>
  <c r="L254" i="5"/>
  <c r="K254" i="5"/>
  <c r="J254" i="5"/>
  <c r="I254" i="5"/>
  <c r="H254" i="5"/>
  <c r="G254" i="5"/>
  <c r="F254" i="5"/>
  <c r="E254" i="5"/>
  <c r="U253" i="5"/>
  <c r="T253" i="5"/>
  <c r="R253" i="5"/>
  <c r="Q253" i="5"/>
  <c r="O253" i="5"/>
  <c r="L253" i="5"/>
  <c r="K253" i="5"/>
  <c r="M253" i="5" s="1"/>
  <c r="J253" i="5"/>
  <c r="I253" i="5"/>
  <c r="H253" i="5"/>
  <c r="G253" i="5"/>
  <c r="F253" i="5"/>
  <c r="E253" i="5"/>
  <c r="D253" i="5" s="1"/>
  <c r="U252" i="5"/>
  <c r="T252" i="5"/>
  <c r="R252" i="5"/>
  <c r="Q252" i="5"/>
  <c r="O252" i="5"/>
  <c r="L252" i="5"/>
  <c r="K252" i="5"/>
  <c r="M252" i="5" s="1"/>
  <c r="J252" i="5"/>
  <c r="I252" i="5"/>
  <c r="H252" i="5"/>
  <c r="G252" i="5"/>
  <c r="F252" i="5"/>
  <c r="E252" i="5"/>
  <c r="U251" i="5"/>
  <c r="T251" i="5"/>
  <c r="R251" i="5"/>
  <c r="Q251" i="5"/>
  <c r="O251" i="5"/>
  <c r="L251" i="5"/>
  <c r="K251" i="5"/>
  <c r="M251" i="5" s="1"/>
  <c r="J251" i="5"/>
  <c r="I251" i="5"/>
  <c r="H251" i="5"/>
  <c r="G251" i="5"/>
  <c r="F251" i="5"/>
  <c r="E251" i="5"/>
  <c r="D251" i="5" s="1"/>
  <c r="U250" i="5"/>
  <c r="T250" i="5"/>
  <c r="R250" i="5"/>
  <c r="Q250" i="5"/>
  <c r="O250" i="5"/>
  <c r="L250" i="5"/>
  <c r="K250" i="5"/>
  <c r="M250" i="5" s="1"/>
  <c r="J250" i="5"/>
  <c r="I250" i="5"/>
  <c r="H250" i="5"/>
  <c r="G250" i="5"/>
  <c r="F250" i="5"/>
  <c r="E250" i="5"/>
  <c r="U249" i="5"/>
  <c r="T249" i="5"/>
  <c r="R249" i="5"/>
  <c r="Q249" i="5"/>
  <c r="O249" i="5"/>
  <c r="L249" i="5"/>
  <c r="K249" i="5"/>
  <c r="M249" i="5" s="1"/>
  <c r="J249" i="5"/>
  <c r="I249" i="5"/>
  <c r="H249" i="5"/>
  <c r="G249" i="5"/>
  <c r="F249" i="5"/>
  <c r="E249" i="5"/>
  <c r="D249" i="5" s="1"/>
  <c r="U248" i="5"/>
  <c r="T248" i="5"/>
  <c r="R248" i="5"/>
  <c r="Q248" i="5"/>
  <c r="O248" i="5"/>
  <c r="M248" i="5"/>
  <c r="L248" i="5"/>
  <c r="K248" i="5"/>
  <c r="J248" i="5"/>
  <c r="I248" i="5"/>
  <c r="H248" i="5"/>
  <c r="G248" i="5"/>
  <c r="F248" i="5"/>
  <c r="E248" i="5"/>
  <c r="D248" i="5" s="1"/>
  <c r="U247" i="5"/>
  <c r="T247" i="5"/>
  <c r="R247" i="5"/>
  <c r="Q247" i="5"/>
  <c r="O247" i="5"/>
  <c r="L247" i="5"/>
  <c r="K247" i="5"/>
  <c r="M247" i="5" s="1"/>
  <c r="J247" i="5"/>
  <c r="I247" i="5"/>
  <c r="H247" i="5"/>
  <c r="G247" i="5"/>
  <c r="F247" i="5"/>
  <c r="E247" i="5"/>
  <c r="D247" i="5" s="1"/>
  <c r="U246" i="5"/>
  <c r="T246" i="5"/>
  <c r="R246" i="5"/>
  <c r="Q246" i="5"/>
  <c r="O246" i="5"/>
  <c r="M246" i="5"/>
  <c r="L246" i="5"/>
  <c r="K246" i="5"/>
  <c r="J246" i="5"/>
  <c r="I246" i="5"/>
  <c r="H246" i="5"/>
  <c r="G246" i="5"/>
  <c r="F246" i="5"/>
  <c r="E246" i="5"/>
  <c r="U245" i="5"/>
  <c r="T245" i="5"/>
  <c r="R245" i="5"/>
  <c r="Q245" i="5"/>
  <c r="O245" i="5"/>
  <c r="L245" i="5"/>
  <c r="K245" i="5"/>
  <c r="M245" i="5" s="1"/>
  <c r="J245" i="5"/>
  <c r="I245" i="5"/>
  <c r="H245" i="5"/>
  <c r="G245" i="5"/>
  <c r="F245" i="5"/>
  <c r="E245" i="5"/>
  <c r="D245" i="5" s="1"/>
  <c r="U244" i="5"/>
  <c r="T244" i="5"/>
  <c r="R244" i="5"/>
  <c r="Q244" i="5"/>
  <c r="O244" i="5"/>
  <c r="L244" i="5"/>
  <c r="K244" i="5"/>
  <c r="M244" i="5" s="1"/>
  <c r="J244" i="5"/>
  <c r="I244" i="5"/>
  <c r="H244" i="5"/>
  <c r="G244" i="5"/>
  <c r="F244" i="5"/>
  <c r="E244" i="5"/>
  <c r="U243" i="5"/>
  <c r="T243" i="5"/>
  <c r="R243" i="5"/>
  <c r="Q243" i="5"/>
  <c r="O243" i="5"/>
  <c r="L243" i="5"/>
  <c r="K243" i="5"/>
  <c r="M243" i="5" s="1"/>
  <c r="J243" i="5"/>
  <c r="I243" i="5"/>
  <c r="H243" i="5"/>
  <c r="G243" i="5"/>
  <c r="F243" i="5"/>
  <c r="E243" i="5"/>
  <c r="U242" i="5"/>
  <c r="T242" i="5"/>
  <c r="R242" i="5"/>
  <c r="Q242" i="5"/>
  <c r="O242" i="5"/>
  <c r="L242" i="5"/>
  <c r="K242" i="5"/>
  <c r="M242" i="5" s="1"/>
  <c r="J242" i="5"/>
  <c r="I242" i="5"/>
  <c r="H242" i="5"/>
  <c r="G242" i="5"/>
  <c r="F242" i="5"/>
  <c r="E242" i="5"/>
  <c r="U241" i="5"/>
  <c r="T241" i="5"/>
  <c r="R241" i="5"/>
  <c r="Q241" i="5"/>
  <c r="O241" i="5"/>
  <c r="L241" i="5"/>
  <c r="K241" i="5"/>
  <c r="M241" i="5" s="1"/>
  <c r="J241" i="5"/>
  <c r="I241" i="5"/>
  <c r="H241" i="5"/>
  <c r="G241" i="5"/>
  <c r="F241" i="5"/>
  <c r="E241" i="5"/>
  <c r="D241" i="5" s="1"/>
  <c r="U240" i="5"/>
  <c r="T240" i="5"/>
  <c r="R240" i="5"/>
  <c r="Q240" i="5"/>
  <c r="O240" i="5"/>
  <c r="M240" i="5"/>
  <c r="L240" i="5"/>
  <c r="K240" i="5"/>
  <c r="J240" i="5"/>
  <c r="I240" i="5"/>
  <c r="H240" i="5"/>
  <c r="G240" i="5"/>
  <c r="F240" i="5"/>
  <c r="E240" i="5"/>
  <c r="D240" i="5" s="1"/>
  <c r="U239" i="5"/>
  <c r="T239" i="5"/>
  <c r="R239" i="5"/>
  <c r="Q239" i="5"/>
  <c r="O239" i="5"/>
  <c r="L239" i="5"/>
  <c r="K239" i="5"/>
  <c r="M239" i="5" s="1"/>
  <c r="J239" i="5"/>
  <c r="I239" i="5"/>
  <c r="H239" i="5"/>
  <c r="G239" i="5"/>
  <c r="F239" i="5"/>
  <c r="E239" i="5"/>
  <c r="U238" i="5"/>
  <c r="T238" i="5"/>
  <c r="R238" i="5"/>
  <c r="Q238" i="5"/>
  <c r="O238" i="5"/>
  <c r="M238" i="5"/>
  <c r="L238" i="5"/>
  <c r="K238" i="5"/>
  <c r="J238" i="5"/>
  <c r="I238" i="5"/>
  <c r="H238" i="5"/>
  <c r="G238" i="5"/>
  <c r="F238" i="5"/>
  <c r="E238" i="5"/>
  <c r="U237" i="5"/>
  <c r="T237" i="5"/>
  <c r="R237" i="5"/>
  <c r="Q237" i="5"/>
  <c r="O237" i="5"/>
  <c r="L237" i="5"/>
  <c r="K237" i="5"/>
  <c r="M237" i="5" s="1"/>
  <c r="J237" i="5"/>
  <c r="I237" i="5"/>
  <c r="H237" i="5"/>
  <c r="G237" i="5"/>
  <c r="F237" i="5"/>
  <c r="E237" i="5"/>
  <c r="D237" i="5" s="1"/>
  <c r="U236" i="5"/>
  <c r="T236" i="5"/>
  <c r="R236" i="5"/>
  <c r="Q236" i="5"/>
  <c r="O236" i="5"/>
  <c r="L236" i="5"/>
  <c r="K236" i="5"/>
  <c r="M236" i="5" s="1"/>
  <c r="J236" i="5"/>
  <c r="I236" i="5"/>
  <c r="H236" i="5"/>
  <c r="G236" i="5"/>
  <c r="F236" i="5"/>
  <c r="E236" i="5"/>
  <c r="U235" i="5"/>
  <c r="T235" i="5"/>
  <c r="R235" i="5"/>
  <c r="Q235" i="5"/>
  <c r="O235" i="5"/>
  <c r="L235" i="5"/>
  <c r="K235" i="5"/>
  <c r="M235" i="5" s="1"/>
  <c r="J235" i="5"/>
  <c r="I235" i="5"/>
  <c r="H235" i="5"/>
  <c r="G235" i="5"/>
  <c r="F235" i="5"/>
  <c r="E235" i="5"/>
  <c r="U234" i="5"/>
  <c r="T234" i="5"/>
  <c r="R234" i="5"/>
  <c r="Q234" i="5"/>
  <c r="O234" i="5"/>
  <c r="L234" i="5"/>
  <c r="K234" i="5"/>
  <c r="M234" i="5" s="1"/>
  <c r="J234" i="5"/>
  <c r="I234" i="5"/>
  <c r="H234" i="5"/>
  <c r="G234" i="5"/>
  <c r="F234" i="5"/>
  <c r="E234" i="5"/>
  <c r="U233" i="5"/>
  <c r="T233" i="5"/>
  <c r="R233" i="5"/>
  <c r="Q233" i="5"/>
  <c r="O233" i="5"/>
  <c r="L233" i="5"/>
  <c r="K233" i="5"/>
  <c r="M233" i="5" s="1"/>
  <c r="J233" i="5"/>
  <c r="I233" i="5"/>
  <c r="H233" i="5"/>
  <c r="G233" i="5"/>
  <c r="F233" i="5"/>
  <c r="E233" i="5"/>
  <c r="V233" i="5" s="1"/>
  <c r="D233" i="5"/>
  <c r="V232" i="5"/>
  <c r="U232" i="5"/>
  <c r="T232" i="5"/>
  <c r="R232" i="5"/>
  <c r="Q232" i="5"/>
  <c r="O232" i="5"/>
  <c r="L232" i="5"/>
  <c r="K232" i="5"/>
  <c r="J232" i="5"/>
  <c r="I232" i="5"/>
  <c r="H232" i="5"/>
  <c r="G232" i="5"/>
  <c r="F232" i="5"/>
  <c r="E232" i="5"/>
  <c r="D232" i="5"/>
  <c r="U231" i="5"/>
  <c r="T231" i="5"/>
  <c r="R231" i="5"/>
  <c r="Q231" i="5"/>
  <c r="O231" i="5"/>
  <c r="L231" i="5"/>
  <c r="K231" i="5"/>
  <c r="M231" i="5" s="1"/>
  <c r="J231" i="5"/>
  <c r="I231" i="5"/>
  <c r="H231" i="5"/>
  <c r="G231" i="5"/>
  <c r="F231" i="5"/>
  <c r="E231" i="5"/>
  <c r="U230" i="5"/>
  <c r="T230" i="5"/>
  <c r="R230" i="5"/>
  <c r="Q230" i="5"/>
  <c r="O230" i="5"/>
  <c r="L230" i="5"/>
  <c r="K230" i="5"/>
  <c r="J230" i="5"/>
  <c r="I230" i="5"/>
  <c r="H230" i="5"/>
  <c r="G230" i="5"/>
  <c r="F230" i="5"/>
  <c r="E230" i="5"/>
  <c r="V230" i="5" s="1"/>
  <c r="D230" i="5"/>
  <c r="U229" i="5"/>
  <c r="T229" i="5"/>
  <c r="R229" i="5"/>
  <c r="Q229" i="5"/>
  <c r="O229" i="5"/>
  <c r="L229" i="5"/>
  <c r="K229" i="5"/>
  <c r="M229" i="5" s="1"/>
  <c r="J229" i="5"/>
  <c r="I229" i="5"/>
  <c r="H229" i="5"/>
  <c r="G229" i="5"/>
  <c r="F229" i="5"/>
  <c r="E229" i="5"/>
  <c r="V229" i="5" s="1"/>
  <c r="D229" i="5"/>
  <c r="V228" i="5"/>
  <c r="U228" i="5"/>
  <c r="T228" i="5"/>
  <c r="R228" i="5"/>
  <c r="Q228" i="5"/>
  <c r="O228" i="5"/>
  <c r="L228" i="5"/>
  <c r="K228" i="5"/>
  <c r="J228" i="5"/>
  <c r="I228" i="5"/>
  <c r="H228" i="5"/>
  <c r="G228" i="5"/>
  <c r="F228" i="5"/>
  <c r="E228" i="5"/>
  <c r="D228" i="5"/>
  <c r="U227" i="5"/>
  <c r="T227" i="5"/>
  <c r="R227" i="5"/>
  <c r="Q227" i="5"/>
  <c r="O227" i="5"/>
  <c r="L227" i="5"/>
  <c r="K227" i="5"/>
  <c r="M227" i="5" s="1"/>
  <c r="J227" i="5"/>
  <c r="I227" i="5"/>
  <c r="H227" i="5"/>
  <c r="G227" i="5"/>
  <c r="F227" i="5"/>
  <c r="E227" i="5"/>
  <c r="U226" i="5"/>
  <c r="T226" i="5"/>
  <c r="R226" i="5"/>
  <c r="Q226" i="5"/>
  <c r="O226" i="5"/>
  <c r="L226" i="5"/>
  <c r="K226" i="5"/>
  <c r="J226" i="5"/>
  <c r="I226" i="5"/>
  <c r="H226" i="5"/>
  <c r="G226" i="5"/>
  <c r="F226" i="5"/>
  <c r="E226" i="5"/>
  <c r="V226" i="5" s="1"/>
  <c r="D226" i="5"/>
  <c r="U225" i="5"/>
  <c r="T225" i="5"/>
  <c r="R225" i="5"/>
  <c r="Q225" i="5"/>
  <c r="O225" i="5"/>
  <c r="L225" i="5"/>
  <c r="K225" i="5"/>
  <c r="M225" i="5" s="1"/>
  <c r="J225" i="5"/>
  <c r="I225" i="5"/>
  <c r="H225" i="5"/>
  <c r="G225" i="5"/>
  <c r="F225" i="5"/>
  <c r="E225" i="5"/>
  <c r="V225" i="5" s="1"/>
  <c r="D225" i="5"/>
  <c r="V224" i="5"/>
  <c r="U224" i="5"/>
  <c r="T224" i="5"/>
  <c r="R224" i="5"/>
  <c r="Q224" i="5"/>
  <c r="O224" i="5"/>
  <c r="L224" i="5"/>
  <c r="K224" i="5"/>
  <c r="J224" i="5"/>
  <c r="I224" i="5"/>
  <c r="H224" i="5"/>
  <c r="G224" i="5"/>
  <c r="F224" i="5"/>
  <c r="E224" i="5"/>
  <c r="D224" i="5"/>
  <c r="U223" i="5"/>
  <c r="T223" i="5"/>
  <c r="R223" i="5"/>
  <c r="Q223" i="5"/>
  <c r="O223" i="5"/>
  <c r="L223" i="5"/>
  <c r="K223" i="5"/>
  <c r="M223" i="5" s="1"/>
  <c r="J223" i="5"/>
  <c r="I223" i="5"/>
  <c r="H223" i="5"/>
  <c r="G223" i="5"/>
  <c r="F223" i="5"/>
  <c r="E223" i="5"/>
  <c r="U222" i="5"/>
  <c r="T222" i="5"/>
  <c r="R222" i="5"/>
  <c r="Q222" i="5"/>
  <c r="O222" i="5"/>
  <c r="L222" i="5"/>
  <c r="K222" i="5"/>
  <c r="J222" i="5"/>
  <c r="I222" i="5"/>
  <c r="H222" i="5"/>
  <c r="G222" i="5"/>
  <c r="F222" i="5"/>
  <c r="E222" i="5"/>
  <c r="V222" i="5" s="1"/>
  <c r="D222" i="5"/>
  <c r="U221" i="5"/>
  <c r="T221" i="5"/>
  <c r="R221" i="5"/>
  <c r="Q221" i="5"/>
  <c r="O221" i="5"/>
  <c r="L221" i="5"/>
  <c r="K221" i="5"/>
  <c r="M221" i="5" s="1"/>
  <c r="J221" i="5"/>
  <c r="I221" i="5"/>
  <c r="H221" i="5"/>
  <c r="G221" i="5"/>
  <c r="F221" i="5"/>
  <c r="E221" i="5"/>
  <c r="V221" i="5" s="1"/>
  <c r="D221" i="5"/>
  <c r="V220" i="5"/>
  <c r="U220" i="5"/>
  <c r="T220" i="5"/>
  <c r="R220" i="5"/>
  <c r="Q220" i="5"/>
  <c r="O220" i="5"/>
  <c r="L220" i="5"/>
  <c r="K220" i="5"/>
  <c r="J220" i="5"/>
  <c r="I220" i="5"/>
  <c r="H220" i="5"/>
  <c r="G220" i="5"/>
  <c r="F220" i="5"/>
  <c r="E220" i="5"/>
  <c r="D220" i="5"/>
  <c r="U219" i="5"/>
  <c r="T219" i="5"/>
  <c r="R219" i="5"/>
  <c r="Q219" i="5"/>
  <c r="O219" i="5"/>
  <c r="L219" i="5"/>
  <c r="K219" i="5"/>
  <c r="M219" i="5" s="1"/>
  <c r="J219" i="5"/>
  <c r="I219" i="5"/>
  <c r="H219" i="5"/>
  <c r="G219" i="5"/>
  <c r="F219" i="5"/>
  <c r="E219" i="5"/>
  <c r="U218" i="5"/>
  <c r="T218" i="5"/>
  <c r="R218" i="5"/>
  <c r="Q218" i="5"/>
  <c r="O218" i="5"/>
  <c r="L218" i="5"/>
  <c r="K218" i="5"/>
  <c r="J218" i="5"/>
  <c r="I218" i="5"/>
  <c r="H218" i="5"/>
  <c r="G218" i="5"/>
  <c r="F218" i="5"/>
  <c r="E218" i="5"/>
  <c r="V218" i="5" s="1"/>
  <c r="D218" i="5"/>
  <c r="U217" i="5"/>
  <c r="T217" i="5"/>
  <c r="R217" i="5"/>
  <c r="Q217" i="5"/>
  <c r="O217" i="5"/>
  <c r="L217" i="5"/>
  <c r="K217" i="5"/>
  <c r="M217" i="5" s="1"/>
  <c r="J217" i="5"/>
  <c r="I217" i="5"/>
  <c r="H217" i="5"/>
  <c r="G217" i="5"/>
  <c r="F217" i="5"/>
  <c r="E217" i="5"/>
  <c r="V217" i="5" s="1"/>
  <c r="D217" i="5"/>
  <c r="V216" i="5"/>
  <c r="U216" i="5"/>
  <c r="T216" i="5"/>
  <c r="R216" i="5"/>
  <c r="Q216" i="5"/>
  <c r="O216" i="5"/>
  <c r="L216" i="5"/>
  <c r="K216" i="5"/>
  <c r="J216" i="5"/>
  <c r="I216" i="5"/>
  <c r="H216" i="5"/>
  <c r="G216" i="5"/>
  <c r="F216" i="5"/>
  <c r="E216" i="5"/>
  <c r="D216" i="5"/>
  <c r="U215" i="5"/>
  <c r="T215" i="5"/>
  <c r="R215" i="5"/>
  <c r="Q215" i="5"/>
  <c r="O215" i="5"/>
  <c r="L215" i="5"/>
  <c r="K215" i="5"/>
  <c r="M215" i="5" s="1"/>
  <c r="J215" i="5"/>
  <c r="I215" i="5"/>
  <c r="H215" i="5"/>
  <c r="G215" i="5"/>
  <c r="F215" i="5"/>
  <c r="E215" i="5"/>
  <c r="U214" i="5"/>
  <c r="T214" i="5"/>
  <c r="R214" i="5"/>
  <c r="Q214" i="5"/>
  <c r="O214" i="5"/>
  <c r="L214" i="5"/>
  <c r="K214" i="5"/>
  <c r="J214" i="5"/>
  <c r="I214" i="5"/>
  <c r="H214" i="5"/>
  <c r="G214" i="5"/>
  <c r="F214" i="5"/>
  <c r="E214" i="5"/>
  <c r="V214" i="5" s="1"/>
  <c r="D214" i="5"/>
  <c r="U213" i="5"/>
  <c r="T213" i="5"/>
  <c r="R213" i="5"/>
  <c r="Q213" i="5"/>
  <c r="O213" i="5"/>
  <c r="L213" i="5"/>
  <c r="K213" i="5"/>
  <c r="M213" i="5" s="1"/>
  <c r="J213" i="5"/>
  <c r="I213" i="5"/>
  <c r="H213" i="5"/>
  <c r="G213" i="5"/>
  <c r="F213" i="5"/>
  <c r="E213" i="5"/>
  <c r="V213" i="5" s="1"/>
  <c r="D213" i="5"/>
  <c r="V212" i="5"/>
  <c r="U212" i="5"/>
  <c r="T212" i="5"/>
  <c r="R212" i="5"/>
  <c r="Q212" i="5"/>
  <c r="O212" i="5"/>
  <c r="L212" i="5"/>
  <c r="K212" i="5"/>
  <c r="J212" i="5"/>
  <c r="I212" i="5"/>
  <c r="H212" i="5"/>
  <c r="G212" i="5"/>
  <c r="F212" i="5"/>
  <c r="E212" i="5"/>
  <c r="D212" i="5"/>
  <c r="U211" i="5"/>
  <c r="T211" i="5"/>
  <c r="R211" i="5"/>
  <c r="Q211" i="5"/>
  <c r="O211" i="5"/>
  <c r="L211" i="5"/>
  <c r="K211" i="5"/>
  <c r="M211" i="5" s="1"/>
  <c r="J211" i="5"/>
  <c r="I211" i="5"/>
  <c r="H211" i="5"/>
  <c r="G211" i="5"/>
  <c r="F211" i="5"/>
  <c r="E211" i="5"/>
  <c r="U210" i="5"/>
  <c r="T210" i="5"/>
  <c r="R210" i="5"/>
  <c r="Q210" i="5"/>
  <c r="O210" i="5"/>
  <c r="L210" i="5"/>
  <c r="K210" i="5"/>
  <c r="J210" i="5"/>
  <c r="I210" i="5"/>
  <c r="H210" i="5"/>
  <c r="G210" i="5"/>
  <c r="F210" i="5"/>
  <c r="E210" i="5"/>
  <c r="V210" i="5" s="1"/>
  <c r="D210" i="5"/>
  <c r="U209" i="5"/>
  <c r="T209" i="5"/>
  <c r="R209" i="5"/>
  <c r="Q209" i="5"/>
  <c r="O209" i="5"/>
  <c r="L209" i="5"/>
  <c r="K209" i="5"/>
  <c r="M209" i="5" s="1"/>
  <c r="J209" i="5"/>
  <c r="I209" i="5"/>
  <c r="H209" i="5"/>
  <c r="G209" i="5"/>
  <c r="F209" i="5"/>
  <c r="E209" i="5"/>
  <c r="V209" i="5" s="1"/>
  <c r="D209" i="5"/>
  <c r="V208" i="5"/>
  <c r="U208" i="5"/>
  <c r="T208" i="5"/>
  <c r="R208" i="5"/>
  <c r="Q208" i="5"/>
  <c r="O208" i="5"/>
  <c r="L208" i="5"/>
  <c r="K208" i="5"/>
  <c r="J208" i="5"/>
  <c r="I208" i="5"/>
  <c r="H208" i="5"/>
  <c r="G208" i="5"/>
  <c r="F208" i="5"/>
  <c r="E208" i="5"/>
  <c r="D208" i="5"/>
  <c r="U207" i="5"/>
  <c r="T207" i="5"/>
  <c r="R207" i="5"/>
  <c r="Q207" i="5"/>
  <c r="O207" i="5"/>
  <c r="L207" i="5"/>
  <c r="K207" i="5"/>
  <c r="M207" i="5" s="1"/>
  <c r="J207" i="5"/>
  <c r="I207" i="5"/>
  <c r="H207" i="5"/>
  <c r="G207" i="5"/>
  <c r="F207" i="5"/>
  <c r="E207" i="5"/>
  <c r="U206" i="5"/>
  <c r="T206" i="5"/>
  <c r="R206" i="5"/>
  <c r="Q206" i="5"/>
  <c r="O206" i="5"/>
  <c r="L206" i="5"/>
  <c r="K206" i="5"/>
  <c r="J206" i="5"/>
  <c r="I206" i="5"/>
  <c r="H206" i="5"/>
  <c r="G206" i="5"/>
  <c r="F206" i="5"/>
  <c r="E206" i="5"/>
  <c r="V206" i="5" s="1"/>
  <c r="D206" i="5"/>
  <c r="U205" i="5"/>
  <c r="T205" i="5"/>
  <c r="R205" i="5"/>
  <c r="Q205" i="5"/>
  <c r="O205" i="5"/>
  <c r="L205" i="5"/>
  <c r="K205" i="5"/>
  <c r="M205" i="5" s="1"/>
  <c r="J205" i="5"/>
  <c r="I205" i="5"/>
  <c r="H205" i="5"/>
  <c r="G205" i="5"/>
  <c r="F205" i="5"/>
  <c r="E205" i="5"/>
  <c r="V205" i="5" s="1"/>
  <c r="D205" i="5"/>
  <c r="V204" i="5"/>
  <c r="U204" i="5"/>
  <c r="T204" i="5"/>
  <c r="R204" i="5"/>
  <c r="Q204" i="5"/>
  <c r="O204" i="5"/>
  <c r="L204" i="5"/>
  <c r="K204" i="5"/>
  <c r="J204" i="5"/>
  <c r="I204" i="5"/>
  <c r="H204" i="5"/>
  <c r="G204" i="5"/>
  <c r="F204" i="5"/>
  <c r="E204" i="5"/>
  <c r="D204" i="5"/>
  <c r="U203" i="5"/>
  <c r="T203" i="5"/>
  <c r="R203" i="5"/>
  <c r="Q203" i="5"/>
  <c r="O203" i="5"/>
  <c r="L203" i="5"/>
  <c r="K203" i="5"/>
  <c r="M203" i="5" s="1"/>
  <c r="J203" i="5"/>
  <c r="I203" i="5"/>
  <c r="H203" i="5"/>
  <c r="G203" i="5"/>
  <c r="F203" i="5"/>
  <c r="E203" i="5"/>
  <c r="U202" i="5"/>
  <c r="T202" i="5"/>
  <c r="R202" i="5"/>
  <c r="Q202" i="5"/>
  <c r="O202" i="5"/>
  <c r="L202" i="5"/>
  <c r="K202" i="5"/>
  <c r="J202" i="5"/>
  <c r="I202" i="5"/>
  <c r="H202" i="5"/>
  <c r="G202" i="5"/>
  <c r="F202" i="5"/>
  <c r="E202" i="5"/>
  <c r="V202" i="5" s="1"/>
  <c r="D202" i="5"/>
  <c r="U201" i="5"/>
  <c r="T201" i="5"/>
  <c r="R201" i="5"/>
  <c r="Q201" i="5"/>
  <c r="O201" i="5"/>
  <c r="L201" i="5"/>
  <c r="K201" i="5"/>
  <c r="M201" i="5" s="1"/>
  <c r="J201" i="5"/>
  <c r="I201" i="5"/>
  <c r="H201" i="5"/>
  <c r="G201" i="5"/>
  <c r="F201" i="5"/>
  <c r="E201" i="5"/>
  <c r="V201" i="5" s="1"/>
  <c r="D201" i="5"/>
  <c r="V200" i="5"/>
  <c r="U200" i="5"/>
  <c r="T200" i="5"/>
  <c r="R200" i="5"/>
  <c r="Q200" i="5"/>
  <c r="O200" i="5"/>
  <c r="L200" i="5"/>
  <c r="K200" i="5"/>
  <c r="J200" i="5"/>
  <c r="I200" i="5"/>
  <c r="H200" i="5"/>
  <c r="G200" i="5"/>
  <c r="F200" i="5"/>
  <c r="E200" i="5"/>
  <c r="D200" i="5"/>
  <c r="U199" i="5"/>
  <c r="T199" i="5"/>
  <c r="R199" i="5"/>
  <c r="Q199" i="5"/>
  <c r="O199" i="5"/>
  <c r="L199" i="5"/>
  <c r="K199" i="5"/>
  <c r="M199" i="5" s="1"/>
  <c r="J199" i="5"/>
  <c r="I199" i="5"/>
  <c r="H199" i="5"/>
  <c r="G199" i="5"/>
  <c r="F199" i="5"/>
  <c r="E199" i="5"/>
  <c r="U198" i="5"/>
  <c r="T198" i="5"/>
  <c r="R198" i="5"/>
  <c r="Q198" i="5"/>
  <c r="O198" i="5"/>
  <c r="L198" i="5"/>
  <c r="K198" i="5"/>
  <c r="J198" i="5"/>
  <c r="I198" i="5"/>
  <c r="H198" i="5"/>
  <c r="G198" i="5"/>
  <c r="F198" i="5"/>
  <c r="E198" i="5"/>
  <c r="V198" i="5" s="1"/>
  <c r="D198" i="5"/>
  <c r="U197" i="5"/>
  <c r="T197" i="5"/>
  <c r="R197" i="5"/>
  <c r="Q197" i="5"/>
  <c r="O197" i="5"/>
  <c r="L197" i="5"/>
  <c r="K197" i="5"/>
  <c r="M197" i="5" s="1"/>
  <c r="J197" i="5"/>
  <c r="I197" i="5"/>
  <c r="H197" i="5"/>
  <c r="G197" i="5"/>
  <c r="F197" i="5"/>
  <c r="E197" i="5"/>
  <c r="V197" i="5" s="1"/>
  <c r="D197" i="5"/>
  <c r="V196" i="5"/>
  <c r="U196" i="5"/>
  <c r="T196" i="5"/>
  <c r="R196" i="5"/>
  <c r="Q196" i="5"/>
  <c r="O196" i="5"/>
  <c r="L196" i="5"/>
  <c r="K196" i="5"/>
  <c r="J196" i="5"/>
  <c r="I196" i="5"/>
  <c r="H196" i="5"/>
  <c r="G196" i="5"/>
  <c r="F196" i="5"/>
  <c r="E196" i="5"/>
  <c r="D196" i="5"/>
  <c r="U195" i="5"/>
  <c r="T195" i="5"/>
  <c r="R195" i="5"/>
  <c r="Q195" i="5"/>
  <c r="O195" i="5"/>
  <c r="L195" i="5"/>
  <c r="K195" i="5"/>
  <c r="M195" i="5" s="1"/>
  <c r="J195" i="5"/>
  <c r="I195" i="5"/>
  <c r="H195" i="5"/>
  <c r="G195" i="5"/>
  <c r="F195" i="5"/>
  <c r="E195" i="5"/>
  <c r="U194" i="5"/>
  <c r="T194" i="5"/>
  <c r="R194" i="5"/>
  <c r="Q194" i="5"/>
  <c r="O194" i="5"/>
  <c r="L194" i="5"/>
  <c r="K194" i="5"/>
  <c r="J194" i="5"/>
  <c r="I194" i="5"/>
  <c r="H194" i="5"/>
  <c r="G194" i="5"/>
  <c r="F194" i="5"/>
  <c r="E194" i="5"/>
  <c r="V194" i="5" s="1"/>
  <c r="D194" i="5"/>
  <c r="U193" i="5"/>
  <c r="T193" i="5"/>
  <c r="R193" i="5"/>
  <c r="Q193" i="5"/>
  <c r="O193" i="5"/>
  <c r="L193" i="5"/>
  <c r="K193" i="5"/>
  <c r="M193" i="5" s="1"/>
  <c r="J193" i="5"/>
  <c r="I193" i="5"/>
  <c r="H193" i="5"/>
  <c r="G193" i="5"/>
  <c r="F193" i="5"/>
  <c r="E193" i="5"/>
  <c r="V193" i="5" s="1"/>
  <c r="D193" i="5"/>
  <c r="V192" i="5"/>
  <c r="U192" i="5"/>
  <c r="T192" i="5"/>
  <c r="R192" i="5"/>
  <c r="Q192" i="5"/>
  <c r="O192" i="5"/>
  <c r="L192" i="5"/>
  <c r="K192" i="5"/>
  <c r="J192" i="5"/>
  <c r="I192" i="5"/>
  <c r="H192" i="5"/>
  <c r="G192" i="5"/>
  <c r="F192" i="5"/>
  <c r="E192" i="5"/>
  <c r="D192" i="5"/>
  <c r="U191" i="5"/>
  <c r="T191" i="5"/>
  <c r="R191" i="5"/>
  <c r="Q191" i="5"/>
  <c r="O191" i="5"/>
  <c r="L191" i="5"/>
  <c r="K191" i="5"/>
  <c r="M191" i="5" s="1"/>
  <c r="J191" i="5"/>
  <c r="I191" i="5"/>
  <c r="H191" i="5"/>
  <c r="G191" i="5"/>
  <c r="F191" i="5"/>
  <c r="E191" i="5"/>
  <c r="U190" i="5"/>
  <c r="T190" i="5"/>
  <c r="R190" i="5"/>
  <c r="Q190" i="5"/>
  <c r="O190" i="5"/>
  <c r="L190" i="5"/>
  <c r="K190" i="5"/>
  <c r="J190" i="5"/>
  <c r="I190" i="5"/>
  <c r="H190" i="5"/>
  <c r="G190" i="5"/>
  <c r="F190" i="5"/>
  <c r="E190" i="5"/>
  <c r="V190" i="5" s="1"/>
  <c r="D190" i="5"/>
  <c r="U189" i="5"/>
  <c r="T189" i="5"/>
  <c r="R189" i="5"/>
  <c r="Q189" i="5"/>
  <c r="O189" i="5"/>
  <c r="L189" i="5"/>
  <c r="K189" i="5"/>
  <c r="J189" i="5"/>
  <c r="I189" i="5"/>
  <c r="H189" i="5"/>
  <c r="G189" i="5"/>
  <c r="F189" i="5"/>
  <c r="E189" i="5"/>
  <c r="V189" i="5" s="1"/>
  <c r="D189" i="5"/>
  <c r="U188" i="5"/>
  <c r="T188" i="5"/>
  <c r="R188" i="5"/>
  <c r="Q188" i="5"/>
  <c r="O188" i="5"/>
  <c r="L188" i="5"/>
  <c r="M188" i="5" s="1"/>
  <c r="K188" i="5"/>
  <c r="J188" i="5"/>
  <c r="I188" i="5"/>
  <c r="H188" i="5"/>
  <c r="G188" i="5"/>
  <c r="F188" i="5"/>
  <c r="E188" i="5"/>
  <c r="V188" i="5" s="1"/>
  <c r="D188" i="5"/>
  <c r="U187" i="5"/>
  <c r="T187" i="5"/>
  <c r="R187" i="5"/>
  <c r="Q187" i="5"/>
  <c r="O187" i="5"/>
  <c r="L187" i="5"/>
  <c r="K187" i="5"/>
  <c r="J187" i="5"/>
  <c r="I187" i="5"/>
  <c r="H187" i="5"/>
  <c r="G187" i="5"/>
  <c r="F187" i="5"/>
  <c r="E187" i="5"/>
  <c r="V187" i="5" s="1"/>
  <c r="D187" i="5"/>
  <c r="U186" i="5"/>
  <c r="T186" i="5"/>
  <c r="R186" i="5"/>
  <c r="Q186" i="5"/>
  <c r="O186" i="5"/>
  <c r="L186" i="5"/>
  <c r="M186" i="5" s="1"/>
  <c r="K186" i="5"/>
  <c r="J186" i="5"/>
  <c r="I186" i="5"/>
  <c r="H186" i="5"/>
  <c r="G186" i="5"/>
  <c r="F186" i="5"/>
  <c r="E186" i="5"/>
  <c r="V186" i="5" s="1"/>
  <c r="D186" i="5"/>
  <c r="U185" i="5"/>
  <c r="T185" i="5"/>
  <c r="R185" i="5"/>
  <c r="Q185" i="5"/>
  <c r="O185" i="5"/>
  <c r="L185" i="5"/>
  <c r="K185" i="5"/>
  <c r="J185" i="5"/>
  <c r="I185" i="5"/>
  <c r="H185" i="5"/>
  <c r="G185" i="5"/>
  <c r="F185" i="5"/>
  <c r="E185" i="5"/>
  <c r="V185" i="5" s="1"/>
  <c r="D185" i="5"/>
  <c r="U184" i="5"/>
  <c r="T184" i="5"/>
  <c r="R184" i="5"/>
  <c r="Q184" i="5"/>
  <c r="O184" i="5"/>
  <c r="L184" i="5"/>
  <c r="M184" i="5" s="1"/>
  <c r="K184" i="5"/>
  <c r="J184" i="5"/>
  <c r="I184" i="5"/>
  <c r="H184" i="5"/>
  <c r="G184" i="5"/>
  <c r="F184" i="5"/>
  <c r="E184" i="5"/>
  <c r="V184" i="5" s="1"/>
  <c r="D184" i="5"/>
  <c r="U183" i="5"/>
  <c r="T183" i="5"/>
  <c r="R183" i="5"/>
  <c r="Q183" i="5"/>
  <c r="O183" i="5"/>
  <c r="L183" i="5"/>
  <c r="K183" i="5"/>
  <c r="J183" i="5"/>
  <c r="I183" i="5"/>
  <c r="H183" i="5"/>
  <c r="G183" i="5"/>
  <c r="F183" i="5"/>
  <c r="E183" i="5"/>
  <c r="V183" i="5" s="1"/>
  <c r="D183" i="5"/>
  <c r="U182" i="5"/>
  <c r="T182" i="5"/>
  <c r="R182" i="5"/>
  <c r="Q182" i="5"/>
  <c r="O182" i="5"/>
  <c r="L182" i="5"/>
  <c r="M182" i="5" s="1"/>
  <c r="K182" i="5"/>
  <c r="J182" i="5"/>
  <c r="I182" i="5"/>
  <c r="H182" i="5"/>
  <c r="G182" i="5"/>
  <c r="F182" i="5"/>
  <c r="E182" i="5"/>
  <c r="V182" i="5" s="1"/>
  <c r="D182" i="5"/>
  <c r="U181" i="5"/>
  <c r="T181" i="5"/>
  <c r="R181" i="5"/>
  <c r="Q181" i="5"/>
  <c r="O181" i="5"/>
  <c r="L181" i="5"/>
  <c r="K181" i="5"/>
  <c r="J181" i="5"/>
  <c r="I181" i="5"/>
  <c r="H181" i="5"/>
  <c r="G181" i="5"/>
  <c r="F181" i="5"/>
  <c r="E181" i="5"/>
  <c r="V181" i="5" s="1"/>
  <c r="D181" i="5"/>
  <c r="U180" i="5"/>
  <c r="T180" i="5"/>
  <c r="R180" i="5"/>
  <c r="Q180" i="5"/>
  <c r="O180" i="5"/>
  <c r="L180" i="5"/>
  <c r="M180" i="5" s="1"/>
  <c r="K180" i="5"/>
  <c r="J180" i="5"/>
  <c r="I180" i="5"/>
  <c r="H180" i="5"/>
  <c r="G180" i="5"/>
  <c r="F180" i="5"/>
  <c r="E180" i="5"/>
  <c r="V180" i="5" s="1"/>
  <c r="D180" i="5"/>
  <c r="U179" i="5"/>
  <c r="T179" i="5"/>
  <c r="R179" i="5"/>
  <c r="Q179" i="5"/>
  <c r="O179" i="5"/>
  <c r="L179" i="5"/>
  <c r="K179" i="5"/>
  <c r="J179" i="5"/>
  <c r="I179" i="5"/>
  <c r="H179" i="5"/>
  <c r="G179" i="5"/>
  <c r="F179" i="5"/>
  <c r="E179" i="5"/>
  <c r="V179" i="5" s="1"/>
  <c r="D179" i="5"/>
  <c r="U178" i="5"/>
  <c r="T178" i="5"/>
  <c r="R178" i="5"/>
  <c r="Q178" i="5"/>
  <c r="O178" i="5"/>
  <c r="L178" i="5"/>
  <c r="M178" i="5" s="1"/>
  <c r="K178" i="5"/>
  <c r="J178" i="5"/>
  <c r="I178" i="5"/>
  <c r="H178" i="5"/>
  <c r="G178" i="5"/>
  <c r="F178" i="5"/>
  <c r="E178" i="5"/>
  <c r="V178" i="5" s="1"/>
  <c r="D178" i="5"/>
  <c r="U177" i="5"/>
  <c r="T177" i="5"/>
  <c r="R177" i="5"/>
  <c r="Q177" i="5"/>
  <c r="O177" i="5"/>
  <c r="L177" i="5"/>
  <c r="K177" i="5"/>
  <c r="J177" i="5"/>
  <c r="I177" i="5"/>
  <c r="H177" i="5"/>
  <c r="G177" i="5"/>
  <c r="F177" i="5"/>
  <c r="E177" i="5"/>
  <c r="V177" i="5" s="1"/>
  <c r="D177" i="5"/>
  <c r="U176" i="5"/>
  <c r="T176" i="5"/>
  <c r="R176" i="5"/>
  <c r="Q176" i="5"/>
  <c r="O176" i="5"/>
  <c r="L176" i="5"/>
  <c r="M176" i="5" s="1"/>
  <c r="K176" i="5"/>
  <c r="J176" i="5"/>
  <c r="I176" i="5"/>
  <c r="H176" i="5"/>
  <c r="G176" i="5"/>
  <c r="F176" i="5"/>
  <c r="E176" i="5"/>
  <c r="V176" i="5" s="1"/>
  <c r="D176" i="5"/>
  <c r="U175" i="5"/>
  <c r="T175" i="5"/>
  <c r="R175" i="5"/>
  <c r="Q175" i="5"/>
  <c r="O175" i="5"/>
  <c r="L175" i="5"/>
  <c r="K175" i="5"/>
  <c r="J175" i="5"/>
  <c r="I175" i="5"/>
  <c r="H175" i="5"/>
  <c r="G175" i="5"/>
  <c r="F175" i="5"/>
  <c r="E175" i="5"/>
  <c r="V175" i="5" s="1"/>
  <c r="D175" i="5"/>
  <c r="U174" i="5"/>
  <c r="T174" i="5"/>
  <c r="R174" i="5"/>
  <c r="Q174" i="5"/>
  <c r="O174" i="5"/>
  <c r="L174" i="5"/>
  <c r="M174" i="5" s="1"/>
  <c r="K174" i="5"/>
  <c r="J174" i="5"/>
  <c r="I174" i="5"/>
  <c r="H174" i="5"/>
  <c r="G174" i="5"/>
  <c r="F174" i="5"/>
  <c r="E174" i="5"/>
  <c r="V174" i="5" s="1"/>
  <c r="D174" i="5"/>
  <c r="U173" i="5"/>
  <c r="T173" i="5"/>
  <c r="R173" i="5"/>
  <c r="Q173" i="5"/>
  <c r="O173" i="5"/>
  <c r="L173" i="5"/>
  <c r="K173" i="5"/>
  <c r="J173" i="5"/>
  <c r="I173" i="5"/>
  <c r="H173" i="5"/>
  <c r="G173" i="5"/>
  <c r="F173" i="5"/>
  <c r="E173" i="5"/>
  <c r="V173" i="5" s="1"/>
  <c r="D173" i="5"/>
  <c r="U172" i="5"/>
  <c r="T172" i="5"/>
  <c r="R172" i="5"/>
  <c r="Q172" i="5"/>
  <c r="O172" i="5"/>
  <c r="L172" i="5"/>
  <c r="M172" i="5" s="1"/>
  <c r="K172" i="5"/>
  <c r="J172" i="5"/>
  <c r="I172" i="5"/>
  <c r="H172" i="5"/>
  <c r="G172" i="5"/>
  <c r="F172" i="5"/>
  <c r="E172" i="5"/>
  <c r="V172" i="5" s="1"/>
  <c r="D172" i="5"/>
  <c r="U171" i="5"/>
  <c r="T171" i="5"/>
  <c r="R171" i="5"/>
  <c r="Q171" i="5"/>
  <c r="O171" i="5"/>
  <c r="L171" i="5"/>
  <c r="K171" i="5"/>
  <c r="J171" i="5"/>
  <c r="I171" i="5"/>
  <c r="H171" i="5"/>
  <c r="G171" i="5"/>
  <c r="F171" i="5"/>
  <c r="E171" i="5"/>
  <c r="V171" i="5" s="1"/>
  <c r="D171" i="5"/>
  <c r="U170" i="5"/>
  <c r="T170" i="5"/>
  <c r="R170" i="5"/>
  <c r="Q170" i="5"/>
  <c r="O170" i="5"/>
  <c r="L170" i="5"/>
  <c r="M170" i="5" s="1"/>
  <c r="K170" i="5"/>
  <c r="J170" i="5"/>
  <c r="I170" i="5"/>
  <c r="H170" i="5"/>
  <c r="G170" i="5"/>
  <c r="F170" i="5"/>
  <c r="E170" i="5"/>
  <c r="V170" i="5" s="1"/>
  <c r="D170" i="5"/>
  <c r="U169" i="5"/>
  <c r="T169" i="5"/>
  <c r="R169" i="5"/>
  <c r="Q169" i="5"/>
  <c r="O169" i="5"/>
  <c r="L169" i="5"/>
  <c r="K169" i="5"/>
  <c r="J169" i="5"/>
  <c r="I169" i="5"/>
  <c r="H169" i="5"/>
  <c r="G169" i="5"/>
  <c r="F169" i="5"/>
  <c r="E169" i="5"/>
  <c r="V169" i="5" s="1"/>
  <c r="U168" i="5"/>
  <c r="T168" i="5"/>
  <c r="R168" i="5"/>
  <c r="Q168" i="5"/>
  <c r="O168" i="5"/>
  <c r="L168" i="5"/>
  <c r="M168" i="5" s="1"/>
  <c r="K168" i="5"/>
  <c r="J168" i="5"/>
  <c r="I168" i="5"/>
  <c r="H168" i="5"/>
  <c r="G168" i="5"/>
  <c r="F168" i="5"/>
  <c r="E168" i="5"/>
  <c r="V168" i="5" s="1"/>
  <c r="D168" i="5"/>
  <c r="U167" i="5"/>
  <c r="T167" i="5"/>
  <c r="R167" i="5"/>
  <c r="Q167" i="5"/>
  <c r="O167" i="5"/>
  <c r="L167" i="5"/>
  <c r="K167" i="5"/>
  <c r="J167" i="5"/>
  <c r="I167" i="5"/>
  <c r="H167" i="5"/>
  <c r="G167" i="5"/>
  <c r="F167" i="5"/>
  <c r="E167" i="5"/>
  <c r="V167" i="5" s="1"/>
  <c r="U166" i="5"/>
  <c r="T166" i="5"/>
  <c r="R166" i="5"/>
  <c r="Q166" i="5"/>
  <c r="O166" i="5"/>
  <c r="L166" i="5"/>
  <c r="M166" i="5" s="1"/>
  <c r="K166" i="5"/>
  <c r="J166" i="5"/>
  <c r="I166" i="5"/>
  <c r="H166" i="5"/>
  <c r="G166" i="5"/>
  <c r="F166" i="5"/>
  <c r="E166" i="5"/>
  <c r="V166" i="5" s="1"/>
  <c r="D166" i="5"/>
  <c r="U165" i="5"/>
  <c r="T165" i="5"/>
  <c r="R165" i="5"/>
  <c r="Q165" i="5"/>
  <c r="O165" i="5"/>
  <c r="L165" i="5"/>
  <c r="K165" i="5"/>
  <c r="J165" i="5"/>
  <c r="I165" i="5"/>
  <c r="H165" i="5"/>
  <c r="G165" i="5"/>
  <c r="F165" i="5"/>
  <c r="E165" i="5"/>
  <c r="V165" i="5" s="1"/>
  <c r="U164" i="5"/>
  <c r="T164" i="5"/>
  <c r="R164" i="5"/>
  <c r="Q164" i="5"/>
  <c r="O164" i="5"/>
  <c r="L164" i="5"/>
  <c r="M164" i="5" s="1"/>
  <c r="K164" i="5"/>
  <c r="J164" i="5"/>
  <c r="I164" i="5"/>
  <c r="H164" i="5"/>
  <c r="G164" i="5"/>
  <c r="F164" i="5"/>
  <c r="E164" i="5"/>
  <c r="V164" i="5" s="1"/>
  <c r="D164" i="5"/>
  <c r="U163" i="5"/>
  <c r="T163" i="5"/>
  <c r="R163" i="5"/>
  <c r="Q163" i="5"/>
  <c r="O163" i="5"/>
  <c r="L163" i="5"/>
  <c r="K163" i="5"/>
  <c r="J163" i="5"/>
  <c r="I163" i="5"/>
  <c r="H163" i="5"/>
  <c r="G163" i="5"/>
  <c r="F163" i="5"/>
  <c r="E163" i="5"/>
  <c r="V163" i="5" s="1"/>
  <c r="D163" i="5"/>
  <c r="U162" i="5"/>
  <c r="T162" i="5"/>
  <c r="R162" i="5"/>
  <c r="Q162" i="5"/>
  <c r="O162" i="5"/>
  <c r="L162" i="5"/>
  <c r="M162" i="5" s="1"/>
  <c r="K162" i="5"/>
  <c r="J162" i="5"/>
  <c r="I162" i="5"/>
  <c r="H162" i="5"/>
  <c r="G162" i="5"/>
  <c r="F162" i="5"/>
  <c r="E162" i="5"/>
  <c r="V162" i="5" s="1"/>
  <c r="D162" i="5"/>
  <c r="U161" i="5"/>
  <c r="T161" i="5"/>
  <c r="R161" i="5"/>
  <c r="Q161" i="5"/>
  <c r="O161" i="5"/>
  <c r="L161" i="5"/>
  <c r="K161" i="5"/>
  <c r="J161" i="5"/>
  <c r="I161" i="5"/>
  <c r="H161" i="5"/>
  <c r="G161" i="5"/>
  <c r="F161" i="5"/>
  <c r="E161" i="5"/>
  <c r="V161" i="5" s="1"/>
  <c r="U160" i="5"/>
  <c r="T160" i="5"/>
  <c r="R160" i="5"/>
  <c r="Q160" i="5"/>
  <c r="O160" i="5"/>
  <c r="L160" i="5"/>
  <c r="M160" i="5" s="1"/>
  <c r="K160" i="5"/>
  <c r="J160" i="5"/>
  <c r="I160" i="5"/>
  <c r="H160" i="5"/>
  <c r="G160" i="5"/>
  <c r="F160" i="5"/>
  <c r="E160" i="5"/>
  <c r="V160" i="5" s="1"/>
  <c r="D160" i="5"/>
  <c r="U159" i="5"/>
  <c r="T159" i="5"/>
  <c r="R159" i="5"/>
  <c r="Q159" i="5"/>
  <c r="O159" i="5"/>
  <c r="L159" i="5"/>
  <c r="K159" i="5"/>
  <c r="J159" i="5"/>
  <c r="I159" i="5"/>
  <c r="H159" i="5"/>
  <c r="G159" i="5"/>
  <c r="F159" i="5"/>
  <c r="E159" i="5"/>
  <c r="V159" i="5" s="1"/>
  <c r="D159" i="5"/>
  <c r="U158" i="5"/>
  <c r="T158" i="5"/>
  <c r="R158" i="5"/>
  <c r="Q158" i="5"/>
  <c r="O158" i="5"/>
  <c r="L158" i="5"/>
  <c r="M158" i="5" s="1"/>
  <c r="K158" i="5"/>
  <c r="J158" i="5"/>
  <c r="I158" i="5"/>
  <c r="H158" i="5"/>
  <c r="G158" i="5"/>
  <c r="F158" i="5"/>
  <c r="E158" i="5"/>
  <c r="V158" i="5" s="1"/>
  <c r="D158" i="5"/>
  <c r="U157" i="5"/>
  <c r="T157" i="5"/>
  <c r="R157" i="5"/>
  <c r="Q157" i="5"/>
  <c r="O157" i="5"/>
  <c r="L157" i="5"/>
  <c r="K157" i="5"/>
  <c r="J157" i="5"/>
  <c r="I157" i="5"/>
  <c r="H157" i="5"/>
  <c r="G157" i="5"/>
  <c r="F157" i="5"/>
  <c r="E157" i="5"/>
  <c r="V157" i="5" s="1"/>
  <c r="D157" i="5"/>
  <c r="U156" i="5"/>
  <c r="T156" i="5"/>
  <c r="R156" i="5"/>
  <c r="Q156" i="5"/>
  <c r="O156" i="5"/>
  <c r="L156" i="5"/>
  <c r="M156" i="5" s="1"/>
  <c r="K156" i="5"/>
  <c r="J156" i="5"/>
  <c r="I156" i="5"/>
  <c r="H156" i="5"/>
  <c r="G156" i="5"/>
  <c r="F156" i="5"/>
  <c r="E156" i="5"/>
  <c r="V156" i="5" s="1"/>
  <c r="D156" i="5"/>
  <c r="U155" i="5"/>
  <c r="T155" i="5"/>
  <c r="R155" i="5"/>
  <c r="Q155" i="5"/>
  <c r="O155" i="5"/>
  <c r="L155" i="5"/>
  <c r="K155" i="5"/>
  <c r="J155" i="5"/>
  <c r="I155" i="5"/>
  <c r="H155" i="5"/>
  <c r="G155" i="5"/>
  <c r="F155" i="5"/>
  <c r="E155" i="5"/>
  <c r="V155" i="5" s="1"/>
  <c r="D155" i="5"/>
  <c r="U154" i="5"/>
  <c r="T154" i="5"/>
  <c r="R154" i="5"/>
  <c r="Q154" i="5"/>
  <c r="O154" i="5"/>
  <c r="L154" i="5"/>
  <c r="M154" i="5" s="1"/>
  <c r="K154" i="5"/>
  <c r="J154" i="5"/>
  <c r="I154" i="5"/>
  <c r="H154" i="5"/>
  <c r="G154" i="5"/>
  <c r="F154" i="5"/>
  <c r="E154" i="5"/>
  <c r="V154" i="5" s="1"/>
  <c r="D154" i="5"/>
  <c r="U153" i="5"/>
  <c r="T153" i="5"/>
  <c r="R153" i="5"/>
  <c r="Q153" i="5"/>
  <c r="O153" i="5"/>
  <c r="L153" i="5"/>
  <c r="K153" i="5"/>
  <c r="J153" i="5"/>
  <c r="I153" i="5"/>
  <c r="H153" i="5"/>
  <c r="G153" i="5"/>
  <c r="F153" i="5"/>
  <c r="E153" i="5"/>
  <c r="V153" i="5" s="1"/>
  <c r="D153" i="5"/>
  <c r="U152" i="5"/>
  <c r="T152" i="5"/>
  <c r="R152" i="5"/>
  <c r="Q152" i="5"/>
  <c r="O152" i="5"/>
  <c r="L152" i="5"/>
  <c r="M152" i="5" s="1"/>
  <c r="K152" i="5"/>
  <c r="J152" i="5"/>
  <c r="I152" i="5"/>
  <c r="H152" i="5"/>
  <c r="G152" i="5"/>
  <c r="F152" i="5"/>
  <c r="E152" i="5"/>
  <c r="V152" i="5" s="1"/>
  <c r="D152" i="5"/>
  <c r="U151" i="5"/>
  <c r="T151" i="5"/>
  <c r="R151" i="5"/>
  <c r="Q151" i="5"/>
  <c r="O151" i="5"/>
  <c r="L151" i="5"/>
  <c r="K151" i="5"/>
  <c r="J151" i="5"/>
  <c r="I151" i="5"/>
  <c r="H151" i="5"/>
  <c r="G151" i="5"/>
  <c r="F151" i="5"/>
  <c r="E151" i="5"/>
  <c r="V151" i="5" s="1"/>
  <c r="D151" i="5"/>
  <c r="U150" i="5"/>
  <c r="T150" i="5"/>
  <c r="R150" i="5"/>
  <c r="Q150" i="5"/>
  <c r="O150" i="5"/>
  <c r="L150" i="5"/>
  <c r="M150" i="5" s="1"/>
  <c r="K150" i="5"/>
  <c r="J150" i="5"/>
  <c r="I150" i="5"/>
  <c r="H150" i="5"/>
  <c r="G150" i="5"/>
  <c r="F150" i="5"/>
  <c r="E150" i="5"/>
  <c r="V150" i="5" s="1"/>
  <c r="D150" i="5"/>
  <c r="U149" i="5"/>
  <c r="T149" i="5"/>
  <c r="R149" i="5"/>
  <c r="Q149" i="5"/>
  <c r="O149" i="5"/>
  <c r="L149" i="5"/>
  <c r="K149" i="5"/>
  <c r="J149" i="5"/>
  <c r="I149" i="5"/>
  <c r="H149" i="5"/>
  <c r="G149" i="5"/>
  <c r="F149" i="5"/>
  <c r="E149" i="5"/>
  <c r="V149" i="5" s="1"/>
  <c r="D149" i="5"/>
  <c r="U148" i="5"/>
  <c r="T148" i="5"/>
  <c r="R148" i="5"/>
  <c r="Q148" i="5"/>
  <c r="O148" i="5"/>
  <c r="L148" i="5"/>
  <c r="M148" i="5" s="1"/>
  <c r="K148" i="5"/>
  <c r="J148" i="5"/>
  <c r="I148" i="5"/>
  <c r="H148" i="5"/>
  <c r="G148" i="5"/>
  <c r="F148" i="5"/>
  <c r="E148" i="5"/>
  <c r="V148" i="5" s="1"/>
  <c r="D148" i="5"/>
  <c r="U147" i="5"/>
  <c r="T147" i="5"/>
  <c r="R147" i="5"/>
  <c r="Q147" i="5"/>
  <c r="O147" i="5"/>
  <c r="L147" i="5"/>
  <c r="K147" i="5"/>
  <c r="J147" i="5"/>
  <c r="I147" i="5"/>
  <c r="H147" i="5"/>
  <c r="G147" i="5"/>
  <c r="F147" i="5"/>
  <c r="E147" i="5"/>
  <c r="V147" i="5" s="1"/>
  <c r="D147" i="5"/>
  <c r="U146" i="5"/>
  <c r="T146" i="5"/>
  <c r="R146" i="5"/>
  <c r="Q146" i="5"/>
  <c r="O146" i="5"/>
  <c r="L146" i="5"/>
  <c r="M146" i="5" s="1"/>
  <c r="K146" i="5"/>
  <c r="J146" i="5"/>
  <c r="I146" i="5"/>
  <c r="H146" i="5"/>
  <c r="G146" i="5"/>
  <c r="F146" i="5"/>
  <c r="E146" i="5"/>
  <c r="V146" i="5" s="1"/>
  <c r="D146" i="5"/>
  <c r="U145" i="5"/>
  <c r="T145" i="5"/>
  <c r="R145" i="5"/>
  <c r="Q145" i="5"/>
  <c r="O145" i="5"/>
  <c r="L145" i="5"/>
  <c r="K145" i="5"/>
  <c r="J145" i="5"/>
  <c r="I145" i="5"/>
  <c r="H145" i="5"/>
  <c r="G145" i="5"/>
  <c r="F145" i="5"/>
  <c r="E145" i="5"/>
  <c r="V145" i="5" s="1"/>
  <c r="D145" i="5"/>
  <c r="U144" i="5"/>
  <c r="T144" i="5"/>
  <c r="R144" i="5"/>
  <c r="Q144" i="5"/>
  <c r="O144" i="5"/>
  <c r="L144" i="5"/>
  <c r="M144" i="5" s="1"/>
  <c r="K144" i="5"/>
  <c r="J144" i="5"/>
  <c r="I144" i="5"/>
  <c r="H144" i="5"/>
  <c r="G144" i="5"/>
  <c r="F144" i="5"/>
  <c r="E144" i="5"/>
  <c r="V144" i="5" s="1"/>
  <c r="D144" i="5"/>
  <c r="U143" i="5"/>
  <c r="T143" i="5"/>
  <c r="R143" i="5"/>
  <c r="Q143" i="5"/>
  <c r="O143" i="5"/>
  <c r="L143" i="5"/>
  <c r="K143" i="5"/>
  <c r="J143" i="5"/>
  <c r="I143" i="5"/>
  <c r="H143" i="5"/>
  <c r="G143" i="5"/>
  <c r="F143" i="5"/>
  <c r="E143" i="5"/>
  <c r="V143" i="5" s="1"/>
  <c r="D143" i="5"/>
  <c r="U142" i="5"/>
  <c r="T142" i="5"/>
  <c r="R142" i="5"/>
  <c r="Q142" i="5"/>
  <c r="O142" i="5"/>
  <c r="L142" i="5"/>
  <c r="M142" i="5" s="1"/>
  <c r="K142" i="5"/>
  <c r="J142" i="5"/>
  <c r="I142" i="5"/>
  <c r="H142" i="5"/>
  <c r="G142" i="5"/>
  <c r="F142" i="5"/>
  <c r="E142" i="5"/>
  <c r="V142" i="5" s="1"/>
  <c r="D142" i="5"/>
  <c r="U141" i="5"/>
  <c r="T141" i="5"/>
  <c r="R141" i="5"/>
  <c r="Q141" i="5"/>
  <c r="O141" i="5"/>
  <c r="L141" i="5"/>
  <c r="K141" i="5"/>
  <c r="J141" i="5"/>
  <c r="I141" i="5"/>
  <c r="H141" i="5"/>
  <c r="G141" i="5"/>
  <c r="F141" i="5"/>
  <c r="E141" i="5"/>
  <c r="V141" i="5" s="1"/>
  <c r="D141" i="5"/>
  <c r="U140" i="5"/>
  <c r="T140" i="5"/>
  <c r="R140" i="5"/>
  <c r="Q140" i="5"/>
  <c r="O140" i="5"/>
  <c r="L140" i="5"/>
  <c r="M140" i="5" s="1"/>
  <c r="K140" i="5"/>
  <c r="J140" i="5"/>
  <c r="I140" i="5"/>
  <c r="H140" i="5"/>
  <c r="G140" i="5"/>
  <c r="F140" i="5"/>
  <c r="E140" i="5"/>
  <c r="V140" i="5" s="1"/>
  <c r="D140" i="5"/>
  <c r="U139" i="5"/>
  <c r="T139" i="5"/>
  <c r="R139" i="5"/>
  <c r="Q139" i="5"/>
  <c r="O139" i="5"/>
  <c r="L139" i="5"/>
  <c r="K139" i="5"/>
  <c r="J139" i="5"/>
  <c r="I139" i="5"/>
  <c r="H139" i="5"/>
  <c r="G139" i="5"/>
  <c r="F139" i="5"/>
  <c r="E139" i="5"/>
  <c r="V139" i="5" s="1"/>
  <c r="D139" i="5"/>
  <c r="U138" i="5"/>
  <c r="T138" i="5"/>
  <c r="R138" i="5"/>
  <c r="Q138" i="5"/>
  <c r="O138" i="5"/>
  <c r="L138" i="5"/>
  <c r="M138" i="5" s="1"/>
  <c r="K138" i="5"/>
  <c r="J138" i="5"/>
  <c r="I138" i="5"/>
  <c r="H138" i="5"/>
  <c r="G138" i="5"/>
  <c r="F138" i="5"/>
  <c r="E138" i="5"/>
  <c r="V138" i="5" s="1"/>
  <c r="D138" i="5"/>
  <c r="U137" i="5"/>
  <c r="T137" i="5"/>
  <c r="R137" i="5"/>
  <c r="Q137" i="5"/>
  <c r="O137" i="5"/>
  <c r="L137" i="5"/>
  <c r="K137" i="5"/>
  <c r="J137" i="5"/>
  <c r="I137" i="5"/>
  <c r="H137" i="5"/>
  <c r="G137" i="5"/>
  <c r="F137" i="5"/>
  <c r="E137" i="5"/>
  <c r="V137" i="5" s="1"/>
  <c r="D137" i="5"/>
  <c r="U136" i="5"/>
  <c r="T136" i="5"/>
  <c r="R136" i="5"/>
  <c r="Q136" i="5"/>
  <c r="O136" i="5"/>
  <c r="L136" i="5"/>
  <c r="M136" i="5" s="1"/>
  <c r="K136" i="5"/>
  <c r="J136" i="5"/>
  <c r="I136" i="5"/>
  <c r="H136" i="5"/>
  <c r="G136" i="5"/>
  <c r="F136" i="5"/>
  <c r="E136" i="5"/>
  <c r="V136" i="5" s="1"/>
  <c r="D136" i="5"/>
  <c r="U135" i="5"/>
  <c r="T135" i="5"/>
  <c r="R135" i="5"/>
  <c r="Q135" i="5"/>
  <c r="O135" i="5"/>
  <c r="L135" i="5"/>
  <c r="K135" i="5"/>
  <c r="J135" i="5"/>
  <c r="I135" i="5"/>
  <c r="H135" i="5"/>
  <c r="G135" i="5"/>
  <c r="F135" i="5"/>
  <c r="E135" i="5"/>
  <c r="V135" i="5" s="1"/>
  <c r="D135" i="5"/>
  <c r="U134" i="5"/>
  <c r="T134" i="5"/>
  <c r="R134" i="5"/>
  <c r="Q134" i="5"/>
  <c r="O134" i="5"/>
  <c r="L134" i="5"/>
  <c r="M134" i="5" s="1"/>
  <c r="K134" i="5"/>
  <c r="J134" i="5"/>
  <c r="I134" i="5"/>
  <c r="H134" i="5"/>
  <c r="G134" i="5"/>
  <c r="F134" i="5"/>
  <c r="E134" i="5"/>
  <c r="V134" i="5" s="1"/>
  <c r="D134" i="5"/>
  <c r="U133" i="5"/>
  <c r="T133" i="5"/>
  <c r="R133" i="5"/>
  <c r="Q133" i="5"/>
  <c r="O133" i="5"/>
  <c r="L133" i="5"/>
  <c r="K133" i="5"/>
  <c r="J133" i="5"/>
  <c r="I133" i="5"/>
  <c r="H133" i="5"/>
  <c r="G133" i="5"/>
  <c r="F133" i="5"/>
  <c r="E133" i="5"/>
  <c r="V133" i="5" s="1"/>
  <c r="D133" i="5"/>
  <c r="U132" i="5"/>
  <c r="T132" i="5"/>
  <c r="R132" i="5"/>
  <c r="Q132" i="5"/>
  <c r="O132" i="5"/>
  <c r="M132" i="5"/>
  <c r="L132" i="5"/>
  <c r="K132" i="5"/>
  <c r="J132" i="5"/>
  <c r="I132" i="5"/>
  <c r="H132" i="5"/>
  <c r="G132" i="5"/>
  <c r="F132" i="5"/>
  <c r="E132" i="5"/>
  <c r="V132" i="5" s="1"/>
  <c r="U131" i="5"/>
  <c r="T131" i="5"/>
  <c r="R131" i="5"/>
  <c r="Q131" i="5"/>
  <c r="O131" i="5"/>
  <c r="L131" i="5"/>
  <c r="K131" i="5"/>
  <c r="J131" i="5"/>
  <c r="I131" i="5"/>
  <c r="H131" i="5"/>
  <c r="G131" i="5"/>
  <c r="F131" i="5"/>
  <c r="E131" i="5"/>
  <c r="V131" i="5" s="1"/>
  <c r="D131" i="5"/>
  <c r="U130" i="5"/>
  <c r="T130" i="5"/>
  <c r="R130" i="5"/>
  <c r="Q130" i="5"/>
  <c r="O130" i="5"/>
  <c r="M130" i="5"/>
  <c r="L130" i="5"/>
  <c r="K130" i="5"/>
  <c r="J130" i="5"/>
  <c r="I130" i="5"/>
  <c r="H130" i="5"/>
  <c r="G130" i="5"/>
  <c r="F130" i="5"/>
  <c r="E130" i="5"/>
  <c r="V130" i="5" s="1"/>
  <c r="U129" i="5"/>
  <c r="T129" i="5"/>
  <c r="R129" i="5"/>
  <c r="Q129" i="5"/>
  <c r="O129" i="5"/>
  <c r="L129" i="5"/>
  <c r="K129" i="5"/>
  <c r="J129" i="5"/>
  <c r="I129" i="5"/>
  <c r="H129" i="5"/>
  <c r="G129" i="5"/>
  <c r="F129" i="5"/>
  <c r="E129" i="5"/>
  <c r="V129" i="5" s="1"/>
  <c r="U128" i="5"/>
  <c r="T128" i="5"/>
  <c r="R128" i="5"/>
  <c r="Q128" i="5"/>
  <c r="O128" i="5"/>
  <c r="M128" i="5"/>
  <c r="L128" i="5"/>
  <c r="K128" i="5"/>
  <c r="J128" i="5"/>
  <c r="I128" i="5"/>
  <c r="H128" i="5"/>
  <c r="G128" i="5"/>
  <c r="F128" i="5"/>
  <c r="E128" i="5"/>
  <c r="V128" i="5" s="1"/>
  <c r="U127" i="5"/>
  <c r="T127" i="5"/>
  <c r="R127" i="5"/>
  <c r="Q127" i="5"/>
  <c r="O127" i="5"/>
  <c r="L127" i="5"/>
  <c r="K127" i="5"/>
  <c r="J127" i="5"/>
  <c r="I127" i="5"/>
  <c r="H127" i="5"/>
  <c r="G127" i="5"/>
  <c r="F127" i="5"/>
  <c r="E127" i="5"/>
  <c r="V127" i="5" s="1"/>
  <c r="D127" i="5"/>
  <c r="U126" i="5"/>
  <c r="T126" i="5"/>
  <c r="R126" i="5"/>
  <c r="Q126" i="5"/>
  <c r="O126" i="5"/>
  <c r="M126" i="5"/>
  <c r="L126" i="5"/>
  <c r="K126" i="5"/>
  <c r="J126" i="5"/>
  <c r="I126" i="5"/>
  <c r="H126" i="5"/>
  <c r="G126" i="5"/>
  <c r="F126" i="5"/>
  <c r="E126" i="5"/>
  <c r="V126" i="5" s="1"/>
  <c r="U125" i="5"/>
  <c r="T125" i="5"/>
  <c r="R125" i="5"/>
  <c r="Q125" i="5"/>
  <c r="O125" i="5"/>
  <c r="L125" i="5"/>
  <c r="K125" i="5"/>
  <c r="J125" i="5"/>
  <c r="I125" i="5"/>
  <c r="H125" i="5"/>
  <c r="G125" i="5"/>
  <c r="F125" i="5"/>
  <c r="E125" i="5"/>
  <c r="V125" i="5" s="1"/>
  <c r="D125" i="5"/>
  <c r="U124" i="5"/>
  <c r="T124" i="5"/>
  <c r="R124" i="5"/>
  <c r="Q124" i="5"/>
  <c r="O124" i="5"/>
  <c r="M124" i="5"/>
  <c r="L124" i="5"/>
  <c r="K124" i="5"/>
  <c r="J124" i="5"/>
  <c r="I124" i="5"/>
  <c r="H124" i="5"/>
  <c r="G124" i="5"/>
  <c r="F124" i="5"/>
  <c r="E124" i="5"/>
  <c r="V124" i="5" s="1"/>
  <c r="U123" i="5"/>
  <c r="T123" i="5"/>
  <c r="R123" i="5"/>
  <c r="Q123" i="5"/>
  <c r="O123" i="5"/>
  <c r="L123" i="5"/>
  <c r="K123" i="5"/>
  <c r="J123" i="5"/>
  <c r="I123" i="5"/>
  <c r="H123" i="5"/>
  <c r="G123" i="5"/>
  <c r="F123" i="5"/>
  <c r="E123" i="5"/>
  <c r="V123" i="5" s="1"/>
  <c r="D123" i="5"/>
  <c r="U122" i="5"/>
  <c r="T122" i="5"/>
  <c r="R122" i="5"/>
  <c r="Q122" i="5"/>
  <c r="O122" i="5"/>
  <c r="M122" i="5"/>
  <c r="L122" i="5"/>
  <c r="K122" i="5"/>
  <c r="J122" i="5"/>
  <c r="I122" i="5"/>
  <c r="H122" i="5"/>
  <c r="G122" i="5"/>
  <c r="F122" i="5"/>
  <c r="E122" i="5"/>
  <c r="V122" i="5" s="1"/>
  <c r="U121" i="5"/>
  <c r="T121" i="5"/>
  <c r="R121" i="5"/>
  <c r="Q121" i="5"/>
  <c r="O121" i="5"/>
  <c r="L121" i="5"/>
  <c r="K121" i="5"/>
  <c r="J121" i="5"/>
  <c r="I121" i="5"/>
  <c r="H121" i="5"/>
  <c r="G121" i="5"/>
  <c r="F121" i="5"/>
  <c r="E121" i="5"/>
  <c r="V121" i="5" s="1"/>
  <c r="D121" i="5"/>
  <c r="U120" i="5"/>
  <c r="T120" i="5"/>
  <c r="R120" i="5"/>
  <c r="Q120" i="5"/>
  <c r="O120" i="5"/>
  <c r="L120" i="5"/>
  <c r="K120" i="5"/>
  <c r="J120" i="5"/>
  <c r="I120" i="5"/>
  <c r="H120" i="5"/>
  <c r="G120" i="5"/>
  <c r="F120" i="5"/>
  <c r="E120" i="5"/>
  <c r="V120" i="5" s="1"/>
  <c r="V119" i="5"/>
  <c r="U119" i="5"/>
  <c r="T119" i="5"/>
  <c r="R119" i="5"/>
  <c r="Q119" i="5"/>
  <c r="O119" i="5"/>
  <c r="L119" i="5"/>
  <c r="K119" i="5"/>
  <c r="M119" i="5" s="1"/>
  <c r="J119" i="5"/>
  <c r="I119" i="5"/>
  <c r="H119" i="5"/>
  <c r="G119" i="5"/>
  <c r="F119" i="5"/>
  <c r="E119" i="5"/>
  <c r="D119" i="5" s="1"/>
  <c r="U118" i="5"/>
  <c r="T118" i="5"/>
  <c r="R118" i="5"/>
  <c r="Q118" i="5"/>
  <c r="O118" i="5"/>
  <c r="L118" i="5"/>
  <c r="K118" i="5"/>
  <c r="J118" i="5"/>
  <c r="I118" i="5"/>
  <c r="H118" i="5"/>
  <c r="G118" i="5"/>
  <c r="F118" i="5"/>
  <c r="E118" i="5"/>
  <c r="D118" i="5" s="1"/>
  <c r="V117" i="5"/>
  <c r="U117" i="5"/>
  <c r="T117" i="5"/>
  <c r="R117" i="5"/>
  <c r="Q117" i="5"/>
  <c r="O117" i="5"/>
  <c r="L117" i="5"/>
  <c r="K117" i="5"/>
  <c r="M117" i="5" s="1"/>
  <c r="J117" i="5"/>
  <c r="I117" i="5"/>
  <c r="H117" i="5"/>
  <c r="G117" i="5"/>
  <c r="F117" i="5"/>
  <c r="E117" i="5"/>
  <c r="D117" i="5" s="1"/>
  <c r="U116" i="5"/>
  <c r="T116" i="5"/>
  <c r="R116" i="5"/>
  <c r="Q116" i="5"/>
  <c r="O116" i="5"/>
  <c r="L116" i="5"/>
  <c r="K116" i="5"/>
  <c r="J116" i="5"/>
  <c r="I116" i="5"/>
  <c r="H116" i="5"/>
  <c r="G116" i="5"/>
  <c r="F116" i="5"/>
  <c r="E116" i="5"/>
  <c r="D116" i="5" s="1"/>
  <c r="V115" i="5"/>
  <c r="U115" i="5"/>
  <c r="T115" i="5"/>
  <c r="R115" i="5"/>
  <c r="Q115" i="5"/>
  <c r="O115" i="5"/>
  <c r="L115" i="5"/>
  <c r="K115" i="5"/>
  <c r="M115" i="5" s="1"/>
  <c r="J115" i="5"/>
  <c r="I115" i="5"/>
  <c r="H115" i="5"/>
  <c r="G115" i="5"/>
  <c r="F115" i="5"/>
  <c r="E115" i="5"/>
  <c r="D115" i="5" s="1"/>
  <c r="U114" i="5"/>
  <c r="T114" i="5"/>
  <c r="R114" i="5"/>
  <c r="Q114" i="5"/>
  <c r="O114" i="5"/>
  <c r="L114" i="5"/>
  <c r="K114" i="5"/>
  <c r="J114" i="5"/>
  <c r="I114" i="5"/>
  <c r="H114" i="5"/>
  <c r="G114" i="5"/>
  <c r="F114" i="5"/>
  <c r="E114" i="5"/>
  <c r="D114" i="5" s="1"/>
  <c r="V113" i="5"/>
  <c r="U113" i="5"/>
  <c r="T113" i="5"/>
  <c r="R113" i="5"/>
  <c r="Q113" i="5"/>
  <c r="O113" i="5"/>
  <c r="L113" i="5"/>
  <c r="K113" i="5"/>
  <c r="M113" i="5" s="1"/>
  <c r="J113" i="5"/>
  <c r="I113" i="5"/>
  <c r="H113" i="5"/>
  <c r="G113" i="5"/>
  <c r="F113" i="5"/>
  <c r="E113" i="5"/>
  <c r="D113" i="5" s="1"/>
  <c r="U112" i="5"/>
  <c r="T112" i="5"/>
  <c r="R112" i="5"/>
  <c r="Q112" i="5"/>
  <c r="O112" i="5"/>
  <c r="L112" i="5"/>
  <c r="K112" i="5"/>
  <c r="J112" i="5"/>
  <c r="I112" i="5"/>
  <c r="H112" i="5"/>
  <c r="G112" i="5"/>
  <c r="F112" i="5"/>
  <c r="E112" i="5"/>
  <c r="V111" i="5"/>
  <c r="U111" i="5"/>
  <c r="T111" i="5"/>
  <c r="R111" i="5"/>
  <c r="Q111" i="5"/>
  <c r="O111" i="5"/>
  <c r="L111" i="5"/>
  <c r="K111" i="5"/>
  <c r="M111" i="5" s="1"/>
  <c r="J111" i="5"/>
  <c r="I111" i="5"/>
  <c r="H111" i="5"/>
  <c r="G111" i="5"/>
  <c r="F111" i="5"/>
  <c r="E111" i="5"/>
  <c r="D111" i="5" s="1"/>
  <c r="U110" i="5"/>
  <c r="T110" i="5"/>
  <c r="R110" i="5"/>
  <c r="Q110" i="5"/>
  <c r="O110" i="5"/>
  <c r="L110" i="5"/>
  <c r="K110" i="5"/>
  <c r="J110" i="5"/>
  <c r="I110" i="5"/>
  <c r="H110" i="5"/>
  <c r="G110" i="5"/>
  <c r="F110" i="5"/>
  <c r="E110" i="5"/>
  <c r="V109" i="5"/>
  <c r="U109" i="5"/>
  <c r="T109" i="5"/>
  <c r="R109" i="5"/>
  <c r="Q109" i="5"/>
  <c r="O109" i="5"/>
  <c r="L109" i="5"/>
  <c r="K109" i="5"/>
  <c r="M109" i="5" s="1"/>
  <c r="J109" i="5"/>
  <c r="I109" i="5"/>
  <c r="H109" i="5"/>
  <c r="G109" i="5"/>
  <c r="F109" i="5"/>
  <c r="E109" i="5"/>
  <c r="D109" i="5" s="1"/>
  <c r="U108" i="5"/>
  <c r="T108" i="5"/>
  <c r="R108" i="5"/>
  <c r="Q108" i="5"/>
  <c r="O108" i="5"/>
  <c r="L108" i="5"/>
  <c r="K108" i="5"/>
  <c r="J108" i="5"/>
  <c r="I108" i="5"/>
  <c r="H108" i="5"/>
  <c r="G108" i="5"/>
  <c r="F108" i="5"/>
  <c r="E108" i="5"/>
  <c r="V107" i="5"/>
  <c r="U107" i="5"/>
  <c r="T107" i="5"/>
  <c r="R107" i="5"/>
  <c r="Q107" i="5"/>
  <c r="O107" i="5"/>
  <c r="L107" i="5"/>
  <c r="K107" i="5"/>
  <c r="M107" i="5" s="1"/>
  <c r="J107" i="5"/>
  <c r="I107" i="5"/>
  <c r="H107" i="5"/>
  <c r="G107" i="5"/>
  <c r="F107" i="5"/>
  <c r="E107" i="5"/>
  <c r="D107" i="5" s="1"/>
  <c r="U106" i="5"/>
  <c r="T106" i="5"/>
  <c r="R106" i="5"/>
  <c r="Q106" i="5"/>
  <c r="O106" i="5"/>
  <c r="L106" i="5"/>
  <c r="K106" i="5"/>
  <c r="J106" i="5"/>
  <c r="I106" i="5"/>
  <c r="H106" i="5"/>
  <c r="G106" i="5"/>
  <c r="F106" i="5"/>
  <c r="E106" i="5"/>
  <c r="V105" i="5"/>
  <c r="U105" i="5"/>
  <c r="T105" i="5"/>
  <c r="R105" i="5"/>
  <c r="Q105" i="5"/>
  <c r="O105" i="5"/>
  <c r="L105" i="5"/>
  <c r="K105" i="5"/>
  <c r="M105" i="5" s="1"/>
  <c r="J105" i="5"/>
  <c r="I105" i="5"/>
  <c r="H105" i="5"/>
  <c r="G105" i="5"/>
  <c r="F105" i="5"/>
  <c r="E105" i="5"/>
  <c r="D105" i="5" s="1"/>
  <c r="U104" i="5"/>
  <c r="T104" i="5"/>
  <c r="R104" i="5"/>
  <c r="Q104" i="5"/>
  <c r="O104" i="5"/>
  <c r="L104" i="5"/>
  <c r="K104" i="5"/>
  <c r="J104" i="5"/>
  <c r="I104" i="5"/>
  <c r="H104" i="5"/>
  <c r="G104" i="5"/>
  <c r="F104" i="5"/>
  <c r="E104" i="5"/>
  <c r="V103" i="5"/>
  <c r="U103" i="5"/>
  <c r="T103" i="5"/>
  <c r="R103" i="5"/>
  <c r="Q103" i="5"/>
  <c r="O103" i="5"/>
  <c r="L103" i="5"/>
  <c r="K103" i="5"/>
  <c r="M103" i="5" s="1"/>
  <c r="J103" i="5"/>
  <c r="I103" i="5"/>
  <c r="H103" i="5"/>
  <c r="G103" i="5"/>
  <c r="F103" i="5"/>
  <c r="E103" i="5"/>
  <c r="D103" i="5" s="1"/>
  <c r="U102" i="5"/>
  <c r="T102" i="5"/>
  <c r="R102" i="5"/>
  <c r="Q102" i="5"/>
  <c r="O102" i="5"/>
  <c r="L102" i="5"/>
  <c r="K102" i="5"/>
  <c r="J102" i="5"/>
  <c r="I102" i="5"/>
  <c r="H102" i="5"/>
  <c r="G102" i="5"/>
  <c r="F102" i="5"/>
  <c r="E102" i="5"/>
  <c r="V101" i="5"/>
  <c r="U101" i="5"/>
  <c r="T101" i="5"/>
  <c r="R101" i="5"/>
  <c r="Q101" i="5"/>
  <c r="O101" i="5"/>
  <c r="L101" i="5"/>
  <c r="K101" i="5"/>
  <c r="M101" i="5" s="1"/>
  <c r="J101" i="5"/>
  <c r="I101" i="5"/>
  <c r="H101" i="5"/>
  <c r="G101" i="5"/>
  <c r="F101" i="5"/>
  <c r="E101" i="5"/>
  <c r="D101" i="5" s="1"/>
  <c r="U100" i="5"/>
  <c r="T100" i="5"/>
  <c r="R100" i="5"/>
  <c r="Q100" i="5"/>
  <c r="O100" i="5"/>
  <c r="L100" i="5"/>
  <c r="K100" i="5"/>
  <c r="J100" i="5"/>
  <c r="I100" i="5"/>
  <c r="H100" i="5"/>
  <c r="G100" i="5"/>
  <c r="F100" i="5"/>
  <c r="E100" i="5"/>
  <c r="V99" i="5"/>
  <c r="U99" i="5"/>
  <c r="T99" i="5"/>
  <c r="R99" i="5"/>
  <c r="Q99" i="5"/>
  <c r="O99" i="5"/>
  <c r="L99" i="5"/>
  <c r="K99" i="5"/>
  <c r="M99" i="5" s="1"/>
  <c r="J99" i="5"/>
  <c r="I99" i="5"/>
  <c r="H99" i="5"/>
  <c r="G99" i="5"/>
  <c r="F99" i="5"/>
  <c r="E99" i="5"/>
  <c r="D99" i="5" s="1"/>
  <c r="U98" i="5"/>
  <c r="T98" i="5"/>
  <c r="R98" i="5"/>
  <c r="Q98" i="5"/>
  <c r="O98" i="5"/>
  <c r="L98" i="5"/>
  <c r="K98" i="5"/>
  <c r="J98" i="5"/>
  <c r="I98" i="5"/>
  <c r="H98" i="5"/>
  <c r="G98" i="5"/>
  <c r="F98" i="5"/>
  <c r="E98" i="5"/>
  <c r="V97" i="5"/>
  <c r="U97" i="5"/>
  <c r="T97" i="5"/>
  <c r="R97" i="5"/>
  <c r="Q97" i="5"/>
  <c r="O97" i="5"/>
  <c r="L97" i="5"/>
  <c r="K97" i="5"/>
  <c r="M97" i="5" s="1"/>
  <c r="J97" i="5"/>
  <c r="I97" i="5"/>
  <c r="H97" i="5"/>
  <c r="G97" i="5"/>
  <c r="F97" i="5"/>
  <c r="E97" i="5"/>
  <c r="D97" i="5" s="1"/>
  <c r="U96" i="5"/>
  <c r="T96" i="5"/>
  <c r="R96" i="5"/>
  <c r="Q96" i="5"/>
  <c r="O96" i="5"/>
  <c r="L96" i="5"/>
  <c r="K96" i="5"/>
  <c r="J96" i="5"/>
  <c r="I96" i="5"/>
  <c r="H96" i="5"/>
  <c r="G96" i="5"/>
  <c r="F96" i="5"/>
  <c r="E96" i="5"/>
  <c r="V95" i="5"/>
  <c r="U95" i="5"/>
  <c r="T95" i="5"/>
  <c r="R95" i="5"/>
  <c r="Q95" i="5"/>
  <c r="O95" i="5"/>
  <c r="L95" i="5"/>
  <c r="K95" i="5"/>
  <c r="M95" i="5" s="1"/>
  <c r="J95" i="5"/>
  <c r="I95" i="5"/>
  <c r="H95" i="5"/>
  <c r="G95" i="5"/>
  <c r="F95" i="5"/>
  <c r="E95" i="5"/>
  <c r="D95" i="5" s="1"/>
  <c r="U94" i="5"/>
  <c r="T94" i="5"/>
  <c r="R94" i="5"/>
  <c r="Q94" i="5"/>
  <c r="O94" i="5"/>
  <c r="L94" i="5"/>
  <c r="K94" i="5"/>
  <c r="J94" i="5"/>
  <c r="I94" i="5"/>
  <c r="H94" i="5"/>
  <c r="G94" i="5"/>
  <c r="F94" i="5"/>
  <c r="E94" i="5"/>
  <c r="V93" i="5"/>
  <c r="U93" i="5"/>
  <c r="T93" i="5"/>
  <c r="R93" i="5"/>
  <c r="Q93" i="5"/>
  <c r="O93" i="5"/>
  <c r="L93" i="5"/>
  <c r="K93" i="5"/>
  <c r="M93" i="5" s="1"/>
  <c r="J93" i="5"/>
  <c r="I93" i="5"/>
  <c r="H93" i="5"/>
  <c r="G93" i="5"/>
  <c r="F93" i="5"/>
  <c r="E93" i="5"/>
  <c r="D93" i="5" s="1"/>
  <c r="U92" i="5"/>
  <c r="T92" i="5"/>
  <c r="R92" i="5"/>
  <c r="Q92" i="5"/>
  <c r="O92" i="5"/>
  <c r="L92" i="5"/>
  <c r="K92" i="5"/>
  <c r="J92" i="5"/>
  <c r="I92" i="5"/>
  <c r="H92" i="5"/>
  <c r="G92" i="5"/>
  <c r="F92" i="5"/>
  <c r="E92" i="5"/>
  <c r="V91" i="5"/>
  <c r="U91" i="5"/>
  <c r="T91" i="5"/>
  <c r="R91" i="5"/>
  <c r="Q91" i="5"/>
  <c r="O91" i="5"/>
  <c r="L91" i="5"/>
  <c r="K91" i="5"/>
  <c r="M91" i="5" s="1"/>
  <c r="J91" i="5"/>
  <c r="I91" i="5"/>
  <c r="H91" i="5"/>
  <c r="G91" i="5"/>
  <c r="F91" i="5"/>
  <c r="E91" i="5"/>
  <c r="D91" i="5" s="1"/>
  <c r="U90" i="5"/>
  <c r="T90" i="5"/>
  <c r="R90" i="5"/>
  <c r="Q90" i="5"/>
  <c r="O90" i="5"/>
  <c r="L90" i="5"/>
  <c r="K90" i="5"/>
  <c r="J90" i="5"/>
  <c r="I90" i="5"/>
  <c r="H90" i="5"/>
  <c r="G90" i="5"/>
  <c r="F90" i="5"/>
  <c r="E90" i="5"/>
  <c r="V89" i="5"/>
  <c r="U89" i="5"/>
  <c r="T89" i="5"/>
  <c r="R89" i="5"/>
  <c r="Q89" i="5"/>
  <c r="O89" i="5"/>
  <c r="L89" i="5"/>
  <c r="K89" i="5"/>
  <c r="M89" i="5" s="1"/>
  <c r="J89" i="5"/>
  <c r="I89" i="5"/>
  <c r="H89" i="5"/>
  <c r="G89" i="5"/>
  <c r="F89" i="5"/>
  <c r="E89" i="5"/>
  <c r="D89" i="5" s="1"/>
  <c r="U88" i="5"/>
  <c r="T88" i="5"/>
  <c r="R88" i="5"/>
  <c r="Q88" i="5"/>
  <c r="O88" i="5"/>
  <c r="L88" i="5"/>
  <c r="K88" i="5"/>
  <c r="M88" i="5" s="1"/>
  <c r="J88" i="5"/>
  <c r="I88" i="5"/>
  <c r="H88" i="5"/>
  <c r="G88" i="5"/>
  <c r="F88" i="5"/>
  <c r="E88" i="5"/>
  <c r="U87" i="5"/>
  <c r="T87" i="5"/>
  <c r="R87" i="5"/>
  <c r="Q87" i="5"/>
  <c r="O87" i="5"/>
  <c r="L87" i="5"/>
  <c r="K87" i="5"/>
  <c r="M87" i="5" s="1"/>
  <c r="J87" i="5"/>
  <c r="I87" i="5"/>
  <c r="H87" i="5"/>
  <c r="G87" i="5"/>
  <c r="F87" i="5"/>
  <c r="E87" i="5"/>
  <c r="D87" i="5" s="1"/>
  <c r="U86" i="5"/>
  <c r="T86" i="5"/>
  <c r="R86" i="5"/>
  <c r="Q86" i="5"/>
  <c r="O86" i="5"/>
  <c r="L86" i="5"/>
  <c r="K86" i="5"/>
  <c r="M86" i="5" s="1"/>
  <c r="J86" i="5"/>
  <c r="I86" i="5"/>
  <c r="H86" i="5"/>
  <c r="G86" i="5"/>
  <c r="F86" i="5"/>
  <c r="E86" i="5"/>
  <c r="U85" i="5"/>
  <c r="T85" i="5"/>
  <c r="R85" i="5"/>
  <c r="Q85" i="5"/>
  <c r="O85" i="5"/>
  <c r="L85" i="5"/>
  <c r="K85" i="5"/>
  <c r="J85" i="5"/>
  <c r="I85" i="5"/>
  <c r="H85" i="5"/>
  <c r="G85" i="5"/>
  <c r="F85" i="5"/>
  <c r="E85" i="5"/>
  <c r="D85" i="5" s="1"/>
  <c r="V84" i="5"/>
  <c r="U84" i="5"/>
  <c r="T84" i="5"/>
  <c r="R84" i="5"/>
  <c r="Q84" i="5"/>
  <c r="O84" i="5"/>
  <c r="L84" i="5"/>
  <c r="K84" i="5"/>
  <c r="M84" i="5" s="1"/>
  <c r="J84" i="5"/>
  <c r="I84" i="5"/>
  <c r="H84" i="5"/>
  <c r="G84" i="5"/>
  <c r="F84" i="5"/>
  <c r="E84" i="5"/>
  <c r="D84" i="5" s="1"/>
  <c r="U83" i="5"/>
  <c r="T83" i="5"/>
  <c r="R83" i="5"/>
  <c r="Q83" i="5"/>
  <c r="O83" i="5"/>
  <c r="L83" i="5"/>
  <c r="K83" i="5"/>
  <c r="J83" i="5"/>
  <c r="I83" i="5"/>
  <c r="H83" i="5"/>
  <c r="G83" i="5"/>
  <c r="F83" i="5"/>
  <c r="E83" i="5"/>
  <c r="D83" i="5" s="1"/>
  <c r="V82" i="5"/>
  <c r="U82" i="5"/>
  <c r="T82" i="5"/>
  <c r="R82" i="5"/>
  <c r="Q82" i="5"/>
  <c r="O82" i="5"/>
  <c r="L82" i="5"/>
  <c r="K82" i="5"/>
  <c r="M82" i="5" s="1"/>
  <c r="J82" i="5"/>
  <c r="I82" i="5"/>
  <c r="H82" i="5"/>
  <c r="G82" i="5"/>
  <c r="F82" i="5"/>
  <c r="E82" i="5"/>
  <c r="D82" i="5" s="1"/>
  <c r="U81" i="5"/>
  <c r="T81" i="5"/>
  <c r="R81" i="5"/>
  <c r="Q81" i="5"/>
  <c r="O81" i="5"/>
  <c r="L81" i="5"/>
  <c r="K81" i="5"/>
  <c r="J81" i="5"/>
  <c r="I81" i="5"/>
  <c r="H81" i="5"/>
  <c r="G81" i="5"/>
  <c r="F81" i="5"/>
  <c r="E81" i="5"/>
  <c r="D81" i="5" s="1"/>
  <c r="V80" i="5"/>
  <c r="U80" i="5"/>
  <c r="T80" i="5"/>
  <c r="R80" i="5"/>
  <c r="Q80" i="5"/>
  <c r="O80" i="5"/>
  <c r="L80" i="5"/>
  <c r="K80" i="5"/>
  <c r="M80" i="5" s="1"/>
  <c r="J80" i="5"/>
  <c r="I80" i="5"/>
  <c r="H80" i="5"/>
  <c r="G80" i="5"/>
  <c r="F80" i="5"/>
  <c r="E80" i="5"/>
  <c r="D80" i="5" s="1"/>
  <c r="U79" i="5"/>
  <c r="T79" i="5"/>
  <c r="R79" i="5"/>
  <c r="Q79" i="5"/>
  <c r="O79" i="5"/>
  <c r="L79" i="5"/>
  <c r="K79" i="5"/>
  <c r="J79" i="5"/>
  <c r="I79" i="5"/>
  <c r="H79" i="5"/>
  <c r="G79" i="5"/>
  <c r="F79" i="5"/>
  <c r="E79" i="5"/>
  <c r="D79" i="5" s="1"/>
  <c r="V78" i="5"/>
  <c r="U78" i="5"/>
  <c r="T78" i="5"/>
  <c r="R78" i="5"/>
  <c r="Q78" i="5"/>
  <c r="O78" i="5"/>
  <c r="L78" i="5"/>
  <c r="K78" i="5"/>
  <c r="M78" i="5" s="1"/>
  <c r="J78" i="5"/>
  <c r="I78" i="5"/>
  <c r="H78" i="5"/>
  <c r="G78" i="5"/>
  <c r="F78" i="5"/>
  <c r="E78" i="5"/>
  <c r="D78" i="5" s="1"/>
  <c r="U77" i="5"/>
  <c r="T77" i="5"/>
  <c r="R77" i="5"/>
  <c r="Q77" i="5"/>
  <c r="O77" i="5"/>
  <c r="L77" i="5"/>
  <c r="K77" i="5"/>
  <c r="J77" i="5"/>
  <c r="I77" i="5"/>
  <c r="H77" i="5"/>
  <c r="G77" i="5"/>
  <c r="F77" i="5"/>
  <c r="E77" i="5"/>
  <c r="D77" i="5" s="1"/>
  <c r="V76" i="5"/>
  <c r="U76" i="5"/>
  <c r="T76" i="5"/>
  <c r="R76" i="5"/>
  <c r="Q76" i="5"/>
  <c r="O76" i="5"/>
  <c r="L76" i="5"/>
  <c r="K76" i="5"/>
  <c r="M76" i="5" s="1"/>
  <c r="J76" i="5"/>
  <c r="I76" i="5"/>
  <c r="H76" i="5"/>
  <c r="G76" i="5"/>
  <c r="F76" i="5"/>
  <c r="E76" i="5"/>
  <c r="D76" i="5" s="1"/>
  <c r="U75" i="5"/>
  <c r="T75" i="5"/>
  <c r="R75" i="5"/>
  <c r="Q75" i="5"/>
  <c r="O75" i="5"/>
  <c r="L75" i="5"/>
  <c r="K75" i="5"/>
  <c r="J75" i="5"/>
  <c r="I75" i="5"/>
  <c r="H75" i="5"/>
  <c r="G75" i="5"/>
  <c r="F75" i="5"/>
  <c r="E75" i="5"/>
  <c r="D75" i="5" s="1"/>
  <c r="V74" i="5"/>
  <c r="U74" i="5"/>
  <c r="T74" i="5"/>
  <c r="R74" i="5"/>
  <c r="Q74" i="5"/>
  <c r="O74" i="5"/>
  <c r="L74" i="5"/>
  <c r="K74" i="5"/>
  <c r="M74" i="5" s="1"/>
  <c r="J74" i="5"/>
  <c r="I74" i="5"/>
  <c r="H74" i="5"/>
  <c r="G74" i="5"/>
  <c r="F74" i="5"/>
  <c r="E74" i="5"/>
  <c r="D74" i="5" s="1"/>
  <c r="U73" i="5"/>
  <c r="T73" i="5"/>
  <c r="R73" i="5"/>
  <c r="Q73" i="5"/>
  <c r="O73" i="5"/>
  <c r="L73" i="5"/>
  <c r="K73" i="5"/>
  <c r="J73" i="5"/>
  <c r="I73" i="5"/>
  <c r="H73" i="5"/>
  <c r="G73" i="5"/>
  <c r="F73" i="5"/>
  <c r="E73" i="5"/>
  <c r="D73" i="5" s="1"/>
  <c r="V72" i="5"/>
  <c r="U72" i="5"/>
  <c r="T72" i="5"/>
  <c r="R72" i="5"/>
  <c r="Q72" i="5"/>
  <c r="O72" i="5"/>
  <c r="L72" i="5"/>
  <c r="K72" i="5"/>
  <c r="M72" i="5" s="1"/>
  <c r="J72" i="5"/>
  <c r="I72" i="5"/>
  <c r="H72" i="5"/>
  <c r="G72" i="5"/>
  <c r="F72" i="5"/>
  <c r="E72" i="5"/>
  <c r="D72" i="5" s="1"/>
  <c r="U71" i="5"/>
  <c r="T71" i="5"/>
  <c r="R71" i="5"/>
  <c r="Q71" i="5"/>
  <c r="O71" i="5"/>
  <c r="L71" i="5"/>
  <c r="K71" i="5"/>
  <c r="J71" i="5"/>
  <c r="I71" i="5"/>
  <c r="H71" i="5"/>
  <c r="G71" i="5"/>
  <c r="F71" i="5"/>
  <c r="E71" i="5"/>
  <c r="D71" i="5" s="1"/>
  <c r="V70" i="5"/>
  <c r="U70" i="5"/>
  <c r="T70" i="5"/>
  <c r="R70" i="5"/>
  <c r="Q70" i="5"/>
  <c r="O70" i="5"/>
  <c r="L70" i="5"/>
  <c r="K70" i="5"/>
  <c r="M70" i="5" s="1"/>
  <c r="J70" i="5"/>
  <c r="I70" i="5"/>
  <c r="H70" i="5"/>
  <c r="G70" i="5"/>
  <c r="F70" i="5"/>
  <c r="E70" i="5"/>
  <c r="D70" i="5" s="1"/>
  <c r="U69" i="5"/>
  <c r="T69" i="5"/>
  <c r="R69" i="5"/>
  <c r="Q69" i="5"/>
  <c r="O69" i="5"/>
  <c r="L69" i="5"/>
  <c r="K69" i="5"/>
  <c r="J69" i="5"/>
  <c r="I69" i="5"/>
  <c r="H69" i="5"/>
  <c r="G69" i="5"/>
  <c r="F69" i="5"/>
  <c r="E69" i="5"/>
  <c r="D69" i="5" s="1"/>
  <c r="V68" i="5"/>
  <c r="U68" i="5"/>
  <c r="T68" i="5"/>
  <c r="R68" i="5"/>
  <c r="Q68" i="5"/>
  <c r="O68" i="5"/>
  <c r="L68" i="5"/>
  <c r="K68" i="5"/>
  <c r="M68" i="5" s="1"/>
  <c r="J68" i="5"/>
  <c r="I68" i="5"/>
  <c r="H68" i="5"/>
  <c r="G68" i="5"/>
  <c r="F68" i="5"/>
  <c r="E68" i="5"/>
  <c r="D68" i="5" s="1"/>
  <c r="U67" i="5"/>
  <c r="T67" i="5"/>
  <c r="R67" i="5"/>
  <c r="Q67" i="5"/>
  <c r="O67" i="5"/>
  <c r="L67" i="5"/>
  <c r="K67" i="5"/>
  <c r="J67" i="5"/>
  <c r="I67" i="5"/>
  <c r="H67" i="5"/>
  <c r="G67" i="5"/>
  <c r="F67" i="5"/>
  <c r="E67" i="5"/>
  <c r="D67" i="5" s="1"/>
  <c r="V66" i="5"/>
  <c r="U66" i="5"/>
  <c r="T66" i="5"/>
  <c r="R66" i="5"/>
  <c r="Q66" i="5"/>
  <c r="O66" i="5"/>
  <c r="L66" i="5"/>
  <c r="K66" i="5"/>
  <c r="M66" i="5" s="1"/>
  <c r="J66" i="5"/>
  <c r="I66" i="5"/>
  <c r="H66" i="5"/>
  <c r="G66" i="5"/>
  <c r="F66" i="5"/>
  <c r="E66" i="5"/>
  <c r="D66" i="5" s="1"/>
  <c r="U65" i="5"/>
  <c r="T65" i="5"/>
  <c r="R65" i="5"/>
  <c r="Q65" i="5"/>
  <c r="O65" i="5"/>
  <c r="L65" i="5"/>
  <c r="K65" i="5"/>
  <c r="J65" i="5"/>
  <c r="I65" i="5"/>
  <c r="H65" i="5"/>
  <c r="G65" i="5"/>
  <c r="F65" i="5"/>
  <c r="E65" i="5"/>
  <c r="D65" i="5" s="1"/>
  <c r="V64" i="5"/>
  <c r="U64" i="5"/>
  <c r="T64" i="5"/>
  <c r="R64" i="5"/>
  <c r="Q64" i="5"/>
  <c r="O64" i="5"/>
  <c r="L64" i="5"/>
  <c r="K64" i="5"/>
  <c r="M64" i="5" s="1"/>
  <c r="J64" i="5"/>
  <c r="I64" i="5"/>
  <c r="H64" i="5"/>
  <c r="G64" i="5"/>
  <c r="F64" i="5"/>
  <c r="E64" i="5"/>
  <c r="D64" i="5" s="1"/>
  <c r="U63" i="5"/>
  <c r="T63" i="5"/>
  <c r="R63" i="5"/>
  <c r="Q63" i="5"/>
  <c r="O63" i="5"/>
  <c r="L63" i="5"/>
  <c r="K63" i="5"/>
  <c r="J63" i="5"/>
  <c r="I63" i="5"/>
  <c r="H63" i="5"/>
  <c r="G63" i="5"/>
  <c r="F63" i="5"/>
  <c r="E63" i="5"/>
  <c r="D63" i="5" s="1"/>
  <c r="V62" i="5"/>
  <c r="U62" i="5"/>
  <c r="T62" i="5"/>
  <c r="R62" i="5"/>
  <c r="Q62" i="5"/>
  <c r="O62" i="5"/>
  <c r="L62" i="5"/>
  <c r="K62" i="5"/>
  <c r="M62" i="5" s="1"/>
  <c r="J62" i="5"/>
  <c r="I62" i="5"/>
  <c r="H62" i="5"/>
  <c r="G62" i="5"/>
  <c r="F62" i="5"/>
  <c r="E62" i="5"/>
  <c r="D62" i="5" s="1"/>
  <c r="U61" i="5"/>
  <c r="T61" i="5"/>
  <c r="R61" i="5"/>
  <c r="Q61" i="5"/>
  <c r="O61" i="5"/>
  <c r="L61" i="5"/>
  <c r="K61" i="5"/>
  <c r="J61" i="5"/>
  <c r="I61" i="5"/>
  <c r="H61" i="5"/>
  <c r="G61" i="5"/>
  <c r="F61" i="5"/>
  <c r="E61" i="5"/>
  <c r="D61" i="5" s="1"/>
  <c r="V60" i="5"/>
  <c r="U60" i="5"/>
  <c r="T60" i="5"/>
  <c r="R60" i="5"/>
  <c r="Q60" i="5"/>
  <c r="O60" i="5"/>
  <c r="L60" i="5"/>
  <c r="K60" i="5"/>
  <c r="M60" i="5" s="1"/>
  <c r="J60" i="5"/>
  <c r="I60" i="5"/>
  <c r="H60" i="5"/>
  <c r="G60" i="5"/>
  <c r="F60" i="5"/>
  <c r="E60" i="5"/>
  <c r="D60" i="5" s="1"/>
  <c r="U59" i="5"/>
  <c r="T59" i="5"/>
  <c r="R59" i="5"/>
  <c r="Q59" i="5"/>
  <c r="O59" i="5"/>
  <c r="L59" i="5"/>
  <c r="K59" i="5"/>
  <c r="J59" i="5"/>
  <c r="I59" i="5"/>
  <c r="H59" i="5"/>
  <c r="G59" i="5"/>
  <c r="F59" i="5"/>
  <c r="E59" i="5"/>
  <c r="D59" i="5" s="1"/>
  <c r="V58" i="5"/>
  <c r="U58" i="5"/>
  <c r="T58" i="5"/>
  <c r="R58" i="5"/>
  <c r="Q58" i="5"/>
  <c r="O58" i="5"/>
  <c r="L58" i="5"/>
  <c r="K58" i="5"/>
  <c r="M58" i="5" s="1"/>
  <c r="J58" i="5"/>
  <c r="I58" i="5"/>
  <c r="H58" i="5"/>
  <c r="G58" i="5"/>
  <c r="F58" i="5"/>
  <c r="E58" i="5"/>
  <c r="D58" i="5" s="1"/>
  <c r="U57" i="5"/>
  <c r="T57" i="5"/>
  <c r="R57" i="5"/>
  <c r="Q57" i="5"/>
  <c r="O57" i="5"/>
  <c r="L57" i="5"/>
  <c r="K57" i="5"/>
  <c r="J57" i="5"/>
  <c r="I57" i="5"/>
  <c r="H57" i="5"/>
  <c r="G57" i="5"/>
  <c r="F57" i="5"/>
  <c r="E57" i="5"/>
  <c r="D57" i="5" s="1"/>
  <c r="V56" i="5"/>
  <c r="U56" i="5"/>
  <c r="T56" i="5"/>
  <c r="R56" i="5"/>
  <c r="Q56" i="5"/>
  <c r="O56" i="5"/>
  <c r="L56" i="5"/>
  <c r="K56" i="5"/>
  <c r="M56" i="5" s="1"/>
  <c r="J56" i="5"/>
  <c r="I56" i="5"/>
  <c r="H56" i="5"/>
  <c r="G56" i="5"/>
  <c r="F56" i="5"/>
  <c r="E56" i="5"/>
  <c r="D56" i="5" s="1"/>
  <c r="U55" i="5"/>
  <c r="T55" i="5"/>
  <c r="R55" i="5"/>
  <c r="Q55" i="5"/>
  <c r="O55" i="5"/>
  <c r="L55" i="5"/>
  <c r="K55" i="5"/>
  <c r="J55" i="5"/>
  <c r="I55" i="5"/>
  <c r="H55" i="5"/>
  <c r="G55" i="5"/>
  <c r="F55" i="5"/>
  <c r="E55" i="5"/>
  <c r="D55" i="5" s="1"/>
  <c r="V54" i="5"/>
  <c r="U54" i="5"/>
  <c r="T54" i="5"/>
  <c r="R54" i="5"/>
  <c r="Q54" i="5"/>
  <c r="O54" i="5"/>
  <c r="L54" i="5"/>
  <c r="K54" i="5"/>
  <c r="M54" i="5" s="1"/>
  <c r="J54" i="5"/>
  <c r="I54" i="5"/>
  <c r="H54" i="5"/>
  <c r="G54" i="5"/>
  <c r="F54" i="5"/>
  <c r="E54" i="5"/>
  <c r="D54" i="5" s="1"/>
  <c r="U53" i="5"/>
  <c r="T53" i="5"/>
  <c r="R53" i="5"/>
  <c r="Q53" i="5"/>
  <c r="O53" i="5"/>
  <c r="L53" i="5"/>
  <c r="K53" i="5"/>
  <c r="J53" i="5"/>
  <c r="I53" i="5"/>
  <c r="H53" i="5"/>
  <c r="G53" i="5"/>
  <c r="F53" i="5"/>
  <c r="E53" i="5"/>
  <c r="D53" i="5" s="1"/>
  <c r="V52" i="5"/>
  <c r="U52" i="5"/>
  <c r="T52" i="5"/>
  <c r="R52" i="5"/>
  <c r="Q52" i="5"/>
  <c r="O52" i="5"/>
  <c r="L52" i="5"/>
  <c r="K52" i="5"/>
  <c r="M52" i="5" s="1"/>
  <c r="J52" i="5"/>
  <c r="I52" i="5"/>
  <c r="H52" i="5"/>
  <c r="G52" i="5"/>
  <c r="F52" i="5"/>
  <c r="E52" i="5"/>
  <c r="D52" i="5" s="1"/>
  <c r="U51" i="5"/>
  <c r="T51" i="5"/>
  <c r="R51" i="5"/>
  <c r="Q51" i="5"/>
  <c r="O51" i="5"/>
  <c r="L51" i="5"/>
  <c r="K51" i="5"/>
  <c r="J51" i="5"/>
  <c r="I51" i="5"/>
  <c r="H51" i="5"/>
  <c r="G51" i="5"/>
  <c r="F51" i="5"/>
  <c r="E51" i="5"/>
  <c r="D51" i="5" s="1"/>
  <c r="V50" i="5"/>
  <c r="U50" i="5"/>
  <c r="T50" i="5"/>
  <c r="R50" i="5"/>
  <c r="Q50" i="5"/>
  <c r="O50" i="5"/>
  <c r="L50" i="5"/>
  <c r="K50" i="5"/>
  <c r="M50" i="5" s="1"/>
  <c r="J50" i="5"/>
  <c r="I50" i="5"/>
  <c r="H50" i="5"/>
  <c r="G50" i="5"/>
  <c r="F50" i="5"/>
  <c r="E50" i="5"/>
  <c r="D50" i="5" s="1"/>
  <c r="U49" i="5"/>
  <c r="T49" i="5"/>
  <c r="R49" i="5"/>
  <c r="Q49" i="5"/>
  <c r="O49" i="5"/>
  <c r="L49" i="5"/>
  <c r="K49" i="5"/>
  <c r="J49" i="5"/>
  <c r="I49" i="5"/>
  <c r="H49" i="5"/>
  <c r="G49" i="5"/>
  <c r="F49" i="5"/>
  <c r="E49" i="5"/>
  <c r="D49" i="5" s="1"/>
  <c r="V48" i="5"/>
  <c r="U48" i="5"/>
  <c r="T48" i="5"/>
  <c r="R48" i="5"/>
  <c r="Q48" i="5"/>
  <c r="O48" i="5"/>
  <c r="L48" i="5"/>
  <c r="K48" i="5"/>
  <c r="M48" i="5" s="1"/>
  <c r="J48" i="5"/>
  <c r="I48" i="5"/>
  <c r="H48" i="5"/>
  <c r="G48" i="5"/>
  <c r="F48" i="5"/>
  <c r="E48" i="5"/>
  <c r="D48" i="5" s="1"/>
  <c r="U47" i="5"/>
  <c r="T47" i="5"/>
  <c r="R47" i="5"/>
  <c r="Q47" i="5"/>
  <c r="O47" i="5"/>
  <c r="L47" i="5"/>
  <c r="K47" i="5"/>
  <c r="J47" i="5"/>
  <c r="I47" i="5"/>
  <c r="H47" i="5"/>
  <c r="G47" i="5"/>
  <c r="F47" i="5"/>
  <c r="E47" i="5"/>
  <c r="D47" i="5" s="1"/>
  <c r="V46" i="5"/>
  <c r="U46" i="5"/>
  <c r="T46" i="5"/>
  <c r="R46" i="5"/>
  <c r="Q46" i="5"/>
  <c r="O46" i="5"/>
  <c r="L46" i="5"/>
  <c r="K46" i="5"/>
  <c r="M46" i="5" s="1"/>
  <c r="J46" i="5"/>
  <c r="I46" i="5"/>
  <c r="H46" i="5"/>
  <c r="G46" i="5"/>
  <c r="F46" i="5"/>
  <c r="E46" i="5"/>
  <c r="D46" i="5" s="1"/>
  <c r="U45" i="5"/>
  <c r="T45" i="5"/>
  <c r="R45" i="5"/>
  <c r="Q45" i="5"/>
  <c r="O45" i="5"/>
  <c r="L45" i="5"/>
  <c r="K45" i="5"/>
  <c r="J45" i="5"/>
  <c r="I45" i="5"/>
  <c r="H45" i="5"/>
  <c r="G45" i="5"/>
  <c r="F45" i="5"/>
  <c r="E45" i="5"/>
  <c r="D45" i="5" s="1"/>
  <c r="V44" i="5"/>
  <c r="U44" i="5"/>
  <c r="T44" i="5"/>
  <c r="R44" i="5"/>
  <c r="Q44" i="5"/>
  <c r="O44" i="5"/>
  <c r="L44" i="5"/>
  <c r="K44" i="5"/>
  <c r="M44" i="5" s="1"/>
  <c r="J44" i="5"/>
  <c r="I44" i="5"/>
  <c r="H44" i="5"/>
  <c r="G44" i="5"/>
  <c r="F44" i="5"/>
  <c r="E44" i="5"/>
  <c r="D44" i="5" s="1"/>
  <c r="U43" i="5"/>
  <c r="T43" i="5"/>
  <c r="R43" i="5"/>
  <c r="Q43" i="5"/>
  <c r="O43" i="5"/>
  <c r="L43" i="5"/>
  <c r="K43" i="5"/>
  <c r="J43" i="5"/>
  <c r="I43" i="5"/>
  <c r="H43" i="5"/>
  <c r="G43" i="5"/>
  <c r="F43" i="5"/>
  <c r="E43" i="5"/>
  <c r="D43" i="5" s="1"/>
  <c r="V42" i="5"/>
  <c r="U42" i="5"/>
  <c r="T42" i="5"/>
  <c r="R42" i="5"/>
  <c r="Q42" i="5"/>
  <c r="O42" i="5"/>
  <c r="L42" i="5"/>
  <c r="K42" i="5"/>
  <c r="M42" i="5" s="1"/>
  <c r="J42" i="5"/>
  <c r="I42" i="5"/>
  <c r="H42" i="5"/>
  <c r="G42" i="5"/>
  <c r="F42" i="5"/>
  <c r="E42" i="5"/>
  <c r="D42" i="5" s="1"/>
  <c r="U41" i="5"/>
  <c r="T41" i="5"/>
  <c r="R41" i="5"/>
  <c r="Q41" i="5"/>
  <c r="O41" i="5"/>
  <c r="L41" i="5"/>
  <c r="K41" i="5"/>
  <c r="J41" i="5"/>
  <c r="I41" i="5"/>
  <c r="H41" i="5"/>
  <c r="G41" i="5"/>
  <c r="F41" i="5"/>
  <c r="E41" i="5"/>
  <c r="D41" i="5" s="1"/>
  <c r="V40" i="5"/>
  <c r="U40" i="5"/>
  <c r="T40" i="5"/>
  <c r="R40" i="5"/>
  <c r="Q40" i="5"/>
  <c r="O40" i="5"/>
  <c r="L40" i="5"/>
  <c r="K40" i="5"/>
  <c r="M40" i="5" s="1"/>
  <c r="J40" i="5"/>
  <c r="I40" i="5"/>
  <c r="H40" i="5"/>
  <c r="G40" i="5"/>
  <c r="F40" i="5"/>
  <c r="E40" i="5"/>
  <c r="D40" i="5" s="1"/>
  <c r="U39" i="5"/>
  <c r="T39" i="5"/>
  <c r="R39" i="5"/>
  <c r="Q39" i="5"/>
  <c r="O39" i="5"/>
  <c r="L39" i="5"/>
  <c r="K39" i="5"/>
  <c r="J39" i="5"/>
  <c r="I39" i="5"/>
  <c r="H39" i="5"/>
  <c r="G39" i="5"/>
  <c r="F39" i="5"/>
  <c r="E39" i="5"/>
  <c r="D39" i="5" s="1"/>
  <c r="V38" i="5"/>
  <c r="U38" i="5"/>
  <c r="T38" i="5"/>
  <c r="R38" i="5"/>
  <c r="Q38" i="5"/>
  <c r="O38" i="5"/>
  <c r="L38" i="5"/>
  <c r="K38" i="5"/>
  <c r="M38" i="5" s="1"/>
  <c r="J38" i="5"/>
  <c r="I38" i="5"/>
  <c r="H38" i="5"/>
  <c r="G38" i="5"/>
  <c r="F38" i="5"/>
  <c r="E38" i="5"/>
  <c r="D38" i="5" s="1"/>
  <c r="U37" i="5"/>
  <c r="T37" i="5"/>
  <c r="R37" i="5"/>
  <c r="Q37" i="5"/>
  <c r="O37" i="5"/>
  <c r="L37" i="5"/>
  <c r="K37" i="5"/>
  <c r="J37" i="5"/>
  <c r="I37" i="5"/>
  <c r="H37" i="5"/>
  <c r="G37" i="5"/>
  <c r="F37" i="5"/>
  <c r="E37" i="5"/>
  <c r="D37" i="5" s="1"/>
  <c r="V36" i="5"/>
  <c r="U36" i="5"/>
  <c r="T36" i="5"/>
  <c r="R36" i="5"/>
  <c r="Q36" i="5"/>
  <c r="O36" i="5"/>
  <c r="L36" i="5"/>
  <c r="K36" i="5"/>
  <c r="M36" i="5" s="1"/>
  <c r="J36" i="5"/>
  <c r="I36" i="5"/>
  <c r="H36" i="5"/>
  <c r="G36" i="5"/>
  <c r="F36" i="5"/>
  <c r="E36" i="5"/>
  <c r="D36" i="5" s="1"/>
  <c r="U35" i="5"/>
  <c r="T35" i="5"/>
  <c r="R35" i="5"/>
  <c r="Q35" i="5"/>
  <c r="O35" i="5"/>
  <c r="L35" i="5"/>
  <c r="K35" i="5"/>
  <c r="J35" i="5"/>
  <c r="I35" i="5"/>
  <c r="H35" i="5"/>
  <c r="G35" i="5"/>
  <c r="F35" i="5"/>
  <c r="E35" i="5"/>
  <c r="D35" i="5" s="1"/>
  <c r="V34" i="5"/>
  <c r="U34" i="5"/>
  <c r="T34" i="5"/>
  <c r="R34" i="5"/>
  <c r="Q34" i="5"/>
  <c r="O34" i="5"/>
  <c r="L34" i="5"/>
  <c r="K34" i="5"/>
  <c r="M34" i="5" s="1"/>
  <c r="J34" i="5"/>
  <c r="I34" i="5"/>
  <c r="H34" i="5"/>
  <c r="G34" i="5"/>
  <c r="F34" i="5"/>
  <c r="E34" i="5"/>
  <c r="D34" i="5" s="1"/>
  <c r="U33" i="5"/>
  <c r="T33" i="5"/>
  <c r="R33" i="5"/>
  <c r="Q33" i="5"/>
  <c r="O33" i="5"/>
  <c r="L33" i="5"/>
  <c r="K33" i="5"/>
  <c r="J33" i="5"/>
  <c r="I33" i="5"/>
  <c r="H33" i="5"/>
  <c r="G33" i="5"/>
  <c r="F33" i="5"/>
  <c r="E33" i="5"/>
  <c r="D33" i="5" s="1"/>
  <c r="V32" i="5"/>
  <c r="U32" i="5"/>
  <c r="T32" i="5"/>
  <c r="R32" i="5"/>
  <c r="Q32" i="5"/>
  <c r="O32" i="5"/>
  <c r="L32" i="5"/>
  <c r="K32" i="5"/>
  <c r="M32" i="5" s="1"/>
  <c r="J32" i="5"/>
  <c r="I32" i="5"/>
  <c r="H32" i="5"/>
  <c r="G32" i="5"/>
  <c r="F32" i="5"/>
  <c r="E32" i="5"/>
  <c r="D32" i="5" s="1"/>
  <c r="U31" i="5"/>
  <c r="T31" i="5"/>
  <c r="R31" i="5"/>
  <c r="Q31" i="5"/>
  <c r="O31" i="5"/>
  <c r="L31" i="5"/>
  <c r="K31" i="5"/>
  <c r="J31" i="5"/>
  <c r="I31" i="5"/>
  <c r="H31" i="5"/>
  <c r="G31" i="5"/>
  <c r="F31" i="5"/>
  <c r="E31" i="5"/>
  <c r="D31" i="5" s="1"/>
  <c r="V30" i="5"/>
  <c r="U30" i="5"/>
  <c r="T30" i="5"/>
  <c r="R30" i="5"/>
  <c r="Q30" i="5"/>
  <c r="O30" i="5"/>
  <c r="L30" i="5"/>
  <c r="K30" i="5"/>
  <c r="M30" i="5" s="1"/>
  <c r="J30" i="5"/>
  <c r="I30" i="5"/>
  <c r="H30" i="5"/>
  <c r="G30" i="5"/>
  <c r="F30" i="5"/>
  <c r="E30" i="5"/>
  <c r="D30" i="5" s="1"/>
  <c r="U29" i="5"/>
  <c r="T29" i="5"/>
  <c r="R29" i="5"/>
  <c r="Q29" i="5"/>
  <c r="O29" i="5"/>
  <c r="L29" i="5"/>
  <c r="K29" i="5"/>
  <c r="J29" i="5"/>
  <c r="I29" i="5"/>
  <c r="H29" i="5"/>
  <c r="G29" i="5"/>
  <c r="F29" i="5"/>
  <c r="E29" i="5"/>
  <c r="D29" i="5" s="1"/>
  <c r="V28" i="5"/>
  <c r="U28" i="5"/>
  <c r="T28" i="5"/>
  <c r="R28" i="5"/>
  <c r="Q28" i="5"/>
  <c r="O28" i="5"/>
  <c r="L28" i="5"/>
  <c r="K28" i="5"/>
  <c r="M28" i="5" s="1"/>
  <c r="J28" i="5"/>
  <c r="I28" i="5"/>
  <c r="H28" i="5"/>
  <c r="G28" i="5"/>
  <c r="F28" i="5"/>
  <c r="E28" i="5"/>
  <c r="D28" i="5" s="1"/>
  <c r="U27" i="5"/>
  <c r="T27" i="5"/>
  <c r="R27" i="5"/>
  <c r="Q27" i="5"/>
  <c r="O27" i="5"/>
  <c r="L27" i="5"/>
  <c r="K27" i="5"/>
  <c r="J27" i="5"/>
  <c r="I27" i="5"/>
  <c r="H27" i="5"/>
  <c r="G27" i="5"/>
  <c r="F27" i="5"/>
  <c r="E27" i="5"/>
  <c r="D27" i="5" s="1"/>
  <c r="V26" i="5"/>
  <c r="U26" i="5"/>
  <c r="T26" i="5"/>
  <c r="R26" i="5"/>
  <c r="Q26" i="5"/>
  <c r="O26" i="5"/>
  <c r="L26" i="5"/>
  <c r="K26" i="5"/>
  <c r="M26" i="5" s="1"/>
  <c r="J26" i="5"/>
  <c r="I26" i="5"/>
  <c r="H26" i="5"/>
  <c r="G26" i="5"/>
  <c r="F26" i="5"/>
  <c r="E26" i="5"/>
  <c r="D26" i="5" s="1"/>
  <c r="U25" i="5"/>
  <c r="T25" i="5"/>
  <c r="R25" i="5"/>
  <c r="Q25" i="5"/>
  <c r="O25" i="5"/>
  <c r="L25" i="5"/>
  <c r="K25" i="5"/>
  <c r="J25" i="5"/>
  <c r="I25" i="5"/>
  <c r="H25" i="5"/>
  <c r="G25" i="5"/>
  <c r="F25" i="5"/>
  <c r="E25" i="5"/>
  <c r="D25" i="5" s="1"/>
  <c r="I203" i="4"/>
  <c r="H203" i="4"/>
  <c r="G203" i="4"/>
  <c r="F203" i="4"/>
  <c r="E203" i="4"/>
  <c r="D203" i="4"/>
  <c r="C203" i="4"/>
  <c r="B203" i="4"/>
  <c r="I202" i="4"/>
  <c r="H202" i="4"/>
  <c r="G202" i="4"/>
  <c r="F202" i="4"/>
  <c r="E202" i="4"/>
  <c r="D202" i="4"/>
  <c r="C202" i="4"/>
  <c r="B202" i="4"/>
  <c r="I201" i="4"/>
  <c r="H201" i="4"/>
  <c r="G201" i="4"/>
  <c r="F201" i="4"/>
  <c r="E201" i="4"/>
  <c r="D201" i="4"/>
  <c r="C201" i="4"/>
  <c r="B201" i="4"/>
  <c r="I200" i="4"/>
  <c r="H200" i="4"/>
  <c r="G200" i="4"/>
  <c r="F200" i="4"/>
  <c r="E200" i="4"/>
  <c r="D200" i="4"/>
  <c r="C200" i="4"/>
  <c r="B200" i="4"/>
  <c r="I199" i="4"/>
  <c r="H199" i="4"/>
  <c r="G199" i="4"/>
  <c r="F199" i="4"/>
  <c r="E199" i="4"/>
  <c r="D199" i="4"/>
  <c r="C199" i="4"/>
  <c r="B199" i="4"/>
  <c r="I198" i="4"/>
  <c r="H198" i="4"/>
  <c r="G198" i="4"/>
  <c r="F198" i="4"/>
  <c r="E198" i="4"/>
  <c r="D198" i="4"/>
  <c r="C198" i="4"/>
  <c r="B198" i="4"/>
  <c r="I197" i="4"/>
  <c r="H197" i="4"/>
  <c r="G197" i="4"/>
  <c r="F197" i="4"/>
  <c r="E197" i="4"/>
  <c r="D197" i="4"/>
  <c r="C197" i="4"/>
  <c r="B197" i="4"/>
  <c r="I196" i="4"/>
  <c r="H196" i="4"/>
  <c r="G196" i="4"/>
  <c r="F196" i="4"/>
  <c r="E196" i="4"/>
  <c r="D196" i="4"/>
  <c r="C196" i="4"/>
  <c r="B196" i="4"/>
  <c r="I195" i="4"/>
  <c r="H195" i="4"/>
  <c r="G195" i="4"/>
  <c r="F195" i="4"/>
  <c r="E195" i="4"/>
  <c r="D195" i="4"/>
  <c r="C195" i="4"/>
  <c r="B195" i="4"/>
  <c r="I194" i="4"/>
  <c r="H194" i="4"/>
  <c r="G194" i="4"/>
  <c r="F194" i="4"/>
  <c r="E194" i="4"/>
  <c r="D194" i="4"/>
  <c r="C194" i="4"/>
  <c r="B194" i="4"/>
  <c r="I193" i="4"/>
  <c r="H193" i="4"/>
  <c r="G193" i="4"/>
  <c r="F193" i="4"/>
  <c r="E193" i="4"/>
  <c r="D193" i="4"/>
  <c r="C193" i="4"/>
  <c r="B193" i="4"/>
  <c r="I192" i="4"/>
  <c r="H192" i="4"/>
  <c r="G192" i="4"/>
  <c r="F192" i="4"/>
  <c r="E192" i="4"/>
  <c r="D192" i="4"/>
  <c r="C192" i="4"/>
  <c r="B192" i="4"/>
  <c r="I191" i="4"/>
  <c r="H191" i="4"/>
  <c r="G191" i="4"/>
  <c r="F191" i="4"/>
  <c r="E191" i="4"/>
  <c r="D191" i="4"/>
  <c r="C191" i="4"/>
  <c r="B191" i="4"/>
  <c r="I190" i="4"/>
  <c r="H190" i="4"/>
  <c r="G190" i="4"/>
  <c r="F190" i="4"/>
  <c r="E190" i="4"/>
  <c r="D190" i="4"/>
  <c r="C190" i="4"/>
  <c r="B190" i="4"/>
  <c r="I189" i="4"/>
  <c r="H189" i="4"/>
  <c r="G189" i="4"/>
  <c r="F189" i="4"/>
  <c r="E189" i="4"/>
  <c r="D189" i="4"/>
  <c r="C189" i="4"/>
  <c r="B189" i="4"/>
  <c r="I188" i="4"/>
  <c r="H188" i="4"/>
  <c r="G188" i="4"/>
  <c r="F188" i="4"/>
  <c r="E188" i="4"/>
  <c r="D188" i="4"/>
  <c r="C188" i="4"/>
  <c r="B188" i="4"/>
  <c r="I187" i="4"/>
  <c r="H187" i="4"/>
  <c r="G187" i="4"/>
  <c r="F187" i="4"/>
  <c r="E187" i="4"/>
  <c r="D187" i="4"/>
  <c r="C187" i="4"/>
  <c r="B187" i="4"/>
  <c r="I186" i="4"/>
  <c r="H186" i="4"/>
  <c r="G186" i="4"/>
  <c r="F186" i="4"/>
  <c r="E186" i="4"/>
  <c r="D186" i="4"/>
  <c r="C186" i="4"/>
  <c r="B186" i="4"/>
  <c r="I185" i="4"/>
  <c r="H185" i="4"/>
  <c r="G185" i="4"/>
  <c r="F185" i="4"/>
  <c r="E185" i="4"/>
  <c r="D185" i="4"/>
  <c r="C185" i="4"/>
  <c r="B185" i="4"/>
  <c r="I184" i="4"/>
  <c r="H184" i="4"/>
  <c r="G184" i="4"/>
  <c r="F184" i="4"/>
  <c r="E184" i="4"/>
  <c r="D184" i="4"/>
  <c r="C184" i="4"/>
  <c r="B184" i="4"/>
  <c r="I183" i="4"/>
  <c r="H183" i="4"/>
  <c r="G183" i="4"/>
  <c r="F183" i="4"/>
  <c r="E183" i="4"/>
  <c r="D183" i="4"/>
  <c r="C183" i="4"/>
  <c r="B183" i="4"/>
  <c r="I182" i="4"/>
  <c r="H182" i="4"/>
  <c r="G182" i="4"/>
  <c r="F182" i="4"/>
  <c r="E182" i="4"/>
  <c r="D182" i="4"/>
  <c r="C182" i="4"/>
  <c r="B182" i="4"/>
  <c r="I181" i="4"/>
  <c r="H181" i="4"/>
  <c r="G181" i="4"/>
  <c r="F181" i="4"/>
  <c r="E181" i="4"/>
  <c r="D181" i="4"/>
  <c r="C181" i="4"/>
  <c r="B181" i="4"/>
  <c r="I180" i="4"/>
  <c r="H180" i="4"/>
  <c r="G180" i="4"/>
  <c r="F180" i="4"/>
  <c r="E180" i="4"/>
  <c r="D180" i="4"/>
  <c r="C180" i="4"/>
  <c r="B180" i="4"/>
  <c r="I179" i="4"/>
  <c r="H179" i="4"/>
  <c r="G179" i="4"/>
  <c r="F179" i="4"/>
  <c r="E179" i="4"/>
  <c r="D179" i="4"/>
  <c r="C179" i="4"/>
  <c r="B179" i="4"/>
  <c r="I178" i="4"/>
  <c r="H178" i="4"/>
  <c r="G178" i="4"/>
  <c r="F178" i="4"/>
  <c r="E178" i="4"/>
  <c r="D178" i="4"/>
  <c r="C178" i="4"/>
  <c r="B178" i="4"/>
  <c r="I177" i="4"/>
  <c r="H177" i="4"/>
  <c r="G177" i="4"/>
  <c r="F177" i="4"/>
  <c r="E177" i="4"/>
  <c r="D177" i="4"/>
  <c r="C177" i="4"/>
  <c r="B177" i="4"/>
  <c r="I176" i="4"/>
  <c r="H176" i="4"/>
  <c r="G176" i="4"/>
  <c r="F176" i="4"/>
  <c r="E176" i="4"/>
  <c r="D176" i="4"/>
  <c r="C176" i="4"/>
  <c r="B176" i="4"/>
  <c r="I175" i="4"/>
  <c r="H175" i="4"/>
  <c r="G175" i="4"/>
  <c r="F175" i="4"/>
  <c r="E175" i="4"/>
  <c r="D175" i="4"/>
  <c r="C175" i="4"/>
  <c r="B175" i="4"/>
  <c r="I174" i="4"/>
  <c r="H174" i="4"/>
  <c r="G174" i="4"/>
  <c r="F174" i="4"/>
  <c r="E174" i="4"/>
  <c r="D174" i="4"/>
  <c r="C174" i="4"/>
  <c r="B174" i="4"/>
  <c r="I173" i="4"/>
  <c r="H173" i="4"/>
  <c r="G173" i="4"/>
  <c r="F173" i="4"/>
  <c r="E173" i="4"/>
  <c r="D173" i="4"/>
  <c r="C173" i="4"/>
  <c r="B173" i="4"/>
  <c r="I172" i="4"/>
  <c r="H172" i="4"/>
  <c r="G172" i="4"/>
  <c r="F172" i="4"/>
  <c r="E172" i="4"/>
  <c r="D172" i="4"/>
  <c r="C172" i="4"/>
  <c r="B172" i="4"/>
  <c r="I171" i="4"/>
  <c r="H171" i="4"/>
  <c r="G171" i="4"/>
  <c r="F171" i="4"/>
  <c r="E171" i="4"/>
  <c r="D171" i="4"/>
  <c r="C171" i="4"/>
  <c r="B171" i="4"/>
  <c r="I170" i="4"/>
  <c r="H170" i="4"/>
  <c r="G170" i="4"/>
  <c r="F170" i="4"/>
  <c r="E170" i="4"/>
  <c r="D170" i="4"/>
  <c r="C170" i="4"/>
  <c r="B170" i="4"/>
  <c r="I169" i="4"/>
  <c r="H169" i="4"/>
  <c r="G169" i="4"/>
  <c r="F169" i="4"/>
  <c r="E169" i="4"/>
  <c r="D169" i="4"/>
  <c r="C169" i="4"/>
  <c r="B169" i="4"/>
  <c r="I168" i="4"/>
  <c r="H168" i="4"/>
  <c r="G168" i="4"/>
  <c r="F168" i="4"/>
  <c r="E168" i="4"/>
  <c r="D168" i="4"/>
  <c r="C168" i="4"/>
  <c r="B168" i="4"/>
  <c r="I167" i="4"/>
  <c r="H167" i="4"/>
  <c r="G167" i="4"/>
  <c r="F167" i="4"/>
  <c r="E167" i="4"/>
  <c r="D167" i="4"/>
  <c r="C167" i="4"/>
  <c r="B167" i="4"/>
  <c r="I166" i="4"/>
  <c r="H166" i="4"/>
  <c r="G166" i="4"/>
  <c r="F166" i="4"/>
  <c r="E166" i="4"/>
  <c r="D166" i="4"/>
  <c r="C166" i="4"/>
  <c r="B166" i="4"/>
  <c r="I165" i="4"/>
  <c r="H165" i="4"/>
  <c r="G165" i="4"/>
  <c r="F165" i="4"/>
  <c r="E165" i="4"/>
  <c r="D165" i="4"/>
  <c r="C165" i="4"/>
  <c r="B165" i="4"/>
  <c r="I164" i="4"/>
  <c r="H164" i="4"/>
  <c r="G164" i="4"/>
  <c r="F164" i="4"/>
  <c r="E164" i="4"/>
  <c r="D164" i="4"/>
  <c r="C164" i="4"/>
  <c r="B164" i="4"/>
  <c r="I163" i="4"/>
  <c r="H163" i="4"/>
  <c r="G163" i="4"/>
  <c r="F163" i="4"/>
  <c r="E163" i="4"/>
  <c r="D163" i="4"/>
  <c r="C163" i="4"/>
  <c r="B163" i="4"/>
  <c r="I162" i="4"/>
  <c r="H162" i="4"/>
  <c r="G162" i="4"/>
  <c r="F162" i="4"/>
  <c r="E162" i="4"/>
  <c r="D162" i="4"/>
  <c r="C162" i="4"/>
  <c r="B162" i="4"/>
  <c r="I161" i="4"/>
  <c r="H161" i="4"/>
  <c r="G161" i="4"/>
  <c r="F161" i="4"/>
  <c r="E161" i="4"/>
  <c r="D161" i="4"/>
  <c r="C161" i="4"/>
  <c r="B161" i="4"/>
  <c r="I160" i="4"/>
  <c r="H160" i="4"/>
  <c r="G160" i="4"/>
  <c r="F160" i="4"/>
  <c r="E160" i="4"/>
  <c r="D160" i="4"/>
  <c r="C160" i="4"/>
  <c r="B160" i="4"/>
  <c r="I159" i="4"/>
  <c r="H159" i="4"/>
  <c r="G159" i="4"/>
  <c r="F159" i="4"/>
  <c r="E159" i="4"/>
  <c r="D159" i="4"/>
  <c r="C159" i="4"/>
  <c r="B159" i="4"/>
  <c r="I158" i="4"/>
  <c r="H158" i="4"/>
  <c r="G158" i="4"/>
  <c r="F158" i="4"/>
  <c r="E158" i="4"/>
  <c r="D158" i="4"/>
  <c r="C158" i="4"/>
  <c r="B158" i="4"/>
  <c r="I157" i="4"/>
  <c r="H157" i="4"/>
  <c r="G157" i="4"/>
  <c r="F157" i="4"/>
  <c r="E157" i="4"/>
  <c r="D157" i="4"/>
  <c r="C157" i="4"/>
  <c r="B157" i="4"/>
  <c r="I156" i="4"/>
  <c r="H156" i="4"/>
  <c r="G156" i="4"/>
  <c r="F156" i="4"/>
  <c r="E156" i="4"/>
  <c r="D156" i="4"/>
  <c r="C156" i="4"/>
  <c r="B156" i="4"/>
  <c r="I155" i="4"/>
  <c r="H155" i="4"/>
  <c r="G155" i="4"/>
  <c r="F155" i="4"/>
  <c r="E155" i="4"/>
  <c r="D155" i="4"/>
  <c r="C155" i="4"/>
  <c r="B155" i="4"/>
  <c r="I154" i="4"/>
  <c r="H154" i="4"/>
  <c r="G154" i="4"/>
  <c r="F154" i="4"/>
  <c r="E154" i="4"/>
  <c r="D154" i="4"/>
  <c r="C154" i="4"/>
  <c r="B154" i="4"/>
  <c r="I153" i="4"/>
  <c r="H153" i="4"/>
  <c r="G153" i="4"/>
  <c r="F153" i="4"/>
  <c r="E153" i="4"/>
  <c r="D153" i="4"/>
  <c r="C153" i="4"/>
  <c r="B153" i="4"/>
  <c r="I152" i="4"/>
  <c r="H152" i="4"/>
  <c r="G152" i="4"/>
  <c r="F152" i="4"/>
  <c r="E152" i="4"/>
  <c r="D152" i="4"/>
  <c r="C152" i="4"/>
  <c r="B152" i="4"/>
  <c r="I151" i="4"/>
  <c r="H151" i="4"/>
  <c r="G151" i="4"/>
  <c r="F151" i="4"/>
  <c r="E151" i="4"/>
  <c r="D151" i="4"/>
  <c r="C151" i="4"/>
  <c r="B151" i="4"/>
  <c r="I150" i="4"/>
  <c r="H150" i="4"/>
  <c r="G150" i="4"/>
  <c r="F150" i="4"/>
  <c r="E150" i="4"/>
  <c r="D150" i="4"/>
  <c r="C150" i="4"/>
  <c r="B150" i="4"/>
  <c r="I149" i="4"/>
  <c r="H149" i="4"/>
  <c r="G149" i="4"/>
  <c r="F149" i="4"/>
  <c r="E149" i="4"/>
  <c r="D149" i="4"/>
  <c r="C149" i="4"/>
  <c r="B149" i="4"/>
  <c r="I148" i="4"/>
  <c r="H148" i="4"/>
  <c r="G148" i="4"/>
  <c r="F148" i="4"/>
  <c r="E148" i="4"/>
  <c r="D148" i="4"/>
  <c r="C148" i="4"/>
  <c r="B148" i="4"/>
  <c r="I147" i="4"/>
  <c r="H147" i="4"/>
  <c r="G147" i="4"/>
  <c r="F147" i="4"/>
  <c r="E147" i="4"/>
  <c r="D147" i="4"/>
  <c r="C147" i="4"/>
  <c r="B147" i="4"/>
  <c r="I146" i="4"/>
  <c r="H146" i="4"/>
  <c r="G146" i="4"/>
  <c r="F146" i="4"/>
  <c r="E146" i="4"/>
  <c r="D146" i="4"/>
  <c r="C146" i="4"/>
  <c r="B146" i="4"/>
  <c r="I145" i="4"/>
  <c r="H145" i="4"/>
  <c r="G145" i="4"/>
  <c r="F145" i="4"/>
  <c r="E145" i="4"/>
  <c r="D145" i="4"/>
  <c r="C145" i="4"/>
  <c r="B145" i="4"/>
  <c r="I144" i="4"/>
  <c r="H144" i="4"/>
  <c r="G144" i="4"/>
  <c r="F144" i="4"/>
  <c r="E144" i="4"/>
  <c r="D144" i="4"/>
  <c r="C144" i="4"/>
  <c r="B144" i="4"/>
  <c r="I143" i="4"/>
  <c r="H143" i="4"/>
  <c r="G143" i="4"/>
  <c r="F143" i="4"/>
  <c r="E143" i="4"/>
  <c r="D143" i="4"/>
  <c r="C143" i="4"/>
  <c r="B143" i="4"/>
  <c r="I142" i="4"/>
  <c r="H142" i="4"/>
  <c r="G142" i="4"/>
  <c r="F142" i="4"/>
  <c r="E142" i="4"/>
  <c r="D142" i="4"/>
  <c r="C142" i="4"/>
  <c r="B142" i="4"/>
  <c r="I141" i="4"/>
  <c r="H141" i="4"/>
  <c r="G141" i="4"/>
  <c r="F141" i="4"/>
  <c r="E141" i="4"/>
  <c r="D141" i="4"/>
  <c r="C141" i="4"/>
  <c r="B141" i="4"/>
  <c r="I140" i="4"/>
  <c r="H140" i="4"/>
  <c r="G140" i="4"/>
  <c r="F140" i="4"/>
  <c r="E140" i="4"/>
  <c r="D140" i="4"/>
  <c r="C140" i="4"/>
  <c r="B140" i="4"/>
  <c r="I139" i="4"/>
  <c r="H139" i="4"/>
  <c r="G139" i="4"/>
  <c r="F139" i="4"/>
  <c r="E139" i="4"/>
  <c r="D139" i="4"/>
  <c r="C139" i="4"/>
  <c r="B139" i="4"/>
  <c r="I138" i="4"/>
  <c r="H138" i="4"/>
  <c r="G138" i="4"/>
  <c r="F138" i="4"/>
  <c r="E138" i="4"/>
  <c r="D138" i="4"/>
  <c r="C138" i="4"/>
  <c r="B138" i="4"/>
  <c r="I137" i="4"/>
  <c r="H137" i="4"/>
  <c r="G137" i="4"/>
  <c r="F137" i="4"/>
  <c r="E137" i="4"/>
  <c r="D137" i="4"/>
  <c r="C137" i="4"/>
  <c r="B137" i="4"/>
  <c r="I136" i="4"/>
  <c r="H136" i="4"/>
  <c r="G136" i="4"/>
  <c r="F136" i="4"/>
  <c r="E136" i="4"/>
  <c r="D136" i="4"/>
  <c r="C136" i="4"/>
  <c r="B136" i="4"/>
  <c r="I135" i="4"/>
  <c r="H135" i="4"/>
  <c r="G135" i="4"/>
  <c r="F135" i="4"/>
  <c r="E135" i="4"/>
  <c r="D135" i="4"/>
  <c r="C135" i="4"/>
  <c r="B135" i="4"/>
  <c r="I134" i="4"/>
  <c r="H134" i="4"/>
  <c r="G134" i="4"/>
  <c r="F134" i="4"/>
  <c r="E134" i="4"/>
  <c r="D134" i="4"/>
  <c r="C134" i="4"/>
  <c r="B134" i="4"/>
  <c r="I133" i="4"/>
  <c r="H133" i="4"/>
  <c r="G133" i="4"/>
  <c r="F133" i="4"/>
  <c r="E133" i="4"/>
  <c r="D133" i="4"/>
  <c r="C133" i="4"/>
  <c r="B133" i="4"/>
  <c r="I132" i="4"/>
  <c r="H132" i="4"/>
  <c r="G132" i="4"/>
  <c r="F132" i="4"/>
  <c r="E132" i="4"/>
  <c r="D132" i="4"/>
  <c r="C132" i="4"/>
  <c r="B132" i="4"/>
  <c r="I131" i="4"/>
  <c r="H131" i="4"/>
  <c r="G131" i="4"/>
  <c r="F131" i="4"/>
  <c r="E131" i="4"/>
  <c r="D131" i="4"/>
  <c r="C131" i="4"/>
  <c r="B131" i="4"/>
  <c r="I130" i="4"/>
  <c r="H130" i="4"/>
  <c r="G130" i="4"/>
  <c r="F130" i="4"/>
  <c r="E130" i="4"/>
  <c r="D130" i="4"/>
  <c r="C130" i="4"/>
  <c r="B130" i="4"/>
  <c r="I129" i="4"/>
  <c r="H129" i="4"/>
  <c r="G129" i="4"/>
  <c r="F129" i="4"/>
  <c r="E129" i="4"/>
  <c r="D129" i="4"/>
  <c r="C129" i="4"/>
  <c r="B129" i="4"/>
  <c r="I128" i="4"/>
  <c r="H128" i="4"/>
  <c r="G128" i="4"/>
  <c r="F128" i="4"/>
  <c r="E128" i="4"/>
  <c r="D128" i="4"/>
  <c r="C128" i="4"/>
  <c r="B128" i="4"/>
  <c r="I127" i="4"/>
  <c r="H127" i="4"/>
  <c r="G127" i="4"/>
  <c r="F127" i="4"/>
  <c r="E127" i="4"/>
  <c r="D127" i="4"/>
  <c r="C127" i="4"/>
  <c r="B127" i="4"/>
  <c r="I126" i="4"/>
  <c r="H126" i="4"/>
  <c r="G126" i="4"/>
  <c r="F126" i="4"/>
  <c r="E126" i="4"/>
  <c r="D126" i="4"/>
  <c r="C126" i="4"/>
  <c r="B126" i="4"/>
  <c r="I125" i="4"/>
  <c r="H125" i="4"/>
  <c r="G125" i="4"/>
  <c r="F125" i="4"/>
  <c r="E125" i="4"/>
  <c r="D125" i="4"/>
  <c r="C125" i="4"/>
  <c r="B125" i="4"/>
  <c r="I124" i="4"/>
  <c r="H124" i="4"/>
  <c r="G124" i="4"/>
  <c r="F124" i="4"/>
  <c r="E124" i="4"/>
  <c r="D124" i="4"/>
  <c r="C124" i="4"/>
  <c r="B124" i="4"/>
  <c r="I123" i="4"/>
  <c r="H123" i="4"/>
  <c r="G123" i="4"/>
  <c r="F123" i="4"/>
  <c r="E123" i="4"/>
  <c r="D123" i="4"/>
  <c r="C123" i="4"/>
  <c r="B123" i="4"/>
  <c r="I122" i="4"/>
  <c r="H122" i="4"/>
  <c r="G122" i="4"/>
  <c r="F122" i="4"/>
  <c r="E122" i="4"/>
  <c r="D122" i="4"/>
  <c r="C122" i="4"/>
  <c r="B122" i="4"/>
  <c r="I121" i="4"/>
  <c r="H121" i="4"/>
  <c r="G121" i="4"/>
  <c r="F121" i="4"/>
  <c r="E121" i="4"/>
  <c r="D121" i="4"/>
  <c r="C121" i="4"/>
  <c r="B121" i="4"/>
  <c r="I120" i="4"/>
  <c r="H120" i="4"/>
  <c r="G120" i="4"/>
  <c r="F120" i="4"/>
  <c r="E120" i="4"/>
  <c r="D120" i="4"/>
  <c r="C120" i="4"/>
  <c r="B120" i="4"/>
  <c r="I119" i="4"/>
  <c r="H119" i="4"/>
  <c r="G119" i="4"/>
  <c r="F119" i="4"/>
  <c r="E119" i="4"/>
  <c r="D119" i="4"/>
  <c r="C119" i="4"/>
  <c r="B119" i="4"/>
  <c r="I118" i="4"/>
  <c r="H118" i="4"/>
  <c r="G118" i="4"/>
  <c r="F118" i="4"/>
  <c r="E118" i="4"/>
  <c r="D118" i="4"/>
  <c r="C118" i="4"/>
  <c r="B118" i="4"/>
  <c r="I117" i="4"/>
  <c r="H117" i="4"/>
  <c r="G117" i="4"/>
  <c r="F117" i="4"/>
  <c r="E117" i="4"/>
  <c r="D117" i="4"/>
  <c r="C117" i="4"/>
  <c r="B117" i="4"/>
  <c r="I116" i="4"/>
  <c r="H116" i="4"/>
  <c r="G116" i="4"/>
  <c r="F116" i="4"/>
  <c r="E116" i="4"/>
  <c r="D116" i="4"/>
  <c r="C116" i="4"/>
  <c r="B116" i="4"/>
  <c r="I115" i="4"/>
  <c r="H115" i="4"/>
  <c r="G115" i="4"/>
  <c r="F115" i="4"/>
  <c r="E115" i="4"/>
  <c r="D115" i="4"/>
  <c r="C115" i="4"/>
  <c r="B115" i="4"/>
  <c r="I114" i="4"/>
  <c r="H114" i="4"/>
  <c r="G114" i="4"/>
  <c r="F114" i="4"/>
  <c r="E114" i="4"/>
  <c r="D114" i="4"/>
  <c r="C114" i="4"/>
  <c r="B114" i="4"/>
  <c r="I113" i="4"/>
  <c r="H113" i="4"/>
  <c r="G113" i="4"/>
  <c r="F113" i="4"/>
  <c r="E113" i="4"/>
  <c r="D113" i="4"/>
  <c r="C113" i="4"/>
  <c r="B113" i="4"/>
  <c r="I112" i="4"/>
  <c r="H112" i="4"/>
  <c r="G112" i="4"/>
  <c r="F112" i="4"/>
  <c r="E112" i="4"/>
  <c r="D112" i="4"/>
  <c r="C112" i="4"/>
  <c r="B112" i="4"/>
  <c r="I111" i="4"/>
  <c r="H111" i="4"/>
  <c r="G111" i="4"/>
  <c r="F111" i="4"/>
  <c r="E111" i="4"/>
  <c r="D111" i="4"/>
  <c r="C111" i="4"/>
  <c r="B111" i="4"/>
  <c r="I110" i="4"/>
  <c r="H110" i="4"/>
  <c r="G110" i="4"/>
  <c r="F110" i="4"/>
  <c r="E110" i="4"/>
  <c r="D110" i="4"/>
  <c r="C110" i="4"/>
  <c r="B110" i="4"/>
  <c r="I109" i="4"/>
  <c r="H109" i="4"/>
  <c r="G109" i="4"/>
  <c r="F109" i="4"/>
  <c r="E109" i="4"/>
  <c r="D109" i="4"/>
  <c r="C109" i="4"/>
  <c r="B109" i="4"/>
  <c r="I108" i="4"/>
  <c r="H108" i="4"/>
  <c r="G108" i="4"/>
  <c r="F108" i="4"/>
  <c r="E108" i="4"/>
  <c r="D108" i="4"/>
  <c r="C108" i="4"/>
  <c r="B108" i="4"/>
  <c r="I107" i="4"/>
  <c r="H107" i="4"/>
  <c r="G107" i="4"/>
  <c r="F107" i="4"/>
  <c r="E107" i="4"/>
  <c r="D107" i="4"/>
  <c r="C107" i="4"/>
  <c r="B107" i="4"/>
  <c r="I106" i="4"/>
  <c r="H106" i="4"/>
  <c r="G106" i="4"/>
  <c r="F106" i="4"/>
  <c r="E106" i="4"/>
  <c r="D106" i="4"/>
  <c r="C106" i="4"/>
  <c r="B106" i="4"/>
  <c r="I105" i="4"/>
  <c r="H105" i="4"/>
  <c r="G105" i="4"/>
  <c r="F105" i="4"/>
  <c r="E105" i="4"/>
  <c r="D105" i="4"/>
  <c r="C105" i="4"/>
  <c r="B105" i="4"/>
  <c r="I104" i="4"/>
  <c r="H104" i="4"/>
  <c r="G104" i="4"/>
  <c r="F104" i="4"/>
  <c r="E104" i="4"/>
  <c r="D104" i="4"/>
  <c r="C104" i="4"/>
  <c r="B104" i="4"/>
  <c r="I103" i="4"/>
  <c r="H103" i="4"/>
  <c r="G103" i="4"/>
  <c r="F103" i="4"/>
  <c r="E103" i="4"/>
  <c r="D103" i="4"/>
  <c r="C103" i="4"/>
  <c r="B103" i="4"/>
  <c r="I102" i="4"/>
  <c r="H102" i="4"/>
  <c r="G102" i="4"/>
  <c r="F102" i="4"/>
  <c r="E102" i="4"/>
  <c r="D102" i="4"/>
  <c r="C102" i="4"/>
  <c r="B102" i="4"/>
  <c r="I101" i="4"/>
  <c r="H101" i="4"/>
  <c r="G101" i="4"/>
  <c r="F101" i="4"/>
  <c r="E101" i="4"/>
  <c r="D101" i="4"/>
  <c r="C101" i="4"/>
  <c r="B101" i="4"/>
  <c r="I100" i="4"/>
  <c r="H100" i="4"/>
  <c r="G100" i="4"/>
  <c r="F100" i="4"/>
  <c r="E100" i="4"/>
  <c r="D100" i="4"/>
  <c r="C100" i="4"/>
  <c r="B100" i="4"/>
  <c r="I99" i="4"/>
  <c r="H99" i="4"/>
  <c r="G99" i="4"/>
  <c r="F99" i="4"/>
  <c r="E99" i="4"/>
  <c r="D99" i="4"/>
  <c r="C99" i="4"/>
  <c r="B99" i="4"/>
  <c r="I98" i="4"/>
  <c r="H98" i="4"/>
  <c r="G98" i="4"/>
  <c r="F98" i="4"/>
  <c r="E98" i="4"/>
  <c r="D98" i="4"/>
  <c r="C98" i="4"/>
  <c r="B98" i="4"/>
  <c r="I97" i="4"/>
  <c r="H97" i="4"/>
  <c r="G97" i="4"/>
  <c r="F97" i="4"/>
  <c r="E97" i="4"/>
  <c r="D97" i="4"/>
  <c r="C97" i="4"/>
  <c r="B97" i="4"/>
  <c r="I96" i="4"/>
  <c r="H96" i="4"/>
  <c r="G96" i="4"/>
  <c r="F96" i="4"/>
  <c r="E96" i="4"/>
  <c r="D96" i="4"/>
  <c r="C96" i="4"/>
  <c r="B96" i="4"/>
  <c r="I95" i="4"/>
  <c r="H95" i="4"/>
  <c r="G95" i="4"/>
  <c r="F95" i="4"/>
  <c r="E95" i="4"/>
  <c r="D95" i="4"/>
  <c r="C95" i="4"/>
  <c r="B95" i="4"/>
  <c r="I94" i="4"/>
  <c r="H94" i="4"/>
  <c r="G94" i="4"/>
  <c r="F94" i="4"/>
  <c r="E94" i="4"/>
  <c r="D94" i="4"/>
  <c r="C94" i="4"/>
  <c r="B94" i="4"/>
  <c r="I93" i="4"/>
  <c r="H93" i="4"/>
  <c r="G93" i="4"/>
  <c r="F93" i="4"/>
  <c r="E93" i="4"/>
  <c r="D93" i="4"/>
  <c r="C93" i="4"/>
  <c r="B93" i="4"/>
  <c r="I92" i="4"/>
  <c r="H92" i="4"/>
  <c r="G92" i="4"/>
  <c r="F92" i="4"/>
  <c r="E92" i="4"/>
  <c r="D92" i="4"/>
  <c r="C92" i="4"/>
  <c r="B92" i="4"/>
  <c r="I91" i="4"/>
  <c r="H91" i="4"/>
  <c r="G91" i="4"/>
  <c r="F91" i="4"/>
  <c r="E91" i="4"/>
  <c r="D91" i="4"/>
  <c r="C91" i="4"/>
  <c r="B91" i="4"/>
  <c r="I90" i="4"/>
  <c r="H90" i="4"/>
  <c r="G90" i="4"/>
  <c r="F90" i="4"/>
  <c r="E90" i="4"/>
  <c r="D90" i="4"/>
  <c r="C90" i="4"/>
  <c r="B90" i="4"/>
  <c r="I89" i="4"/>
  <c r="H89" i="4"/>
  <c r="G89" i="4"/>
  <c r="F89" i="4"/>
  <c r="E89" i="4"/>
  <c r="D89" i="4"/>
  <c r="C89" i="4"/>
  <c r="B89" i="4"/>
  <c r="I88" i="4"/>
  <c r="H88" i="4"/>
  <c r="G88" i="4"/>
  <c r="F88" i="4"/>
  <c r="E88" i="4"/>
  <c r="D88" i="4"/>
  <c r="C88" i="4"/>
  <c r="B88" i="4"/>
  <c r="I87" i="4"/>
  <c r="H87" i="4"/>
  <c r="G87" i="4"/>
  <c r="F87" i="4"/>
  <c r="E87" i="4"/>
  <c r="D87" i="4"/>
  <c r="C87" i="4"/>
  <c r="B87" i="4"/>
  <c r="I86" i="4"/>
  <c r="H86" i="4"/>
  <c r="G86" i="4"/>
  <c r="F86" i="4"/>
  <c r="E86" i="4"/>
  <c r="D86" i="4"/>
  <c r="C86" i="4"/>
  <c r="B86" i="4"/>
  <c r="I85" i="4"/>
  <c r="H85" i="4"/>
  <c r="G85" i="4"/>
  <c r="F85" i="4"/>
  <c r="E85" i="4"/>
  <c r="D85" i="4"/>
  <c r="C85" i="4"/>
  <c r="B85" i="4"/>
  <c r="I84" i="4"/>
  <c r="H84" i="4"/>
  <c r="G84" i="4"/>
  <c r="F84" i="4"/>
  <c r="E84" i="4"/>
  <c r="D84" i="4"/>
  <c r="C84" i="4"/>
  <c r="B84" i="4"/>
  <c r="I83" i="4"/>
  <c r="H83" i="4"/>
  <c r="G83" i="4"/>
  <c r="F83" i="4"/>
  <c r="E83" i="4"/>
  <c r="D83" i="4"/>
  <c r="C83" i="4"/>
  <c r="B83" i="4"/>
  <c r="I82" i="4"/>
  <c r="H82" i="4"/>
  <c r="G82" i="4"/>
  <c r="F82" i="4"/>
  <c r="E82" i="4"/>
  <c r="D82" i="4"/>
  <c r="C82" i="4"/>
  <c r="B82" i="4"/>
  <c r="I81" i="4"/>
  <c r="H81" i="4"/>
  <c r="G81" i="4"/>
  <c r="F81" i="4"/>
  <c r="E81" i="4"/>
  <c r="D81" i="4"/>
  <c r="C81" i="4"/>
  <c r="B81" i="4"/>
  <c r="I80" i="4"/>
  <c r="H80" i="4"/>
  <c r="G80" i="4"/>
  <c r="F80" i="4"/>
  <c r="E80" i="4"/>
  <c r="D80" i="4"/>
  <c r="C80" i="4"/>
  <c r="B80" i="4"/>
  <c r="I79" i="4"/>
  <c r="H79" i="4"/>
  <c r="G79" i="4"/>
  <c r="F79" i="4"/>
  <c r="E79" i="4"/>
  <c r="D79" i="4"/>
  <c r="C79" i="4"/>
  <c r="B79" i="4"/>
  <c r="I78" i="4"/>
  <c r="H78" i="4"/>
  <c r="G78" i="4"/>
  <c r="F78" i="4"/>
  <c r="E78" i="4"/>
  <c r="D78" i="4"/>
  <c r="C78" i="4"/>
  <c r="B78" i="4"/>
  <c r="I77" i="4"/>
  <c r="H77" i="4"/>
  <c r="G77" i="4"/>
  <c r="F77" i="4"/>
  <c r="E77" i="4"/>
  <c r="D77" i="4"/>
  <c r="C77" i="4"/>
  <c r="B77" i="4"/>
  <c r="I76" i="4"/>
  <c r="H76" i="4"/>
  <c r="G76" i="4"/>
  <c r="F76" i="4"/>
  <c r="E76" i="4"/>
  <c r="D76" i="4"/>
  <c r="C76" i="4"/>
  <c r="B76" i="4"/>
  <c r="I75" i="4"/>
  <c r="H75" i="4"/>
  <c r="G75" i="4"/>
  <c r="F75" i="4"/>
  <c r="E75" i="4"/>
  <c r="D75" i="4"/>
  <c r="C75" i="4"/>
  <c r="B75" i="4"/>
  <c r="I74" i="4"/>
  <c r="H74" i="4"/>
  <c r="G74" i="4"/>
  <c r="F74" i="4"/>
  <c r="E74" i="4"/>
  <c r="D74" i="4"/>
  <c r="C74" i="4"/>
  <c r="B74" i="4"/>
  <c r="I73" i="4"/>
  <c r="H73" i="4"/>
  <c r="G73" i="4"/>
  <c r="F73" i="4"/>
  <c r="E73" i="4"/>
  <c r="D73" i="4"/>
  <c r="C73" i="4"/>
  <c r="B73" i="4"/>
  <c r="I72" i="4"/>
  <c r="H72" i="4"/>
  <c r="G72" i="4"/>
  <c r="F72" i="4"/>
  <c r="E72" i="4"/>
  <c r="D72" i="4"/>
  <c r="C72" i="4"/>
  <c r="B72" i="4"/>
  <c r="I71" i="4"/>
  <c r="H71" i="4"/>
  <c r="G71" i="4"/>
  <c r="F71" i="4"/>
  <c r="E71" i="4"/>
  <c r="D71" i="4"/>
  <c r="C71" i="4"/>
  <c r="B71" i="4"/>
  <c r="I70" i="4"/>
  <c r="H70" i="4"/>
  <c r="G70" i="4"/>
  <c r="F70" i="4"/>
  <c r="E70" i="4"/>
  <c r="D70" i="4"/>
  <c r="C70" i="4"/>
  <c r="B70" i="4"/>
  <c r="I69" i="4"/>
  <c r="H69" i="4"/>
  <c r="G69" i="4"/>
  <c r="F69" i="4"/>
  <c r="E69" i="4"/>
  <c r="D69" i="4"/>
  <c r="C69" i="4"/>
  <c r="B69" i="4"/>
  <c r="I68" i="4"/>
  <c r="H68" i="4"/>
  <c r="G68" i="4"/>
  <c r="F68" i="4"/>
  <c r="E68" i="4"/>
  <c r="D68" i="4"/>
  <c r="C68" i="4"/>
  <c r="B68" i="4"/>
  <c r="I67" i="4"/>
  <c r="H67" i="4"/>
  <c r="G67" i="4"/>
  <c r="F67" i="4"/>
  <c r="E67" i="4"/>
  <c r="D67" i="4"/>
  <c r="C67" i="4"/>
  <c r="B67" i="4"/>
  <c r="I66" i="4"/>
  <c r="H66" i="4"/>
  <c r="G66" i="4"/>
  <c r="F66" i="4"/>
  <c r="E66" i="4"/>
  <c r="D66" i="4"/>
  <c r="C66" i="4"/>
  <c r="B66" i="4"/>
  <c r="I65" i="4"/>
  <c r="H65" i="4"/>
  <c r="G65" i="4"/>
  <c r="F65" i="4"/>
  <c r="E65" i="4"/>
  <c r="D65" i="4"/>
  <c r="C65" i="4"/>
  <c r="B65" i="4"/>
  <c r="I64" i="4"/>
  <c r="H64" i="4"/>
  <c r="G64" i="4"/>
  <c r="F64" i="4"/>
  <c r="E64" i="4"/>
  <c r="D64" i="4"/>
  <c r="C64" i="4"/>
  <c r="B64" i="4"/>
  <c r="I63" i="4"/>
  <c r="H63" i="4"/>
  <c r="G63" i="4"/>
  <c r="F63" i="4"/>
  <c r="E63" i="4"/>
  <c r="D63" i="4"/>
  <c r="C63" i="4"/>
  <c r="B63" i="4"/>
  <c r="I62" i="4"/>
  <c r="H62" i="4"/>
  <c r="G62" i="4"/>
  <c r="F62" i="4"/>
  <c r="E62" i="4"/>
  <c r="D62" i="4"/>
  <c r="C62" i="4"/>
  <c r="B62" i="4"/>
  <c r="I61" i="4"/>
  <c r="H61" i="4"/>
  <c r="G61" i="4"/>
  <c r="F61" i="4"/>
  <c r="E61" i="4"/>
  <c r="D61" i="4"/>
  <c r="C61" i="4"/>
  <c r="B61" i="4"/>
  <c r="I60" i="4"/>
  <c r="H60" i="4"/>
  <c r="G60" i="4"/>
  <c r="F60" i="4"/>
  <c r="E60" i="4"/>
  <c r="D60" i="4"/>
  <c r="C60" i="4"/>
  <c r="B60" i="4"/>
  <c r="I59" i="4"/>
  <c r="H59" i="4"/>
  <c r="G59" i="4"/>
  <c r="F59" i="4"/>
  <c r="E59" i="4"/>
  <c r="D59" i="4"/>
  <c r="C59" i="4"/>
  <c r="B59" i="4"/>
  <c r="I58" i="4"/>
  <c r="H58" i="4"/>
  <c r="G58" i="4"/>
  <c r="F58" i="4"/>
  <c r="E58" i="4"/>
  <c r="D58" i="4"/>
  <c r="C58" i="4"/>
  <c r="B58" i="4"/>
  <c r="I57" i="4"/>
  <c r="H57" i="4"/>
  <c r="G57" i="4"/>
  <c r="F57" i="4"/>
  <c r="E57" i="4"/>
  <c r="D57" i="4"/>
  <c r="C57" i="4"/>
  <c r="B57" i="4"/>
  <c r="I56" i="4"/>
  <c r="H56" i="4"/>
  <c r="G56" i="4"/>
  <c r="F56" i="4"/>
  <c r="E56" i="4"/>
  <c r="D56" i="4"/>
  <c r="C56" i="4"/>
  <c r="B56" i="4"/>
  <c r="I55" i="4"/>
  <c r="H55" i="4"/>
  <c r="G55" i="4"/>
  <c r="F55" i="4"/>
  <c r="E55" i="4"/>
  <c r="D55" i="4"/>
  <c r="C55" i="4"/>
  <c r="B55" i="4"/>
  <c r="I54" i="4"/>
  <c r="H54" i="4"/>
  <c r="G54" i="4"/>
  <c r="F54" i="4"/>
  <c r="E54" i="4"/>
  <c r="D54" i="4"/>
  <c r="C54" i="4"/>
  <c r="B54" i="4"/>
  <c r="I53" i="4"/>
  <c r="H53" i="4"/>
  <c r="G53" i="4"/>
  <c r="F53" i="4"/>
  <c r="E53" i="4"/>
  <c r="D53" i="4"/>
  <c r="C53" i="4"/>
  <c r="B53" i="4"/>
  <c r="I52" i="4"/>
  <c r="H52" i="4"/>
  <c r="G52" i="4"/>
  <c r="F52" i="4"/>
  <c r="E52" i="4"/>
  <c r="D52" i="4"/>
  <c r="C52" i="4"/>
  <c r="B52" i="4"/>
  <c r="I51" i="4"/>
  <c r="H51" i="4"/>
  <c r="G51" i="4"/>
  <c r="F51" i="4"/>
  <c r="E51" i="4"/>
  <c r="D51" i="4"/>
  <c r="C51" i="4"/>
  <c r="B51" i="4"/>
  <c r="I50" i="4"/>
  <c r="H50" i="4"/>
  <c r="G50" i="4"/>
  <c r="F50" i="4"/>
  <c r="E50" i="4"/>
  <c r="D50" i="4"/>
  <c r="C50" i="4"/>
  <c r="B50" i="4"/>
  <c r="I49" i="4"/>
  <c r="H49" i="4"/>
  <c r="G49" i="4"/>
  <c r="F49" i="4"/>
  <c r="E49" i="4"/>
  <c r="D49" i="4"/>
  <c r="C49" i="4"/>
  <c r="B49" i="4"/>
  <c r="I48" i="4"/>
  <c r="H48" i="4"/>
  <c r="G48" i="4"/>
  <c r="F48" i="4"/>
  <c r="E48" i="4"/>
  <c r="D48" i="4"/>
  <c r="C48" i="4"/>
  <c r="B48" i="4"/>
  <c r="I47" i="4"/>
  <c r="H47" i="4"/>
  <c r="G47" i="4"/>
  <c r="F47" i="4"/>
  <c r="E47" i="4"/>
  <c r="D47" i="4"/>
  <c r="C47" i="4"/>
  <c r="B47" i="4"/>
  <c r="I46" i="4"/>
  <c r="H46" i="4"/>
  <c r="G46" i="4"/>
  <c r="F46" i="4"/>
  <c r="E46" i="4"/>
  <c r="D46" i="4"/>
  <c r="C46" i="4"/>
  <c r="B46" i="4"/>
  <c r="I45" i="4"/>
  <c r="H45" i="4"/>
  <c r="G45" i="4"/>
  <c r="F45" i="4"/>
  <c r="E45" i="4"/>
  <c r="D45" i="4"/>
  <c r="C45" i="4"/>
  <c r="B45" i="4"/>
  <c r="I44" i="4"/>
  <c r="H44" i="4"/>
  <c r="G44" i="4"/>
  <c r="F44" i="4"/>
  <c r="E44" i="4"/>
  <c r="D44" i="4"/>
  <c r="C44" i="4"/>
  <c r="B44" i="4"/>
  <c r="I43" i="4"/>
  <c r="H43" i="4"/>
  <c r="G43" i="4"/>
  <c r="F43" i="4"/>
  <c r="E43" i="4"/>
  <c r="D43" i="4"/>
  <c r="C43" i="4"/>
  <c r="B43" i="4"/>
  <c r="I42" i="4"/>
  <c r="H42" i="4"/>
  <c r="G42" i="4"/>
  <c r="F42" i="4"/>
  <c r="E42" i="4"/>
  <c r="D42" i="4"/>
  <c r="C42" i="4"/>
  <c r="B42" i="4"/>
  <c r="I41" i="4"/>
  <c r="H41" i="4"/>
  <c r="G41" i="4"/>
  <c r="F41" i="4"/>
  <c r="E41" i="4"/>
  <c r="D41" i="4"/>
  <c r="C41" i="4"/>
  <c r="B41" i="4"/>
  <c r="I40" i="4"/>
  <c r="H40" i="4"/>
  <c r="G40" i="4"/>
  <c r="F40" i="4"/>
  <c r="E40" i="4"/>
  <c r="D40" i="4"/>
  <c r="C40" i="4"/>
  <c r="B40" i="4"/>
  <c r="I39" i="4"/>
  <c r="H39" i="4"/>
  <c r="G39" i="4"/>
  <c r="F39" i="4"/>
  <c r="E39" i="4"/>
  <c r="D39" i="4"/>
  <c r="C39" i="4"/>
  <c r="B39" i="4"/>
  <c r="I38" i="4"/>
  <c r="H38" i="4"/>
  <c r="G38" i="4"/>
  <c r="F38" i="4"/>
  <c r="E38" i="4"/>
  <c r="D38" i="4"/>
  <c r="C38" i="4"/>
  <c r="B38" i="4"/>
  <c r="I37" i="4"/>
  <c r="H37" i="4"/>
  <c r="G37" i="4"/>
  <c r="F37" i="4"/>
  <c r="E37" i="4"/>
  <c r="D37" i="4"/>
  <c r="C37" i="4"/>
  <c r="B37" i="4"/>
  <c r="I36" i="4"/>
  <c r="H36" i="4"/>
  <c r="G36" i="4"/>
  <c r="F36" i="4"/>
  <c r="E36" i="4"/>
  <c r="D36" i="4"/>
  <c r="C36" i="4"/>
  <c r="B36" i="4"/>
  <c r="I35" i="4"/>
  <c r="H35" i="4"/>
  <c r="G35" i="4"/>
  <c r="F35" i="4"/>
  <c r="E35" i="4"/>
  <c r="D35" i="4"/>
  <c r="C35" i="4"/>
  <c r="B35" i="4"/>
  <c r="I34" i="4"/>
  <c r="H34" i="4"/>
  <c r="G34" i="4"/>
  <c r="F34" i="4"/>
  <c r="E34" i="4"/>
  <c r="D34" i="4"/>
  <c r="C34" i="4"/>
  <c r="B34" i="4"/>
  <c r="I33" i="4"/>
  <c r="H33" i="4"/>
  <c r="G33" i="4"/>
  <c r="F33" i="4"/>
  <c r="E33" i="4"/>
  <c r="D33" i="4"/>
  <c r="C33" i="4"/>
  <c r="B33" i="4"/>
  <c r="I32" i="4"/>
  <c r="H32" i="4"/>
  <c r="G32" i="4"/>
  <c r="F32" i="4"/>
  <c r="E32" i="4"/>
  <c r="D32" i="4"/>
  <c r="C32" i="4"/>
  <c r="B32" i="4"/>
  <c r="I31" i="4"/>
  <c r="H31" i="4"/>
  <c r="G31" i="4"/>
  <c r="F31" i="4"/>
  <c r="E31" i="4"/>
  <c r="D31" i="4"/>
  <c r="C31" i="4"/>
  <c r="B31" i="4"/>
  <c r="I30" i="4"/>
  <c r="H30" i="4"/>
  <c r="G30" i="4"/>
  <c r="F30" i="4"/>
  <c r="E30" i="4"/>
  <c r="D30" i="4"/>
  <c r="C30" i="4"/>
  <c r="B30" i="4"/>
  <c r="I29" i="4"/>
  <c r="H29" i="4"/>
  <c r="G29" i="4"/>
  <c r="F29" i="4"/>
  <c r="E29" i="4"/>
  <c r="D29" i="4"/>
  <c r="C29" i="4"/>
  <c r="B29" i="4"/>
  <c r="I28" i="4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B27" i="4"/>
  <c r="K502" i="3"/>
  <c r="D502" i="3"/>
  <c r="C502" i="3"/>
  <c r="B502" i="3"/>
  <c r="K501" i="3"/>
  <c r="D501" i="3"/>
  <c r="C501" i="3"/>
  <c r="B501" i="3"/>
  <c r="K500" i="3"/>
  <c r="D500" i="3"/>
  <c r="C500" i="3"/>
  <c r="B500" i="3"/>
  <c r="K499" i="3"/>
  <c r="D499" i="3"/>
  <c r="C499" i="3"/>
  <c r="B499" i="3"/>
  <c r="K498" i="3"/>
  <c r="D498" i="3"/>
  <c r="C498" i="3"/>
  <c r="B498" i="3"/>
  <c r="K497" i="3"/>
  <c r="D497" i="3"/>
  <c r="C497" i="3"/>
  <c r="B497" i="3"/>
  <c r="K496" i="3"/>
  <c r="D496" i="3"/>
  <c r="C496" i="3"/>
  <c r="B496" i="3"/>
  <c r="K495" i="3"/>
  <c r="D495" i="3"/>
  <c r="C495" i="3"/>
  <c r="B495" i="3"/>
  <c r="K494" i="3"/>
  <c r="D494" i="3"/>
  <c r="C494" i="3"/>
  <c r="B494" i="3"/>
  <c r="K493" i="3"/>
  <c r="D493" i="3"/>
  <c r="C493" i="3"/>
  <c r="B493" i="3"/>
  <c r="K492" i="3"/>
  <c r="D492" i="3"/>
  <c r="C492" i="3"/>
  <c r="B492" i="3"/>
  <c r="K491" i="3"/>
  <c r="D491" i="3"/>
  <c r="C491" i="3"/>
  <c r="B491" i="3"/>
  <c r="K490" i="3"/>
  <c r="D490" i="3"/>
  <c r="C490" i="3"/>
  <c r="B490" i="3"/>
  <c r="K489" i="3"/>
  <c r="D489" i="3"/>
  <c r="C489" i="3"/>
  <c r="B489" i="3"/>
  <c r="K488" i="3"/>
  <c r="D488" i="3"/>
  <c r="C488" i="3"/>
  <c r="B488" i="3"/>
  <c r="K487" i="3"/>
  <c r="D487" i="3"/>
  <c r="C487" i="3"/>
  <c r="B487" i="3"/>
  <c r="K486" i="3"/>
  <c r="D486" i="3"/>
  <c r="C486" i="3"/>
  <c r="B486" i="3"/>
  <c r="K485" i="3"/>
  <c r="D485" i="3"/>
  <c r="C485" i="3"/>
  <c r="B485" i="3"/>
  <c r="K484" i="3"/>
  <c r="D484" i="3"/>
  <c r="C484" i="3"/>
  <c r="B484" i="3"/>
  <c r="K483" i="3"/>
  <c r="D483" i="3"/>
  <c r="C483" i="3"/>
  <c r="B483" i="3"/>
  <c r="K482" i="3"/>
  <c r="D482" i="3"/>
  <c r="C482" i="3"/>
  <c r="B482" i="3"/>
  <c r="K481" i="3"/>
  <c r="D481" i="3"/>
  <c r="C481" i="3"/>
  <c r="B481" i="3"/>
  <c r="K480" i="3"/>
  <c r="D480" i="3"/>
  <c r="C480" i="3"/>
  <c r="B480" i="3"/>
  <c r="K479" i="3"/>
  <c r="D479" i="3"/>
  <c r="C479" i="3"/>
  <c r="B479" i="3"/>
  <c r="K478" i="3"/>
  <c r="D478" i="3"/>
  <c r="C478" i="3"/>
  <c r="B478" i="3"/>
  <c r="K477" i="3"/>
  <c r="D477" i="3"/>
  <c r="C477" i="3"/>
  <c r="B477" i="3"/>
  <c r="K476" i="3"/>
  <c r="D476" i="3"/>
  <c r="C476" i="3"/>
  <c r="B476" i="3"/>
  <c r="K475" i="3"/>
  <c r="D475" i="3"/>
  <c r="C475" i="3"/>
  <c r="B475" i="3"/>
  <c r="K474" i="3"/>
  <c r="D474" i="3"/>
  <c r="C474" i="3"/>
  <c r="B474" i="3"/>
  <c r="K473" i="3"/>
  <c r="D473" i="3"/>
  <c r="C473" i="3"/>
  <c r="B473" i="3"/>
  <c r="K472" i="3"/>
  <c r="D472" i="3"/>
  <c r="C472" i="3"/>
  <c r="B472" i="3"/>
  <c r="K471" i="3"/>
  <c r="D471" i="3"/>
  <c r="C471" i="3"/>
  <c r="B471" i="3"/>
  <c r="K470" i="3"/>
  <c r="D470" i="3"/>
  <c r="C470" i="3"/>
  <c r="B470" i="3"/>
  <c r="K469" i="3"/>
  <c r="D469" i="3"/>
  <c r="C469" i="3"/>
  <c r="B469" i="3"/>
  <c r="K468" i="3"/>
  <c r="D468" i="3"/>
  <c r="C468" i="3"/>
  <c r="B468" i="3"/>
  <c r="K467" i="3"/>
  <c r="D467" i="3"/>
  <c r="C467" i="3"/>
  <c r="B467" i="3"/>
  <c r="K466" i="3"/>
  <c r="D466" i="3"/>
  <c r="C466" i="3"/>
  <c r="B466" i="3"/>
  <c r="K465" i="3"/>
  <c r="D465" i="3"/>
  <c r="C465" i="3"/>
  <c r="B465" i="3"/>
  <c r="K464" i="3"/>
  <c r="D464" i="3"/>
  <c r="C464" i="3"/>
  <c r="B464" i="3"/>
  <c r="K463" i="3"/>
  <c r="D463" i="3"/>
  <c r="C463" i="3"/>
  <c r="B463" i="3"/>
  <c r="K462" i="3"/>
  <c r="D462" i="3"/>
  <c r="C462" i="3"/>
  <c r="B462" i="3"/>
  <c r="K461" i="3"/>
  <c r="D461" i="3"/>
  <c r="C461" i="3"/>
  <c r="B461" i="3"/>
  <c r="K460" i="3"/>
  <c r="D460" i="3"/>
  <c r="C460" i="3"/>
  <c r="B460" i="3"/>
  <c r="K459" i="3"/>
  <c r="D459" i="3"/>
  <c r="C459" i="3"/>
  <c r="B459" i="3"/>
  <c r="K458" i="3"/>
  <c r="D458" i="3"/>
  <c r="C458" i="3"/>
  <c r="B458" i="3"/>
  <c r="K457" i="3"/>
  <c r="D457" i="3"/>
  <c r="C457" i="3"/>
  <c r="B457" i="3"/>
  <c r="K456" i="3"/>
  <c r="D456" i="3"/>
  <c r="C456" i="3"/>
  <c r="B456" i="3"/>
  <c r="K455" i="3"/>
  <c r="D455" i="3"/>
  <c r="C455" i="3"/>
  <c r="B455" i="3"/>
  <c r="K454" i="3"/>
  <c r="D454" i="3"/>
  <c r="C454" i="3"/>
  <c r="B454" i="3"/>
  <c r="K453" i="3"/>
  <c r="D453" i="3"/>
  <c r="C453" i="3"/>
  <c r="B453" i="3"/>
  <c r="K452" i="3"/>
  <c r="D452" i="3"/>
  <c r="C452" i="3"/>
  <c r="B452" i="3"/>
  <c r="K451" i="3"/>
  <c r="D451" i="3"/>
  <c r="C451" i="3"/>
  <c r="B451" i="3"/>
  <c r="K450" i="3"/>
  <c r="D450" i="3"/>
  <c r="C450" i="3"/>
  <c r="B450" i="3"/>
  <c r="K449" i="3"/>
  <c r="D449" i="3"/>
  <c r="C449" i="3"/>
  <c r="B449" i="3"/>
  <c r="K448" i="3"/>
  <c r="D448" i="3"/>
  <c r="C448" i="3"/>
  <c r="B448" i="3"/>
  <c r="K447" i="3"/>
  <c r="D447" i="3"/>
  <c r="C447" i="3"/>
  <c r="B447" i="3"/>
  <c r="K446" i="3"/>
  <c r="D446" i="3"/>
  <c r="C446" i="3"/>
  <c r="B446" i="3"/>
  <c r="K445" i="3"/>
  <c r="D445" i="3"/>
  <c r="C445" i="3"/>
  <c r="B445" i="3"/>
  <c r="K444" i="3"/>
  <c r="D444" i="3"/>
  <c r="C444" i="3"/>
  <c r="B444" i="3"/>
  <c r="K443" i="3"/>
  <c r="D443" i="3"/>
  <c r="C443" i="3"/>
  <c r="B443" i="3"/>
  <c r="K442" i="3"/>
  <c r="D442" i="3"/>
  <c r="C442" i="3"/>
  <c r="B442" i="3"/>
  <c r="K441" i="3"/>
  <c r="D441" i="3"/>
  <c r="C441" i="3"/>
  <c r="B441" i="3"/>
  <c r="K440" i="3"/>
  <c r="D440" i="3"/>
  <c r="C440" i="3"/>
  <c r="B440" i="3"/>
  <c r="K439" i="3"/>
  <c r="D439" i="3"/>
  <c r="C439" i="3"/>
  <c r="B439" i="3"/>
  <c r="K438" i="3"/>
  <c r="D438" i="3"/>
  <c r="C438" i="3"/>
  <c r="B438" i="3"/>
  <c r="K437" i="3"/>
  <c r="D437" i="3"/>
  <c r="C437" i="3"/>
  <c r="B437" i="3"/>
  <c r="K436" i="3"/>
  <c r="D436" i="3"/>
  <c r="C436" i="3"/>
  <c r="B436" i="3"/>
  <c r="K435" i="3"/>
  <c r="D435" i="3"/>
  <c r="C435" i="3"/>
  <c r="B435" i="3"/>
  <c r="K434" i="3"/>
  <c r="D434" i="3"/>
  <c r="C434" i="3"/>
  <c r="B434" i="3"/>
  <c r="K433" i="3"/>
  <c r="D433" i="3"/>
  <c r="C433" i="3"/>
  <c r="B433" i="3"/>
  <c r="K432" i="3"/>
  <c r="D432" i="3"/>
  <c r="C432" i="3"/>
  <c r="B432" i="3"/>
  <c r="K431" i="3"/>
  <c r="D431" i="3"/>
  <c r="C431" i="3"/>
  <c r="B431" i="3"/>
  <c r="K430" i="3"/>
  <c r="D430" i="3"/>
  <c r="C430" i="3"/>
  <c r="B430" i="3"/>
  <c r="K429" i="3"/>
  <c r="D429" i="3"/>
  <c r="C429" i="3"/>
  <c r="B429" i="3"/>
  <c r="K428" i="3"/>
  <c r="D428" i="3"/>
  <c r="C428" i="3"/>
  <c r="B428" i="3"/>
  <c r="K427" i="3"/>
  <c r="D427" i="3"/>
  <c r="C427" i="3"/>
  <c r="B427" i="3"/>
  <c r="K426" i="3"/>
  <c r="D426" i="3"/>
  <c r="C426" i="3"/>
  <c r="B426" i="3"/>
  <c r="K425" i="3"/>
  <c r="D425" i="3"/>
  <c r="C425" i="3"/>
  <c r="B425" i="3"/>
  <c r="K424" i="3"/>
  <c r="D424" i="3"/>
  <c r="C424" i="3"/>
  <c r="B424" i="3"/>
  <c r="K423" i="3"/>
  <c r="D423" i="3"/>
  <c r="C423" i="3"/>
  <c r="B423" i="3"/>
  <c r="K422" i="3"/>
  <c r="D422" i="3"/>
  <c r="C422" i="3"/>
  <c r="B422" i="3"/>
  <c r="K421" i="3"/>
  <c r="D421" i="3"/>
  <c r="C421" i="3"/>
  <c r="B421" i="3"/>
  <c r="K420" i="3"/>
  <c r="D420" i="3"/>
  <c r="C420" i="3"/>
  <c r="B420" i="3"/>
  <c r="K419" i="3"/>
  <c r="D419" i="3"/>
  <c r="C419" i="3"/>
  <c r="B419" i="3"/>
  <c r="K418" i="3"/>
  <c r="D418" i="3"/>
  <c r="C418" i="3"/>
  <c r="B418" i="3"/>
  <c r="K417" i="3"/>
  <c r="D417" i="3"/>
  <c r="C417" i="3"/>
  <c r="B417" i="3"/>
  <c r="K416" i="3"/>
  <c r="D416" i="3"/>
  <c r="C416" i="3"/>
  <c r="B416" i="3"/>
  <c r="K415" i="3"/>
  <c r="D415" i="3"/>
  <c r="C415" i="3"/>
  <c r="B415" i="3"/>
  <c r="K414" i="3"/>
  <c r="D414" i="3"/>
  <c r="C414" i="3"/>
  <c r="B414" i="3"/>
  <c r="K413" i="3"/>
  <c r="D413" i="3"/>
  <c r="C413" i="3"/>
  <c r="B413" i="3"/>
  <c r="K412" i="3"/>
  <c r="D412" i="3"/>
  <c r="C412" i="3"/>
  <c r="B412" i="3"/>
  <c r="K411" i="3"/>
  <c r="D411" i="3"/>
  <c r="C411" i="3"/>
  <c r="B411" i="3"/>
  <c r="K410" i="3"/>
  <c r="D410" i="3"/>
  <c r="C410" i="3"/>
  <c r="B410" i="3"/>
  <c r="K409" i="3"/>
  <c r="D409" i="3"/>
  <c r="C409" i="3"/>
  <c r="B409" i="3"/>
  <c r="K408" i="3"/>
  <c r="D408" i="3"/>
  <c r="C408" i="3"/>
  <c r="B408" i="3"/>
  <c r="K407" i="3"/>
  <c r="D407" i="3"/>
  <c r="C407" i="3"/>
  <c r="B407" i="3"/>
  <c r="K406" i="3"/>
  <c r="D406" i="3"/>
  <c r="C406" i="3"/>
  <c r="B406" i="3"/>
  <c r="K405" i="3"/>
  <c r="D405" i="3"/>
  <c r="C405" i="3"/>
  <c r="B405" i="3"/>
  <c r="K404" i="3"/>
  <c r="D404" i="3"/>
  <c r="C404" i="3"/>
  <c r="B404" i="3"/>
  <c r="K403" i="3"/>
  <c r="D403" i="3"/>
  <c r="C403" i="3"/>
  <c r="B403" i="3"/>
  <c r="K402" i="3"/>
  <c r="D402" i="3"/>
  <c r="C402" i="3"/>
  <c r="B402" i="3"/>
  <c r="K401" i="3"/>
  <c r="D401" i="3"/>
  <c r="C401" i="3"/>
  <c r="B401" i="3"/>
  <c r="K400" i="3"/>
  <c r="D400" i="3"/>
  <c r="C400" i="3"/>
  <c r="B400" i="3"/>
  <c r="K399" i="3"/>
  <c r="D399" i="3"/>
  <c r="C399" i="3"/>
  <c r="B399" i="3"/>
  <c r="K398" i="3"/>
  <c r="D398" i="3"/>
  <c r="C398" i="3"/>
  <c r="B398" i="3"/>
  <c r="K397" i="3"/>
  <c r="D397" i="3"/>
  <c r="C397" i="3"/>
  <c r="B397" i="3"/>
  <c r="K396" i="3"/>
  <c r="D396" i="3"/>
  <c r="C396" i="3"/>
  <c r="B396" i="3"/>
  <c r="K395" i="3"/>
  <c r="D395" i="3"/>
  <c r="C395" i="3"/>
  <c r="B395" i="3"/>
  <c r="K394" i="3"/>
  <c r="D394" i="3"/>
  <c r="C394" i="3"/>
  <c r="B394" i="3"/>
  <c r="K393" i="3"/>
  <c r="D393" i="3"/>
  <c r="C393" i="3"/>
  <c r="B393" i="3"/>
  <c r="K392" i="3"/>
  <c r="D392" i="3"/>
  <c r="C392" i="3"/>
  <c r="B392" i="3"/>
  <c r="K391" i="3"/>
  <c r="D391" i="3"/>
  <c r="C391" i="3"/>
  <c r="B391" i="3"/>
  <c r="K390" i="3"/>
  <c r="D390" i="3"/>
  <c r="C390" i="3"/>
  <c r="B390" i="3"/>
  <c r="K389" i="3"/>
  <c r="D389" i="3"/>
  <c r="C389" i="3"/>
  <c r="B389" i="3"/>
  <c r="K388" i="3"/>
  <c r="D388" i="3"/>
  <c r="C388" i="3"/>
  <c r="B388" i="3"/>
  <c r="K387" i="3"/>
  <c r="D387" i="3"/>
  <c r="C387" i="3"/>
  <c r="B387" i="3"/>
  <c r="K386" i="3"/>
  <c r="D386" i="3"/>
  <c r="C386" i="3"/>
  <c r="B386" i="3"/>
  <c r="K385" i="3"/>
  <c r="D385" i="3"/>
  <c r="C385" i="3"/>
  <c r="B385" i="3"/>
  <c r="K384" i="3"/>
  <c r="D384" i="3"/>
  <c r="C384" i="3"/>
  <c r="B384" i="3"/>
  <c r="K383" i="3"/>
  <c r="D383" i="3"/>
  <c r="C383" i="3"/>
  <c r="B383" i="3"/>
  <c r="K382" i="3"/>
  <c r="D382" i="3"/>
  <c r="C382" i="3"/>
  <c r="B382" i="3"/>
  <c r="K381" i="3"/>
  <c r="D381" i="3"/>
  <c r="C381" i="3"/>
  <c r="B381" i="3"/>
  <c r="K380" i="3"/>
  <c r="D380" i="3"/>
  <c r="C380" i="3"/>
  <c r="B380" i="3"/>
  <c r="K379" i="3"/>
  <c r="D379" i="3"/>
  <c r="C379" i="3"/>
  <c r="B379" i="3"/>
  <c r="K378" i="3"/>
  <c r="D378" i="3"/>
  <c r="C378" i="3"/>
  <c r="B378" i="3"/>
  <c r="K377" i="3"/>
  <c r="D377" i="3"/>
  <c r="C377" i="3"/>
  <c r="B377" i="3"/>
  <c r="K376" i="3"/>
  <c r="D376" i="3"/>
  <c r="C376" i="3"/>
  <c r="B376" i="3"/>
  <c r="K375" i="3"/>
  <c r="D375" i="3"/>
  <c r="C375" i="3"/>
  <c r="B375" i="3"/>
  <c r="K374" i="3"/>
  <c r="D374" i="3"/>
  <c r="C374" i="3"/>
  <c r="B374" i="3"/>
  <c r="K373" i="3"/>
  <c r="D373" i="3"/>
  <c r="C373" i="3"/>
  <c r="B373" i="3"/>
  <c r="K372" i="3"/>
  <c r="D372" i="3"/>
  <c r="C372" i="3"/>
  <c r="B372" i="3"/>
  <c r="K371" i="3"/>
  <c r="D371" i="3"/>
  <c r="C371" i="3"/>
  <c r="B371" i="3"/>
  <c r="K370" i="3"/>
  <c r="D370" i="3"/>
  <c r="C370" i="3"/>
  <c r="B370" i="3"/>
  <c r="K369" i="3"/>
  <c r="D369" i="3"/>
  <c r="C369" i="3"/>
  <c r="B369" i="3"/>
  <c r="K368" i="3"/>
  <c r="D368" i="3"/>
  <c r="C368" i="3"/>
  <c r="B368" i="3"/>
  <c r="K367" i="3"/>
  <c r="D367" i="3"/>
  <c r="C367" i="3"/>
  <c r="B367" i="3"/>
  <c r="K366" i="3"/>
  <c r="D366" i="3"/>
  <c r="C366" i="3"/>
  <c r="B366" i="3"/>
  <c r="K365" i="3"/>
  <c r="D365" i="3"/>
  <c r="C365" i="3"/>
  <c r="B365" i="3"/>
  <c r="K364" i="3"/>
  <c r="D364" i="3"/>
  <c r="C364" i="3"/>
  <c r="B364" i="3"/>
  <c r="K363" i="3"/>
  <c r="D363" i="3"/>
  <c r="C363" i="3"/>
  <c r="B363" i="3"/>
  <c r="K362" i="3"/>
  <c r="D362" i="3"/>
  <c r="C362" i="3"/>
  <c r="B362" i="3"/>
  <c r="K361" i="3"/>
  <c r="D361" i="3"/>
  <c r="C361" i="3"/>
  <c r="B361" i="3"/>
  <c r="K360" i="3"/>
  <c r="D360" i="3"/>
  <c r="C360" i="3"/>
  <c r="B360" i="3"/>
  <c r="K359" i="3"/>
  <c r="D359" i="3"/>
  <c r="C359" i="3"/>
  <c r="B359" i="3"/>
  <c r="K358" i="3"/>
  <c r="D358" i="3"/>
  <c r="C358" i="3"/>
  <c r="B358" i="3"/>
  <c r="K357" i="3"/>
  <c r="D357" i="3"/>
  <c r="C357" i="3"/>
  <c r="B357" i="3"/>
  <c r="K356" i="3"/>
  <c r="D356" i="3"/>
  <c r="C356" i="3"/>
  <c r="B356" i="3"/>
  <c r="K355" i="3"/>
  <c r="D355" i="3"/>
  <c r="C355" i="3"/>
  <c r="B355" i="3"/>
  <c r="K354" i="3"/>
  <c r="D354" i="3"/>
  <c r="C354" i="3"/>
  <c r="B354" i="3"/>
  <c r="K353" i="3"/>
  <c r="D353" i="3"/>
  <c r="C353" i="3"/>
  <c r="B353" i="3"/>
  <c r="K352" i="3"/>
  <c r="D352" i="3"/>
  <c r="C352" i="3"/>
  <c r="B352" i="3"/>
  <c r="K351" i="3"/>
  <c r="D351" i="3"/>
  <c r="C351" i="3"/>
  <c r="B351" i="3"/>
  <c r="K350" i="3"/>
  <c r="D350" i="3"/>
  <c r="C350" i="3"/>
  <c r="B350" i="3"/>
  <c r="K349" i="3"/>
  <c r="D349" i="3"/>
  <c r="C349" i="3"/>
  <c r="B349" i="3"/>
  <c r="K348" i="3"/>
  <c r="D348" i="3"/>
  <c r="C348" i="3"/>
  <c r="B348" i="3"/>
  <c r="K347" i="3"/>
  <c r="D347" i="3"/>
  <c r="C347" i="3"/>
  <c r="B347" i="3"/>
  <c r="K346" i="3"/>
  <c r="D346" i="3"/>
  <c r="C346" i="3"/>
  <c r="B346" i="3"/>
  <c r="K345" i="3"/>
  <c r="D345" i="3"/>
  <c r="C345" i="3"/>
  <c r="B345" i="3"/>
  <c r="K344" i="3"/>
  <c r="D344" i="3"/>
  <c r="C344" i="3"/>
  <c r="B344" i="3"/>
  <c r="K343" i="3"/>
  <c r="D343" i="3"/>
  <c r="C343" i="3"/>
  <c r="B343" i="3"/>
  <c r="K342" i="3"/>
  <c r="D342" i="3"/>
  <c r="C342" i="3"/>
  <c r="B342" i="3"/>
  <c r="K341" i="3"/>
  <c r="D341" i="3"/>
  <c r="C341" i="3"/>
  <c r="B341" i="3"/>
  <c r="K340" i="3"/>
  <c r="D340" i="3"/>
  <c r="C340" i="3"/>
  <c r="B340" i="3"/>
  <c r="K339" i="3"/>
  <c r="D339" i="3"/>
  <c r="C339" i="3"/>
  <c r="B339" i="3"/>
  <c r="K338" i="3"/>
  <c r="D338" i="3"/>
  <c r="C338" i="3"/>
  <c r="B338" i="3"/>
  <c r="K337" i="3"/>
  <c r="D337" i="3"/>
  <c r="C337" i="3"/>
  <c r="B337" i="3"/>
  <c r="K336" i="3"/>
  <c r="D336" i="3"/>
  <c r="C336" i="3"/>
  <c r="B336" i="3"/>
  <c r="K335" i="3"/>
  <c r="D335" i="3"/>
  <c r="C335" i="3"/>
  <c r="B335" i="3"/>
  <c r="K334" i="3"/>
  <c r="D334" i="3"/>
  <c r="C334" i="3"/>
  <c r="B334" i="3"/>
  <c r="K333" i="3"/>
  <c r="D333" i="3"/>
  <c r="C333" i="3"/>
  <c r="B333" i="3"/>
  <c r="K332" i="3"/>
  <c r="D332" i="3"/>
  <c r="C332" i="3"/>
  <c r="B332" i="3"/>
  <c r="K331" i="3"/>
  <c r="D331" i="3"/>
  <c r="C331" i="3"/>
  <c r="B331" i="3"/>
  <c r="K330" i="3"/>
  <c r="D330" i="3"/>
  <c r="C330" i="3"/>
  <c r="B330" i="3"/>
  <c r="K329" i="3"/>
  <c r="D329" i="3"/>
  <c r="C329" i="3"/>
  <c r="B329" i="3"/>
  <c r="K328" i="3"/>
  <c r="D328" i="3"/>
  <c r="C328" i="3"/>
  <c r="B328" i="3"/>
  <c r="K327" i="3"/>
  <c r="D327" i="3"/>
  <c r="C327" i="3"/>
  <c r="B327" i="3"/>
  <c r="K326" i="3"/>
  <c r="D326" i="3"/>
  <c r="C326" i="3"/>
  <c r="B326" i="3"/>
  <c r="K325" i="3"/>
  <c r="D325" i="3"/>
  <c r="C325" i="3"/>
  <c r="B325" i="3"/>
  <c r="K324" i="3"/>
  <c r="D324" i="3"/>
  <c r="C324" i="3"/>
  <c r="B324" i="3"/>
  <c r="K323" i="3"/>
  <c r="D323" i="3"/>
  <c r="C323" i="3"/>
  <c r="B323" i="3"/>
  <c r="K322" i="3"/>
  <c r="D322" i="3"/>
  <c r="C322" i="3"/>
  <c r="B322" i="3"/>
  <c r="K321" i="3"/>
  <c r="D321" i="3"/>
  <c r="C321" i="3"/>
  <c r="B321" i="3"/>
  <c r="K320" i="3"/>
  <c r="D320" i="3"/>
  <c r="C320" i="3"/>
  <c r="B320" i="3"/>
  <c r="K319" i="3"/>
  <c r="D319" i="3"/>
  <c r="C319" i="3"/>
  <c r="B319" i="3"/>
  <c r="K318" i="3"/>
  <c r="D318" i="3"/>
  <c r="C318" i="3"/>
  <c r="B318" i="3"/>
  <c r="K317" i="3"/>
  <c r="D317" i="3"/>
  <c r="C317" i="3"/>
  <c r="B317" i="3"/>
  <c r="K316" i="3"/>
  <c r="D316" i="3"/>
  <c r="C316" i="3"/>
  <c r="B316" i="3"/>
  <c r="K315" i="3"/>
  <c r="D315" i="3"/>
  <c r="C315" i="3"/>
  <c r="B315" i="3"/>
  <c r="K314" i="3"/>
  <c r="D314" i="3"/>
  <c r="C314" i="3"/>
  <c r="B314" i="3"/>
  <c r="K313" i="3"/>
  <c r="D313" i="3"/>
  <c r="C313" i="3"/>
  <c r="B313" i="3"/>
  <c r="K312" i="3"/>
  <c r="D312" i="3"/>
  <c r="C312" i="3"/>
  <c r="B312" i="3"/>
  <c r="K311" i="3"/>
  <c r="D311" i="3"/>
  <c r="C311" i="3"/>
  <c r="B311" i="3"/>
  <c r="K310" i="3"/>
  <c r="D310" i="3"/>
  <c r="C310" i="3"/>
  <c r="B310" i="3"/>
  <c r="K309" i="3"/>
  <c r="D309" i="3"/>
  <c r="C309" i="3"/>
  <c r="B309" i="3"/>
  <c r="K308" i="3"/>
  <c r="D308" i="3"/>
  <c r="C308" i="3"/>
  <c r="B308" i="3"/>
  <c r="K307" i="3"/>
  <c r="D307" i="3"/>
  <c r="C307" i="3"/>
  <c r="B307" i="3"/>
  <c r="K306" i="3"/>
  <c r="D306" i="3"/>
  <c r="C306" i="3"/>
  <c r="B306" i="3"/>
  <c r="K305" i="3"/>
  <c r="D305" i="3"/>
  <c r="C305" i="3"/>
  <c r="B305" i="3"/>
  <c r="K304" i="3"/>
  <c r="D304" i="3"/>
  <c r="C304" i="3"/>
  <c r="B304" i="3"/>
  <c r="K303" i="3"/>
  <c r="D303" i="3"/>
  <c r="C303" i="3"/>
  <c r="B303" i="3"/>
  <c r="K302" i="3"/>
  <c r="D302" i="3"/>
  <c r="C302" i="3"/>
  <c r="B302" i="3"/>
  <c r="K301" i="3"/>
  <c r="D301" i="3"/>
  <c r="C301" i="3"/>
  <c r="B301" i="3"/>
  <c r="K300" i="3"/>
  <c r="D300" i="3"/>
  <c r="C300" i="3"/>
  <c r="B300" i="3"/>
  <c r="K299" i="3"/>
  <c r="D299" i="3"/>
  <c r="C299" i="3"/>
  <c r="B299" i="3"/>
  <c r="K298" i="3"/>
  <c r="D298" i="3"/>
  <c r="C298" i="3"/>
  <c r="B298" i="3"/>
  <c r="K297" i="3"/>
  <c r="D297" i="3"/>
  <c r="C297" i="3"/>
  <c r="B297" i="3"/>
  <c r="K296" i="3"/>
  <c r="D296" i="3"/>
  <c r="C296" i="3"/>
  <c r="B296" i="3"/>
  <c r="K295" i="3"/>
  <c r="D295" i="3"/>
  <c r="C295" i="3"/>
  <c r="B295" i="3"/>
  <c r="K294" i="3"/>
  <c r="D294" i="3"/>
  <c r="C294" i="3"/>
  <c r="B294" i="3"/>
  <c r="K293" i="3"/>
  <c r="D293" i="3"/>
  <c r="C293" i="3"/>
  <c r="B293" i="3"/>
  <c r="K292" i="3"/>
  <c r="D292" i="3"/>
  <c r="C292" i="3"/>
  <c r="B292" i="3"/>
  <c r="K291" i="3"/>
  <c r="D291" i="3"/>
  <c r="C291" i="3"/>
  <c r="B291" i="3"/>
  <c r="K290" i="3"/>
  <c r="D290" i="3"/>
  <c r="C290" i="3"/>
  <c r="B290" i="3"/>
  <c r="K289" i="3"/>
  <c r="D289" i="3"/>
  <c r="C289" i="3"/>
  <c r="B289" i="3"/>
  <c r="K288" i="3"/>
  <c r="D288" i="3"/>
  <c r="C288" i="3"/>
  <c r="B288" i="3"/>
  <c r="K287" i="3"/>
  <c r="D287" i="3"/>
  <c r="C287" i="3"/>
  <c r="B287" i="3"/>
  <c r="K286" i="3"/>
  <c r="D286" i="3"/>
  <c r="C286" i="3"/>
  <c r="B286" i="3"/>
  <c r="K285" i="3"/>
  <c r="D285" i="3"/>
  <c r="C285" i="3"/>
  <c r="B285" i="3"/>
  <c r="K284" i="3"/>
  <c r="D284" i="3"/>
  <c r="C284" i="3"/>
  <c r="B284" i="3"/>
  <c r="K283" i="3"/>
  <c r="D283" i="3"/>
  <c r="C283" i="3"/>
  <c r="B283" i="3"/>
  <c r="K282" i="3"/>
  <c r="D282" i="3"/>
  <c r="C282" i="3"/>
  <c r="B282" i="3"/>
  <c r="K281" i="3"/>
  <c r="D281" i="3"/>
  <c r="C281" i="3"/>
  <c r="B281" i="3"/>
  <c r="K280" i="3"/>
  <c r="D280" i="3"/>
  <c r="C280" i="3"/>
  <c r="B280" i="3"/>
  <c r="K279" i="3"/>
  <c r="D279" i="3"/>
  <c r="C279" i="3"/>
  <c r="B279" i="3"/>
  <c r="K278" i="3"/>
  <c r="D278" i="3"/>
  <c r="C278" i="3"/>
  <c r="B278" i="3"/>
  <c r="K277" i="3"/>
  <c r="D277" i="3"/>
  <c r="C277" i="3"/>
  <c r="B277" i="3"/>
  <c r="K276" i="3"/>
  <c r="D276" i="3"/>
  <c r="C276" i="3"/>
  <c r="B276" i="3"/>
  <c r="K275" i="3"/>
  <c r="D275" i="3"/>
  <c r="C275" i="3"/>
  <c r="B275" i="3"/>
  <c r="K274" i="3"/>
  <c r="D274" i="3"/>
  <c r="C274" i="3"/>
  <c r="B274" i="3"/>
  <c r="K273" i="3"/>
  <c r="D273" i="3"/>
  <c r="C273" i="3"/>
  <c r="B273" i="3"/>
  <c r="K272" i="3"/>
  <c r="D272" i="3"/>
  <c r="C272" i="3"/>
  <c r="B272" i="3"/>
  <c r="K271" i="3"/>
  <c r="D271" i="3"/>
  <c r="C271" i="3"/>
  <c r="B271" i="3"/>
  <c r="K270" i="3"/>
  <c r="D270" i="3"/>
  <c r="C270" i="3"/>
  <c r="B270" i="3"/>
  <c r="K269" i="3"/>
  <c r="D269" i="3"/>
  <c r="C269" i="3"/>
  <c r="B269" i="3"/>
  <c r="K268" i="3"/>
  <c r="D268" i="3"/>
  <c r="C268" i="3"/>
  <c r="B268" i="3"/>
  <c r="K267" i="3"/>
  <c r="D267" i="3"/>
  <c r="C267" i="3"/>
  <c r="B267" i="3"/>
  <c r="K266" i="3"/>
  <c r="D266" i="3"/>
  <c r="C266" i="3"/>
  <c r="B266" i="3"/>
  <c r="K265" i="3"/>
  <c r="D265" i="3"/>
  <c r="C265" i="3"/>
  <c r="B265" i="3"/>
  <c r="K264" i="3"/>
  <c r="D264" i="3"/>
  <c r="C264" i="3"/>
  <c r="B264" i="3"/>
  <c r="K263" i="3"/>
  <c r="D263" i="3"/>
  <c r="C263" i="3"/>
  <c r="B263" i="3"/>
  <c r="K262" i="3"/>
  <c r="D262" i="3"/>
  <c r="C262" i="3"/>
  <c r="B262" i="3"/>
  <c r="K261" i="3"/>
  <c r="D261" i="3"/>
  <c r="C261" i="3"/>
  <c r="B261" i="3"/>
  <c r="K260" i="3"/>
  <c r="D260" i="3"/>
  <c r="C260" i="3"/>
  <c r="B260" i="3"/>
  <c r="K259" i="3"/>
  <c r="D259" i="3"/>
  <c r="C259" i="3"/>
  <c r="B259" i="3"/>
  <c r="K258" i="3"/>
  <c r="D258" i="3"/>
  <c r="C258" i="3"/>
  <c r="B258" i="3"/>
  <c r="K257" i="3"/>
  <c r="D257" i="3"/>
  <c r="C257" i="3"/>
  <c r="B257" i="3"/>
  <c r="K256" i="3"/>
  <c r="D256" i="3"/>
  <c r="C256" i="3"/>
  <c r="B256" i="3"/>
  <c r="K255" i="3"/>
  <c r="D255" i="3"/>
  <c r="C255" i="3"/>
  <c r="B255" i="3"/>
  <c r="K254" i="3"/>
  <c r="D254" i="3"/>
  <c r="C254" i="3"/>
  <c r="B254" i="3"/>
  <c r="K253" i="3"/>
  <c r="D253" i="3"/>
  <c r="C253" i="3"/>
  <c r="B253" i="3"/>
  <c r="K252" i="3"/>
  <c r="D252" i="3"/>
  <c r="C252" i="3"/>
  <c r="B252" i="3"/>
  <c r="K251" i="3"/>
  <c r="D251" i="3"/>
  <c r="C251" i="3"/>
  <c r="B251" i="3"/>
  <c r="K250" i="3"/>
  <c r="D250" i="3"/>
  <c r="C250" i="3"/>
  <c r="B250" i="3"/>
  <c r="K249" i="3"/>
  <c r="D249" i="3"/>
  <c r="C249" i="3"/>
  <c r="B249" i="3"/>
  <c r="K248" i="3"/>
  <c r="D248" i="3"/>
  <c r="C248" i="3"/>
  <c r="B248" i="3"/>
  <c r="K247" i="3"/>
  <c r="D247" i="3"/>
  <c r="C247" i="3"/>
  <c r="B247" i="3"/>
  <c r="K246" i="3"/>
  <c r="D246" i="3"/>
  <c r="C246" i="3"/>
  <c r="B246" i="3"/>
  <c r="K245" i="3"/>
  <c r="D245" i="3"/>
  <c r="C245" i="3"/>
  <c r="B245" i="3"/>
  <c r="K244" i="3"/>
  <c r="D244" i="3"/>
  <c r="C244" i="3"/>
  <c r="B244" i="3"/>
  <c r="K243" i="3"/>
  <c r="D243" i="3"/>
  <c r="C243" i="3"/>
  <c r="B243" i="3"/>
  <c r="K242" i="3"/>
  <c r="D242" i="3"/>
  <c r="C242" i="3"/>
  <c r="B242" i="3"/>
  <c r="K241" i="3"/>
  <c r="D241" i="3"/>
  <c r="C241" i="3"/>
  <c r="B241" i="3"/>
  <c r="K240" i="3"/>
  <c r="D240" i="3"/>
  <c r="C240" i="3"/>
  <c r="B240" i="3"/>
  <c r="K239" i="3"/>
  <c r="D239" i="3"/>
  <c r="C239" i="3"/>
  <c r="B239" i="3"/>
  <c r="K238" i="3"/>
  <c r="D238" i="3"/>
  <c r="C238" i="3"/>
  <c r="B238" i="3"/>
  <c r="K237" i="3"/>
  <c r="D237" i="3"/>
  <c r="C237" i="3"/>
  <c r="B237" i="3"/>
  <c r="K236" i="3"/>
  <c r="D236" i="3"/>
  <c r="C236" i="3"/>
  <c r="B236" i="3"/>
  <c r="K235" i="3"/>
  <c r="D235" i="3"/>
  <c r="C235" i="3"/>
  <c r="B235" i="3"/>
  <c r="K234" i="3"/>
  <c r="D234" i="3"/>
  <c r="C234" i="3"/>
  <c r="B234" i="3"/>
  <c r="K233" i="3"/>
  <c r="D233" i="3"/>
  <c r="C233" i="3"/>
  <c r="B233" i="3"/>
  <c r="K232" i="3"/>
  <c r="D232" i="3"/>
  <c r="C232" i="3"/>
  <c r="B232" i="3"/>
  <c r="K231" i="3"/>
  <c r="D231" i="3"/>
  <c r="C231" i="3"/>
  <c r="B231" i="3"/>
  <c r="K230" i="3"/>
  <c r="D230" i="3"/>
  <c r="C230" i="3"/>
  <c r="B230" i="3"/>
  <c r="K229" i="3"/>
  <c r="D229" i="3"/>
  <c r="C229" i="3"/>
  <c r="B229" i="3"/>
  <c r="K228" i="3"/>
  <c r="D228" i="3"/>
  <c r="C228" i="3"/>
  <c r="B228" i="3"/>
  <c r="K227" i="3"/>
  <c r="D227" i="3"/>
  <c r="C227" i="3"/>
  <c r="B227" i="3"/>
  <c r="K226" i="3"/>
  <c r="D226" i="3"/>
  <c r="C226" i="3"/>
  <c r="B226" i="3"/>
  <c r="K225" i="3"/>
  <c r="D225" i="3"/>
  <c r="C225" i="3"/>
  <c r="B225" i="3"/>
  <c r="K224" i="3"/>
  <c r="D224" i="3"/>
  <c r="C224" i="3"/>
  <c r="B224" i="3"/>
  <c r="K223" i="3"/>
  <c r="D223" i="3"/>
  <c r="C223" i="3"/>
  <c r="B223" i="3"/>
  <c r="K222" i="3"/>
  <c r="D222" i="3"/>
  <c r="C222" i="3"/>
  <c r="B222" i="3"/>
  <c r="K221" i="3"/>
  <c r="D221" i="3"/>
  <c r="C221" i="3"/>
  <c r="B221" i="3"/>
  <c r="K220" i="3"/>
  <c r="D220" i="3"/>
  <c r="C220" i="3"/>
  <c r="B220" i="3"/>
  <c r="K219" i="3"/>
  <c r="D219" i="3"/>
  <c r="C219" i="3"/>
  <c r="B219" i="3"/>
  <c r="K218" i="3"/>
  <c r="D218" i="3"/>
  <c r="C218" i="3"/>
  <c r="B218" i="3"/>
  <c r="K217" i="3"/>
  <c r="D217" i="3"/>
  <c r="C217" i="3"/>
  <c r="B217" i="3"/>
  <c r="K216" i="3"/>
  <c r="D216" i="3"/>
  <c r="C216" i="3"/>
  <c r="B216" i="3"/>
  <c r="K215" i="3"/>
  <c r="D215" i="3"/>
  <c r="C215" i="3"/>
  <c r="B215" i="3"/>
  <c r="K214" i="3"/>
  <c r="D214" i="3"/>
  <c r="C214" i="3"/>
  <c r="B214" i="3"/>
  <c r="K213" i="3"/>
  <c r="D213" i="3"/>
  <c r="C213" i="3"/>
  <c r="B213" i="3"/>
  <c r="K212" i="3"/>
  <c r="D212" i="3"/>
  <c r="C212" i="3"/>
  <c r="B212" i="3"/>
  <c r="K211" i="3"/>
  <c r="D211" i="3"/>
  <c r="C211" i="3"/>
  <c r="B211" i="3"/>
  <c r="K210" i="3"/>
  <c r="D210" i="3"/>
  <c r="C210" i="3"/>
  <c r="B210" i="3"/>
  <c r="K209" i="3"/>
  <c r="D209" i="3"/>
  <c r="C209" i="3"/>
  <c r="B209" i="3"/>
  <c r="K208" i="3"/>
  <c r="D208" i="3"/>
  <c r="C208" i="3"/>
  <c r="B208" i="3"/>
  <c r="K207" i="3"/>
  <c r="D207" i="3"/>
  <c r="C207" i="3"/>
  <c r="B207" i="3"/>
  <c r="K206" i="3"/>
  <c r="D206" i="3"/>
  <c r="C206" i="3"/>
  <c r="B206" i="3"/>
  <c r="K205" i="3"/>
  <c r="D205" i="3"/>
  <c r="C205" i="3"/>
  <c r="B205" i="3"/>
  <c r="K204" i="3"/>
  <c r="D204" i="3"/>
  <c r="C204" i="3"/>
  <c r="B204" i="3"/>
  <c r="K203" i="3"/>
  <c r="D203" i="3"/>
  <c r="C203" i="3"/>
  <c r="B203" i="3"/>
  <c r="K202" i="3"/>
  <c r="D202" i="3"/>
  <c r="C202" i="3"/>
  <c r="B202" i="3"/>
  <c r="K201" i="3"/>
  <c r="D201" i="3"/>
  <c r="C201" i="3"/>
  <c r="B201" i="3"/>
  <c r="K200" i="3"/>
  <c r="D200" i="3"/>
  <c r="C200" i="3"/>
  <c r="B200" i="3"/>
  <c r="K199" i="3"/>
  <c r="D199" i="3"/>
  <c r="C199" i="3"/>
  <c r="B199" i="3"/>
  <c r="K198" i="3"/>
  <c r="D198" i="3"/>
  <c r="C198" i="3"/>
  <c r="B198" i="3"/>
  <c r="K197" i="3"/>
  <c r="D197" i="3"/>
  <c r="C197" i="3"/>
  <c r="B197" i="3"/>
  <c r="K196" i="3"/>
  <c r="D196" i="3"/>
  <c r="C196" i="3"/>
  <c r="B196" i="3"/>
  <c r="K195" i="3"/>
  <c r="D195" i="3"/>
  <c r="C195" i="3"/>
  <c r="B195" i="3"/>
  <c r="K194" i="3"/>
  <c r="D194" i="3"/>
  <c r="C194" i="3"/>
  <c r="B194" i="3"/>
  <c r="K193" i="3"/>
  <c r="D193" i="3"/>
  <c r="C193" i="3"/>
  <c r="B193" i="3"/>
  <c r="K192" i="3"/>
  <c r="D192" i="3"/>
  <c r="C192" i="3"/>
  <c r="B192" i="3"/>
  <c r="K191" i="3"/>
  <c r="D191" i="3"/>
  <c r="C191" i="3"/>
  <c r="B191" i="3"/>
  <c r="K190" i="3"/>
  <c r="D190" i="3"/>
  <c r="C190" i="3"/>
  <c r="B190" i="3"/>
  <c r="K189" i="3"/>
  <c r="D189" i="3"/>
  <c r="C189" i="3"/>
  <c r="B189" i="3"/>
  <c r="K188" i="3"/>
  <c r="D188" i="3"/>
  <c r="C188" i="3"/>
  <c r="B188" i="3"/>
  <c r="K187" i="3"/>
  <c r="D187" i="3"/>
  <c r="C187" i="3"/>
  <c r="B187" i="3"/>
  <c r="K186" i="3"/>
  <c r="D186" i="3"/>
  <c r="C186" i="3"/>
  <c r="B186" i="3"/>
  <c r="K185" i="3"/>
  <c r="D185" i="3"/>
  <c r="C185" i="3"/>
  <c r="B185" i="3"/>
  <c r="K184" i="3"/>
  <c r="D184" i="3"/>
  <c r="C184" i="3"/>
  <c r="B184" i="3"/>
  <c r="K183" i="3"/>
  <c r="D183" i="3"/>
  <c r="C183" i="3"/>
  <c r="B183" i="3"/>
  <c r="K182" i="3"/>
  <c r="D182" i="3"/>
  <c r="C182" i="3"/>
  <c r="B182" i="3"/>
  <c r="K181" i="3"/>
  <c r="D181" i="3"/>
  <c r="C181" i="3"/>
  <c r="B181" i="3"/>
  <c r="K180" i="3"/>
  <c r="D180" i="3"/>
  <c r="C180" i="3"/>
  <c r="B180" i="3"/>
  <c r="K179" i="3"/>
  <c r="D179" i="3"/>
  <c r="C179" i="3"/>
  <c r="B179" i="3"/>
  <c r="K178" i="3"/>
  <c r="D178" i="3"/>
  <c r="C178" i="3"/>
  <c r="B178" i="3"/>
  <c r="K177" i="3"/>
  <c r="D177" i="3"/>
  <c r="C177" i="3"/>
  <c r="B177" i="3"/>
  <c r="K176" i="3"/>
  <c r="D176" i="3"/>
  <c r="C176" i="3"/>
  <c r="B176" i="3"/>
  <c r="K175" i="3"/>
  <c r="D175" i="3"/>
  <c r="C175" i="3"/>
  <c r="B175" i="3"/>
  <c r="K174" i="3"/>
  <c r="D174" i="3"/>
  <c r="C174" i="3"/>
  <c r="B174" i="3"/>
  <c r="K173" i="3"/>
  <c r="D173" i="3"/>
  <c r="C173" i="3"/>
  <c r="B173" i="3"/>
  <c r="K172" i="3"/>
  <c r="D172" i="3"/>
  <c r="C172" i="3"/>
  <c r="B172" i="3"/>
  <c r="K171" i="3"/>
  <c r="D171" i="3"/>
  <c r="C171" i="3"/>
  <c r="B171" i="3"/>
  <c r="K170" i="3"/>
  <c r="D170" i="3"/>
  <c r="C170" i="3"/>
  <c r="B170" i="3"/>
  <c r="K169" i="3"/>
  <c r="D169" i="3"/>
  <c r="C169" i="3"/>
  <c r="B169" i="3"/>
  <c r="K168" i="3"/>
  <c r="D168" i="3"/>
  <c r="C168" i="3"/>
  <c r="B168" i="3"/>
  <c r="K167" i="3"/>
  <c r="D167" i="3"/>
  <c r="C167" i="3"/>
  <c r="B167" i="3"/>
  <c r="K166" i="3"/>
  <c r="D166" i="3"/>
  <c r="C166" i="3"/>
  <c r="B166" i="3"/>
  <c r="K165" i="3"/>
  <c r="D165" i="3"/>
  <c r="C165" i="3"/>
  <c r="B165" i="3"/>
  <c r="K164" i="3"/>
  <c r="D164" i="3"/>
  <c r="C164" i="3"/>
  <c r="B164" i="3"/>
  <c r="K163" i="3"/>
  <c r="D163" i="3"/>
  <c r="C163" i="3"/>
  <c r="B163" i="3"/>
  <c r="K162" i="3"/>
  <c r="D162" i="3"/>
  <c r="C162" i="3"/>
  <c r="B162" i="3"/>
  <c r="K161" i="3"/>
  <c r="D161" i="3"/>
  <c r="C161" i="3"/>
  <c r="B161" i="3"/>
  <c r="K160" i="3"/>
  <c r="D160" i="3"/>
  <c r="C160" i="3"/>
  <c r="B160" i="3"/>
  <c r="K159" i="3"/>
  <c r="D159" i="3"/>
  <c r="C159" i="3"/>
  <c r="B159" i="3"/>
  <c r="K158" i="3"/>
  <c r="D158" i="3"/>
  <c r="C158" i="3"/>
  <c r="B158" i="3"/>
  <c r="K157" i="3"/>
  <c r="D157" i="3"/>
  <c r="C157" i="3"/>
  <c r="B157" i="3"/>
  <c r="K156" i="3"/>
  <c r="D156" i="3"/>
  <c r="C156" i="3"/>
  <c r="B156" i="3"/>
  <c r="K155" i="3"/>
  <c r="D155" i="3"/>
  <c r="C155" i="3"/>
  <c r="B155" i="3"/>
  <c r="K154" i="3"/>
  <c r="D154" i="3"/>
  <c r="C154" i="3"/>
  <c r="B154" i="3"/>
  <c r="K153" i="3"/>
  <c r="D153" i="3"/>
  <c r="C153" i="3"/>
  <c r="B153" i="3"/>
  <c r="K152" i="3"/>
  <c r="D152" i="3"/>
  <c r="C152" i="3"/>
  <c r="B152" i="3"/>
  <c r="K151" i="3"/>
  <c r="D151" i="3"/>
  <c r="C151" i="3"/>
  <c r="B151" i="3"/>
  <c r="K150" i="3"/>
  <c r="D150" i="3"/>
  <c r="C150" i="3"/>
  <c r="B150" i="3"/>
  <c r="K149" i="3"/>
  <c r="D149" i="3"/>
  <c r="C149" i="3"/>
  <c r="B149" i="3"/>
  <c r="K148" i="3"/>
  <c r="D148" i="3"/>
  <c r="C148" i="3"/>
  <c r="B148" i="3"/>
  <c r="K147" i="3"/>
  <c r="D147" i="3"/>
  <c r="C147" i="3"/>
  <c r="B147" i="3"/>
  <c r="K146" i="3"/>
  <c r="D146" i="3"/>
  <c r="C146" i="3"/>
  <c r="B146" i="3"/>
  <c r="K145" i="3"/>
  <c r="D145" i="3"/>
  <c r="C145" i="3"/>
  <c r="B145" i="3"/>
  <c r="K144" i="3"/>
  <c r="D144" i="3"/>
  <c r="C144" i="3"/>
  <c r="B144" i="3"/>
  <c r="K143" i="3"/>
  <c r="D143" i="3"/>
  <c r="C143" i="3"/>
  <c r="B143" i="3"/>
  <c r="K142" i="3"/>
  <c r="D142" i="3"/>
  <c r="C142" i="3"/>
  <c r="B142" i="3"/>
  <c r="K141" i="3"/>
  <c r="D141" i="3"/>
  <c r="C141" i="3"/>
  <c r="B141" i="3"/>
  <c r="K140" i="3"/>
  <c r="D140" i="3"/>
  <c r="C140" i="3"/>
  <c r="B140" i="3"/>
  <c r="K139" i="3"/>
  <c r="D139" i="3"/>
  <c r="C139" i="3"/>
  <c r="B139" i="3"/>
  <c r="K138" i="3"/>
  <c r="D138" i="3"/>
  <c r="C138" i="3"/>
  <c r="B138" i="3"/>
  <c r="K137" i="3"/>
  <c r="D137" i="3"/>
  <c r="C137" i="3"/>
  <c r="B137" i="3"/>
  <c r="K136" i="3"/>
  <c r="D136" i="3"/>
  <c r="C136" i="3"/>
  <c r="B136" i="3"/>
  <c r="K135" i="3"/>
  <c r="D135" i="3"/>
  <c r="C135" i="3"/>
  <c r="B135" i="3"/>
  <c r="K134" i="3"/>
  <c r="D134" i="3"/>
  <c r="C134" i="3"/>
  <c r="B134" i="3"/>
  <c r="K133" i="3"/>
  <c r="D133" i="3"/>
  <c r="C133" i="3"/>
  <c r="B133" i="3"/>
  <c r="K132" i="3"/>
  <c r="D132" i="3"/>
  <c r="C132" i="3"/>
  <c r="B132" i="3"/>
  <c r="K131" i="3"/>
  <c r="D131" i="3"/>
  <c r="C131" i="3"/>
  <c r="B131" i="3"/>
  <c r="K130" i="3"/>
  <c r="D130" i="3"/>
  <c r="C130" i="3"/>
  <c r="B130" i="3"/>
  <c r="K129" i="3"/>
  <c r="D129" i="3"/>
  <c r="C129" i="3"/>
  <c r="B129" i="3"/>
  <c r="K128" i="3"/>
  <c r="D128" i="3"/>
  <c r="C128" i="3"/>
  <c r="B128" i="3"/>
  <c r="K127" i="3"/>
  <c r="D127" i="3"/>
  <c r="C127" i="3"/>
  <c r="B127" i="3"/>
  <c r="K126" i="3"/>
  <c r="D126" i="3"/>
  <c r="C126" i="3"/>
  <c r="B126" i="3"/>
  <c r="K125" i="3"/>
  <c r="D125" i="3"/>
  <c r="C125" i="3"/>
  <c r="B125" i="3"/>
  <c r="K124" i="3"/>
  <c r="D124" i="3"/>
  <c r="C124" i="3"/>
  <c r="B124" i="3"/>
  <c r="K123" i="3"/>
  <c r="D123" i="3"/>
  <c r="C123" i="3"/>
  <c r="B123" i="3"/>
  <c r="K122" i="3"/>
  <c r="D122" i="3"/>
  <c r="C122" i="3"/>
  <c r="B122" i="3"/>
  <c r="K121" i="3"/>
  <c r="D121" i="3"/>
  <c r="C121" i="3"/>
  <c r="B121" i="3"/>
  <c r="K120" i="3"/>
  <c r="D120" i="3"/>
  <c r="C120" i="3"/>
  <c r="B120" i="3"/>
  <c r="K119" i="3"/>
  <c r="D119" i="3"/>
  <c r="C119" i="3"/>
  <c r="B119" i="3"/>
  <c r="K118" i="3"/>
  <c r="D118" i="3"/>
  <c r="C118" i="3"/>
  <c r="B118" i="3"/>
  <c r="K117" i="3"/>
  <c r="D117" i="3"/>
  <c r="C117" i="3"/>
  <c r="B117" i="3"/>
  <c r="K116" i="3"/>
  <c r="D116" i="3"/>
  <c r="C116" i="3"/>
  <c r="B116" i="3"/>
  <c r="K115" i="3"/>
  <c r="D115" i="3"/>
  <c r="C115" i="3"/>
  <c r="B115" i="3"/>
  <c r="K114" i="3"/>
  <c r="D114" i="3"/>
  <c r="C114" i="3"/>
  <c r="B114" i="3"/>
  <c r="K113" i="3"/>
  <c r="D113" i="3"/>
  <c r="C113" i="3"/>
  <c r="B113" i="3"/>
  <c r="K112" i="3"/>
  <c r="D112" i="3"/>
  <c r="C112" i="3"/>
  <c r="B112" i="3"/>
  <c r="K111" i="3"/>
  <c r="D111" i="3"/>
  <c r="C111" i="3"/>
  <c r="B111" i="3"/>
  <c r="K110" i="3"/>
  <c r="D110" i="3"/>
  <c r="C110" i="3"/>
  <c r="B110" i="3"/>
  <c r="K109" i="3"/>
  <c r="D109" i="3"/>
  <c r="C109" i="3"/>
  <c r="B109" i="3"/>
  <c r="K108" i="3"/>
  <c r="D108" i="3"/>
  <c r="C108" i="3"/>
  <c r="B108" i="3"/>
  <c r="K107" i="3"/>
  <c r="D107" i="3"/>
  <c r="C107" i="3"/>
  <c r="B107" i="3"/>
  <c r="K106" i="3"/>
  <c r="D106" i="3"/>
  <c r="C106" i="3"/>
  <c r="B106" i="3"/>
  <c r="K105" i="3"/>
  <c r="D105" i="3"/>
  <c r="C105" i="3"/>
  <c r="B105" i="3"/>
  <c r="K104" i="3"/>
  <c r="D104" i="3"/>
  <c r="C104" i="3"/>
  <c r="B104" i="3"/>
  <c r="K103" i="3"/>
  <c r="D103" i="3"/>
  <c r="C103" i="3"/>
  <c r="B103" i="3"/>
  <c r="K102" i="3"/>
  <c r="D102" i="3"/>
  <c r="C102" i="3"/>
  <c r="B102" i="3"/>
  <c r="K101" i="3"/>
  <c r="D101" i="3"/>
  <c r="C101" i="3"/>
  <c r="B101" i="3"/>
  <c r="K100" i="3"/>
  <c r="D100" i="3"/>
  <c r="C100" i="3"/>
  <c r="B100" i="3"/>
  <c r="K99" i="3"/>
  <c r="D99" i="3"/>
  <c r="C99" i="3"/>
  <c r="B99" i="3"/>
  <c r="K98" i="3"/>
  <c r="D98" i="3"/>
  <c r="C98" i="3"/>
  <c r="B98" i="3"/>
  <c r="K97" i="3"/>
  <c r="D97" i="3"/>
  <c r="C97" i="3"/>
  <c r="B97" i="3"/>
  <c r="K96" i="3"/>
  <c r="D96" i="3"/>
  <c r="C96" i="3"/>
  <c r="B96" i="3"/>
  <c r="K95" i="3"/>
  <c r="D95" i="3"/>
  <c r="C95" i="3"/>
  <c r="B95" i="3"/>
  <c r="K94" i="3"/>
  <c r="D94" i="3"/>
  <c r="C94" i="3"/>
  <c r="B94" i="3"/>
  <c r="K93" i="3"/>
  <c r="D93" i="3"/>
  <c r="C93" i="3"/>
  <c r="B93" i="3"/>
  <c r="K92" i="3"/>
  <c r="D92" i="3"/>
  <c r="C92" i="3"/>
  <c r="B92" i="3"/>
  <c r="K91" i="3"/>
  <c r="D91" i="3"/>
  <c r="C91" i="3"/>
  <c r="B91" i="3"/>
  <c r="K90" i="3"/>
  <c r="D90" i="3"/>
  <c r="C90" i="3"/>
  <c r="B90" i="3"/>
  <c r="K89" i="3"/>
  <c r="D89" i="3"/>
  <c r="C89" i="3"/>
  <c r="B89" i="3"/>
  <c r="K88" i="3"/>
  <c r="D88" i="3"/>
  <c r="C88" i="3"/>
  <c r="B88" i="3"/>
  <c r="K87" i="3"/>
  <c r="D87" i="3"/>
  <c r="C87" i="3"/>
  <c r="B87" i="3"/>
  <c r="K86" i="3"/>
  <c r="D86" i="3"/>
  <c r="C86" i="3"/>
  <c r="B86" i="3"/>
  <c r="K85" i="3"/>
  <c r="D85" i="3"/>
  <c r="C85" i="3"/>
  <c r="B85" i="3"/>
  <c r="K84" i="3"/>
  <c r="D84" i="3"/>
  <c r="C84" i="3"/>
  <c r="B84" i="3"/>
  <c r="K83" i="3"/>
  <c r="D83" i="3"/>
  <c r="C83" i="3"/>
  <c r="B83" i="3"/>
  <c r="K82" i="3"/>
  <c r="D82" i="3"/>
  <c r="C82" i="3"/>
  <c r="B82" i="3"/>
  <c r="K81" i="3"/>
  <c r="D81" i="3"/>
  <c r="C81" i="3"/>
  <c r="B81" i="3"/>
  <c r="K80" i="3"/>
  <c r="D80" i="3"/>
  <c r="C80" i="3"/>
  <c r="B80" i="3"/>
  <c r="K79" i="3"/>
  <c r="D79" i="3"/>
  <c r="C79" i="3"/>
  <c r="B79" i="3"/>
  <c r="K78" i="3"/>
  <c r="D78" i="3"/>
  <c r="C78" i="3"/>
  <c r="B78" i="3"/>
  <c r="K77" i="3"/>
  <c r="D77" i="3"/>
  <c r="C77" i="3"/>
  <c r="B77" i="3"/>
  <c r="K76" i="3"/>
  <c r="D76" i="3"/>
  <c r="C76" i="3"/>
  <c r="B76" i="3"/>
  <c r="K75" i="3"/>
  <c r="D75" i="3"/>
  <c r="C75" i="3"/>
  <c r="B75" i="3"/>
  <c r="K74" i="3"/>
  <c r="D74" i="3"/>
  <c r="C74" i="3"/>
  <c r="B74" i="3"/>
  <c r="K73" i="3"/>
  <c r="D73" i="3"/>
  <c r="C73" i="3"/>
  <c r="B73" i="3"/>
  <c r="K72" i="3"/>
  <c r="D72" i="3"/>
  <c r="C72" i="3"/>
  <c r="B72" i="3"/>
  <c r="K71" i="3"/>
  <c r="D71" i="3"/>
  <c r="C71" i="3"/>
  <c r="B71" i="3"/>
  <c r="K70" i="3"/>
  <c r="D70" i="3"/>
  <c r="C70" i="3"/>
  <c r="B70" i="3"/>
  <c r="K69" i="3"/>
  <c r="D69" i="3"/>
  <c r="C69" i="3"/>
  <c r="B69" i="3"/>
  <c r="K68" i="3"/>
  <c r="D68" i="3"/>
  <c r="C68" i="3"/>
  <c r="B68" i="3"/>
  <c r="K67" i="3"/>
  <c r="D67" i="3"/>
  <c r="C67" i="3"/>
  <c r="B67" i="3"/>
  <c r="K66" i="3"/>
  <c r="D66" i="3"/>
  <c r="C66" i="3"/>
  <c r="B66" i="3"/>
  <c r="K65" i="3"/>
  <c r="D65" i="3"/>
  <c r="C65" i="3"/>
  <c r="B65" i="3"/>
  <c r="K64" i="3"/>
  <c r="D64" i="3"/>
  <c r="C64" i="3"/>
  <c r="B64" i="3"/>
  <c r="K63" i="3"/>
  <c r="D63" i="3"/>
  <c r="C63" i="3"/>
  <c r="B63" i="3"/>
  <c r="K62" i="3"/>
  <c r="D62" i="3"/>
  <c r="C62" i="3"/>
  <c r="B62" i="3"/>
  <c r="K61" i="3"/>
  <c r="D61" i="3"/>
  <c r="C61" i="3"/>
  <c r="B61" i="3"/>
  <c r="K60" i="3"/>
  <c r="D60" i="3"/>
  <c r="C60" i="3"/>
  <c r="B60" i="3"/>
  <c r="K59" i="3"/>
  <c r="D59" i="3"/>
  <c r="C59" i="3"/>
  <c r="B59" i="3"/>
  <c r="K58" i="3"/>
  <c r="D58" i="3"/>
  <c r="C58" i="3"/>
  <c r="B58" i="3"/>
  <c r="K57" i="3"/>
  <c r="D57" i="3"/>
  <c r="C57" i="3"/>
  <c r="B57" i="3"/>
  <c r="K56" i="3"/>
  <c r="D56" i="3"/>
  <c r="C56" i="3"/>
  <c r="B56" i="3"/>
  <c r="K55" i="3"/>
  <c r="D55" i="3"/>
  <c r="C55" i="3"/>
  <c r="B55" i="3"/>
  <c r="K54" i="3"/>
  <c r="D54" i="3"/>
  <c r="C54" i="3"/>
  <c r="B54" i="3"/>
  <c r="K53" i="3"/>
  <c r="D53" i="3"/>
  <c r="C53" i="3"/>
  <c r="B53" i="3"/>
  <c r="K52" i="3"/>
  <c r="D52" i="3"/>
  <c r="C52" i="3"/>
  <c r="B52" i="3"/>
  <c r="K51" i="3"/>
  <c r="D51" i="3"/>
  <c r="C51" i="3"/>
  <c r="B51" i="3"/>
  <c r="K50" i="3"/>
  <c r="D50" i="3"/>
  <c r="C50" i="3"/>
  <c r="B50" i="3"/>
  <c r="K49" i="3"/>
  <c r="D49" i="3"/>
  <c r="C49" i="3"/>
  <c r="B49" i="3"/>
  <c r="K48" i="3"/>
  <c r="D48" i="3"/>
  <c r="C48" i="3"/>
  <c r="B48" i="3"/>
  <c r="K47" i="3"/>
  <c r="D47" i="3"/>
  <c r="C47" i="3"/>
  <c r="B47" i="3"/>
  <c r="K46" i="3"/>
  <c r="D46" i="3"/>
  <c r="C46" i="3"/>
  <c r="B46" i="3"/>
  <c r="K45" i="3"/>
  <c r="D45" i="3"/>
  <c r="C45" i="3"/>
  <c r="B45" i="3"/>
  <c r="K44" i="3"/>
  <c r="D44" i="3"/>
  <c r="C44" i="3"/>
  <c r="B44" i="3"/>
  <c r="K43" i="3"/>
  <c r="D43" i="3"/>
  <c r="C43" i="3"/>
  <c r="B43" i="3"/>
  <c r="K42" i="3"/>
  <c r="D42" i="3"/>
  <c r="C42" i="3"/>
  <c r="B42" i="3"/>
  <c r="K41" i="3"/>
  <c r="D41" i="3"/>
  <c r="C41" i="3"/>
  <c r="B41" i="3"/>
  <c r="K40" i="3"/>
  <c r="D40" i="3"/>
  <c r="C40" i="3"/>
  <c r="B40" i="3"/>
  <c r="K39" i="3"/>
  <c r="D39" i="3"/>
  <c r="C39" i="3"/>
  <c r="B39" i="3"/>
  <c r="K38" i="3"/>
  <c r="D38" i="3"/>
  <c r="C38" i="3"/>
  <c r="B38" i="3"/>
  <c r="K37" i="3"/>
  <c r="D37" i="3"/>
  <c r="C37" i="3"/>
  <c r="B37" i="3"/>
  <c r="K36" i="3"/>
  <c r="D36" i="3"/>
  <c r="C36" i="3"/>
  <c r="B36" i="3"/>
  <c r="K35" i="3"/>
  <c r="D35" i="3"/>
  <c r="C35" i="3"/>
  <c r="B35" i="3"/>
  <c r="K34" i="3"/>
  <c r="D34" i="3"/>
  <c r="C34" i="3"/>
  <c r="B34" i="3"/>
  <c r="K33" i="3"/>
  <c r="D33" i="3"/>
  <c r="C33" i="3"/>
  <c r="B33" i="3"/>
  <c r="A3" i="3" a="1"/>
  <c r="A3" i="3" s="1"/>
  <c r="K502" i="2"/>
  <c r="A502" i="2"/>
  <c r="K501" i="2"/>
  <c r="A501" i="2"/>
  <c r="K500" i="2"/>
  <c r="A500" i="2"/>
  <c r="K499" i="2"/>
  <c r="A499" i="2"/>
  <c r="K498" i="2"/>
  <c r="A498" i="2"/>
  <c r="K497" i="2"/>
  <c r="A497" i="2"/>
  <c r="K496" i="2"/>
  <c r="A496" i="2"/>
  <c r="K495" i="2"/>
  <c r="A495" i="2"/>
  <c r="K494" i="2"/>
  <c r="A494" i="2"/>
  <c r="K493" i="2"/>
  <c r="A493" i="2"/>
  <c r="K492" i="2"/>
  <c r="A492" i="2"/>
  <c r="K491" i="2"/>
  <c r="A491" i="2"/>
  <c r="K490" i="2"/>
  <c r="A490" i="2"/>
  <c r="K489" i="2"/>
  <c r="A489" i="2"/>
  <c r="K488" i="2"/>
  <c r="A488" i="2"/>
  <c r="K487" i="2"/>
  <c r="A487" i="2"/>
  <c r="K486" i="2"/>
  <c r="A486" i="2"/>
  <c r="K485" i="2"/>
  <c r="A485" i="2"/>
  <c r="K484" i="2"/>
  <c r="A484" i="2"/>
  <c r="K483" i="2"/>
  <c r="A483" i="2"/>
  <c r="K482" i="2"/>
  <c r="A482" i="2"/>
  <c r="K481" i="2"/>
  <c r="A481" i="2"/>
  <c r="K480" i="2"/>
  <c r="A480" i="2"/>
  <c r="K479" i="2"/>
  <c r="A479" i="2"/>
  <c r="K478" i="2"/>
  <c r="A478" i="2"/>
  <c r="K477" i="2"/>
  <c r="A477" i="2"/>
  <c r="K476" i="2"/>
  <c r="A476" i="2"/>
  <c r="K475" i="2"/>
  <c r="A475" i="2"/>
  <c r="K474" i="2"/>
  <c r="A474" i="2"/>
  <c r="K473" i="2"/>
  <c r="A473" i="2"/>
  <c r="K472" i="2"/>
  <c r="A472" i="2"/>
  <c r="K471" i="2"/>
  <c r="A471" i="2"/>
  <c r="K470" i="2"/>
  <c r="A470" i="2"/>
  <c r="K469" i="2"/>
  <c r="A469" i="2"/>
  <c r="K468" i="2"/>
  <c r="A468" i="2"/>
  <c r="K467" i="2"/>
  <c r="A467" i="2"/>
  <c r="K466" i="2"/>
  <c r="A466" i="2"/>
  <c r="K465" i="2"/>
  <c r="A465" i="2"/>
  <c r="K464" i="2"/>
  <c r="A464" i="2"/>
  <c r="K463" i="2"/>
  <c r="A463" i="2"/>
  <c r="K462" i="2"/>
  <c r="A462" i="2"/>
  <c r="K461" i="2"/>
  <c r="A461" i="2"/>
  <c r="K460" i="2"/>
  <c r="A460" i="2"/>
  <c r="K459" i="2"/>
  <c r="A459" i="2"/>
  <c r="K458" i="2"/>
  <c r="A458" i="2"/>
  <c r="K457" i="2"/>
  <c r="A457" i="2"/>
  <c r="K456" i="2"/>
  <c r="A456" i="2"/>
  <c r="K455" i="2"/>
  <c r="A455" i="2"/>
  <c r="K454" i="2"/>
  <c r="A454" i="2"/>
  <c r="K453" i="2"/>
  <c r="A453" i="2"/>
  <c r="K452" i="2"/>
  <c r="A452" i="2"/>
  <c r="K451" i="2"/>
  <c r="A451" i="2"/>
  <c r="K450" i="2"/>
  <c r="A450" i="2"/>
  <c r="K449" i="2"/>
  <c r="A449" i="2"/>
  <c r="K448" i="2"/>
  <c r="A448" i="2"/>
  <c r="K447" i="2"/>
  <c r="A447" i="2"/>
  <c r="K446" i="2"/>
  <c r="A446" i="2"/>
  <c r="K445" i="2"/>
  <c r="A445" i="2"/>
  <c r="K444" i="2"/>
  <c r="A444" i="2"/>
  <c r="K443" i="2"/>
  <c r="A443" i="2"/>
  <c r="K442" i="2"/>
  <c r="A442" i="2"/>
  <c r="K441" i="2"/>
  <c r="A441" i="2"/>
  <c r="K440" i="2"/>
  <c r="A440" i="2"/>
  <c r="K439" i="2"/>
  <c r="A439" i="2"/>
  <c r="K438" i="2"/>
  <c r="A438" i="2"/>
  <c r="K437" i="2"/>
  <c r="A437" i="2"/>
  <c r="K436" i="2"/>
  <c r="A436" i="2"/>
  <c r="K435" i="2"/>
  <c r="A435" i="2"/>
  <c r="K434" i="2"/>
  <c r="A434" i="2"/>
  <c r="K433" i="2"/>
  <c r="A433" i="2"/>
  <c r="K432" i="2"/>
  <c r="A432" i="2"/>
  <c r="K431" i="2"/>
  <c r="A431" i="2"/>
  <c r="K430" i="2"/>
  <c r="A430" i="2"/>
  <c r="K429" i="2"/>
  <c r="A429" i="2"/>
  <c r="K428" i="2"/>
  <c r="A428" i="2"/>
  <c r="K427" i="2"/>
  <c r="A427" i="2"/>
  <c r="K426" i="2"/>
  <c r="A426" i="2"/>
  <c r="K425" i="2"/>
  <c r="A425" i="2"/>
  <c r="K424" i="2"/>
  <c r="A424" i="2"/>
  <c r="K423" i="2"/>
  <c r="A423" i="2"/>
  <c r="K422" i="2"/>
  <c r="A422" i="2"/>
  <c r="K421" i="2"/>
  <c r="A421" i="2"/>
  <c r="K420" i="2"/>
  <c r="A420" i="2"/>
  <c r="K419" i="2"/>
  <c r="A419" i="2"/>
  <c r="K418" i="2"/>
  <c r="A418" i="2"/>
  <c r="K417" i="2"/>
  <c r="A417" i="2"/>
  <c r="K416" i="2"/>
  <c r="A416" i="2"/>
  <c r="K415" i="2"/>
  <c r="A415" i="2"/>
  <c r="K414" i="2"/>
  <c r="A414" i="2"/>
  <c r="K413" i="2"/>
  <c r="A413" i="2"/>
  <c r="K412" i="2"/>
  <c r="A412" i="2"/>
  <c r="K411" i="2"/>
  <c r="A411" i="2"/>
  <c r="K410" i="2"/>
  <c r="A410" i="2"/>
  <c r="K409" i="2"/>
  <c r="A409" i="2"/>
  <c r="K408" i="2"/>
  <c r="A408" i="2"/>
  <c r="K407" i="2"/>
  <c r="A407" i="2"/>
  <c r="K406" i="2"/>
  <c r="A406" i="2"/>
  <c r="K405" i="2"/>
  <c r="A405" i="2"/>
  <c r="K404" i="2"/>
  <c r="A404" i="2"/>
  <c r="K403" i="2"/>
  <c r="A403" i="2"/>
  <c r="K402" i="2"/>
  <c r="A402" i="2"/>
  <c r="K401" i="2"/>
  <c r="A401" i="2"/>
  <c r="K400" i="2"/>
  <c r="A400" i="2"/>
  <c r="K399" i="2"/>
  <c r="A399" i="2"/>
  <c r="K398" i="2"/>
  <c r="A398" i="2"/>
  <c r="K397" i="2"/>
  <c r="A397" i="2"/>
  <c r="K396" i="2"/>
  <c r="A396" i="2"/>
  <c r="K395" i="2"/>
  <c r="A395" i="2"/>
  <c r="K394" i="2"/>
  <c r="A394" i="2"/>
  <c r="K393" i="2"/>
  <c r="A393" i="2"/>
  <c r="K392" i="2"/>
  <c r="A392" i="2"/>
  <c r="K391" i="2"/>
  <c r="A391" i="2"/>
  <c r="K390" i="2"/>
  <c r="A390" i="2"/>
  <c r="K389" i="2"/>
  <c r="A389" i="2"/>
  <c r="K388" i="2"/>
  <c r="A388" i="2"/>
  <c r="K387" i="2"/>
  <c r="A387" i="2"/>
  <c r="K386" i="2"/>
  <c r="A386" i="2"/>
  <c r="K385" i="2"/>
  <c r="A385" i="2"/>
  <c r="K384" i="2"/>
  <c r="A384" i="2"/>
  <c r="K383" i="2"/>
  <c r="A383" i="2"/>
  <c r="K382" i="2"/>
  <c r="A382" i="2"/>
  <c r="K381" i="2"/>
  <c r="A381" i="2"/>
  <c r="K380" i="2"/>
  <c r="A380" i="2"/>
  <c r="K379" i="2"/>
  <c r="A379" i="2"/>
  <c r="K378" i="2"/>
  <c r="A378" i="2"/>
  <c r="K377" i="2"/>
  <c r="A377" i="2"/>
  <c r="K376" i="2"/>
  <c r="A376" i="2"/>
  <c r="K375" i="2"/>
  <c r="A375" i="2"/>
  <c r="K374" i="2"/>
  <c r="A374" i="2"/>
  <c r="K373" i="2"/>
  <c r="A373" i="2"/>
  <c r="K372" i="2"/>
  <c r="A372" i="2"/>
  <c r="K371" i="2"/>
  <c r="A371" i="2"/>
  <c r="K370" i="2"/>
  <c r="A370" i="2"/>
  <c r="K369" i="2"/>
  <c r="A369" i="2"/>
  <c r="K368" i="2"/>
  <c r="A368" i="2"/>
  <c r="K367" i="2"/>
  <c r="A367" i="2"/>
  <c r="K366" i="2"/>
  <c r="A366" i="2"/>
  <c r="K365" i="2"/>
  <c r="A365" i="2"/>
  <c r="K364" i="2"/>
  <c r="A364" i="2"/>
  <c r="K363" i="2"/>
  <c r="A363" i="2"/>
  <c r="K362" i="2"/>
  <c r="A362" i="2"/>
  <c r="K361" i="2"/>
  <c r="A361" i="2"/>
  <c r="K360" i="2"/>
  <c r="A360" i="2"/>
  <c r="K359" i="2"/>
  <c r="A359" i="2"/>
  <c r="K358" i="2"/>
  <c r="A358" i="2"/>
  <c r="K357" i="2"/>
  <c r="A357" i="2"/>
  <c r="K356" i="2"/>
  <c r="A356" i="2"/>
  <c r="K355" i="2"/>
  <c r="A355" i="2"/>
  <c r="K354" i="2"/>
  <c r="A354" i="2"/>
  <c r="K353" i="2"/>
  <c r="A353" i="2"/>
  <c r="K352" i="2"/>
  <c r="A352" i="2"/>
  <c r="K351" i="2"/>
  <c r="A351" i="2"/>
  <c r="K350" i="2"/>
  <c r="A350" i="2"/>
  <c r="K349" i="2"/>
  <c r="A349" i="2"/>
  <c r="K348" i="2"/>
  <c r="A348" i="2"/>
  <c r="K347" i="2"/>
  <c r="A347" i="2"/>
  <c r="K346" i="2"/>
  <c r="A346" i="2"/>
  <c r="K345" i="2"/>
  <c r="A345" i="2"/>
  <c r="K344" i="2"/>
  <c r="A344" i="2"/>
  <c r="K343" i="2"/>
  <c r="A343" i="2"/>
  <c r="K342" i="2"/>
  <c r="A342" i="2"/>
  <c r="K341" i="2"/>
  <c r="A341" i="2"/>
  <c r="K340" i="2"/>
  <c r="A340" i="2"/>
  <c r="K339" i="2"/>
  <c r="A339" i="2"/>
  <c r="K338" i="2"/>
  <c r="A338" i="2"/>
  <c r="K337" i="2"/>
  <c r="A337" i="2"/>
  <c r="K336" i="2"/>
  <c r="A336" i="2"/>
  <c r="K335" i="2"/>
  <c r="A335" i="2"/>
  <c r="K334" i="2"/>
  <c r="A334" i="2"/>
  <c r="K333" i="2"/>
  <c r="A333" i="2"/>
  <c r="K332" i="2"/>
  <c r="A332" i="2"/>
  <c r="K331" i="2"/>
  <c r="A331" i="2"/>
  <c r="K330" i="2"/>
  <c r="A330" i="2"/>
  <c r="K329" i="2"/>
  <c r="A329" i="2"/>
  <c r="K328" i="2"/>
  <c r="A328" i="2"/>
  <c r="K327" i="2"/>
  <c r="A327" i="2"/>
  <c r="K326" i="2"/>
  <c r="A326" i="2"/>
  <c r="K325" i="2"/>
  <c r="A325" i="2"/>
  <c r="K324" i="2"/>
  <c r="A324" i="2"/>
  <c r="K323" i="2"/>
  <c r="A323" i="2"/>
  <c r="K322" i="2"/>
  <c r="A322" i="2"/>
  <c r="K321" i="2"/>
  <c r="A321" i="2"/>
  <c r="K320" i="2"/>
  <c r="A320" i="2"/>
  <c r="K319" i="2"/>
  <c r="A319" i="2"/>
  <c r="K318" i="2"/>
  <c r="A318" i="2"/>
  <c r="K317" i="2"/>
  <c r="A317" i="2"/>
  <c r="K316" i="2"/>
  <c r="A316" i="2"/>
  <c r="K315" i="2"/>
  <c r="A315" i="2"/>
  <c r="K314" i="2"/>
  <c r="A314" i="2"/>
  <c r="K313" i="2"/>
  <c r="A313" i="2"/>
  <c r="K312" i="2"/>
  <c r="A312" i="2"/>
  <c r="K311" i="2"/>
  <c r="A311" i="2"/>
  <c r="K310" i="2"/>
  <c r="A310" i="2"/>
  <c r="K309" i="2"/>
  <c r="A309" i="2"/>
  <c r="K308" i="2"/>
  <c r="A308" i="2"/>
  <c r="K307" i="2"/>
  <c r="A307" i="2"/>
  <c r="K306" i="2"/>
  <c r="A306" i="2"/>
  <c r="K305" i="2"/>
  <c r="A305" i="2"/>
  <c r="K304" i="2"/>
  <c r="A304" i="2"/>
  <c r="K303" i="2"/>
  <c r="A303" i="2"/>
  <c r="K302" i="2"/>
  <c r="A302" i="2"/>
  <c r="K301" i="2"/>
  <c r="A301" i="2"/>
  <c r="K300" i="2"/>
  <c r="A300" i="2"/>
  <c r="K299" i="2"/>
  <c r="A299" i="2"/>
  <c r="K298" i="2"/>
  <c r="A298" i="2"/>
  <c r="K297" i="2"/>
  <c r="A297" i="2"/>
  <c r="K296" i="2"/>
  <c r="A296" i="2"/>
  <c r="K295" i="2"/>
  <c r="A295" i="2"/>
  <c r="K294" i="2"/>
  <c r="A294" i="2"/>
  <c r="K293" i="2"/>
  <c r="A293" i="2"/>
  <c r="K292" i="2"/>
  <c r="A292" i="2"/>
  <c r="K291" i="2"/>
  <c r="A291" i="2"/>
  <c r="K290" i="2"/>
  <c r="A290" i="2"/>
  <c r="K289" i="2"/>
  <c r="A289" i="2"/>
  <c r="K288" i="2"/>
  <c r="A288" i="2"/>
  <c r="K287" i="2"/>
  <c r="A287" i="2"/>
  <c r="K286" i="2"/>
  <c r="A286" i="2"/>
  <c r="K285" i="2"/>
  <c r="A285" i="2"/>
  <c r="K284" i="2"/>
  <c r="A284" i="2"/>
  <c r="K283" i="2"/>
  <c r="A283" i="2"/>
  <c r="K282" i="2"/>
  <c r="A282" i="2"/>
  <c r="K281" i="2"/>
  <c r="A281" i="2"/>
  <c r="K280" i="2"/>
  <c r="A280" i="2"/>
  <c r="K279" i="2"/>
  <c r="A279" i="2"/>
  <c r="K278" i="2"/>
  <c r="A278" i="2"/>
  <c r="K277" i="2"/>
  <c r="A277" i="2"/>
  <c r="K276" i="2"/>
  <c r="A276" i="2"/>
  <c r="K275" i="2"/>
  <c r="A275" i="2"/>
  <c r="K274" i="2"/>
  <c r="A274" i="2"/>
  <c r="K273" i="2"/>
  <c r="A273" i="2"/>
  <c r="K272" i="2"/>
  <c r="A272" i="2"/>
  <c r="K271" i="2"/>
  <c r="A271" i="2"/>
  <c r="K270" i="2"/>
  <c r="A270" i="2"/>
  <c r="K269" i="2"/>
  <c r="A269" i="2"/>
  <c r="K268" i="2"/>
  <c r="A268" i="2"/>
  <c r="K267" i="2"/>
  <c r="A267" i="2"/>
  <c r="K266" i="2"/>
  <c r="A266" i="2"/>
  <c r="K265" i="2"/>
  <c r="A265" i="2"/>
  <c r="K264" i="2"/>
  <c r="A264" i="2"/>
  <c r="K263" i="2"/>
  <c r="A263" i="2"/>
  <c r="K262" i="2"/>
  <c r="A262" i="2"/>
  <c r="K261" i="2"/>
  <c r="A261" i="2"/>
  <c r="K260" i="2"/>
  <c r="A260" i="2"/>
  <c r="K259" i="2"/>
  <c r="A259" i="2"/>
  <c r="K258" i="2"/>
  <c r="A258" i="2"/>
  <c r="K257" i="2"/>
  <c r="A257" i="2"/>
  <c r="K256" i="2"/>
  <c r="A256" i="2"/>
  <c r="K255" i="2"/>
  <c r="A255" i="2"/>
  <c r="K254" i="2"/>
  <c r="A254" i="2"/>
  <c r="K253" i="2"/>
  <c r="A253" i="2"/>
  <c r="K252" i="2"/>
  <c r="A252" i="2"/>
  <c r="K251" i="2"/>
  <c r="A251" i="2"/>
  <c r="K250" i="2"/>
  <c r="A250" i="2"/>
  <c r="K249" i="2"/>
  <c r="A249" i="2"/>
  <c r="K248" i="2"/>
  <c r="A248" i="2"/>
  <c r="K247" i="2"/>
  <c r="A247" i="2"/>
  <c r="K246" i="2"/>
  <c r="A246" i="2"/>
  <c r="K245" i="2"/>
  <c r="A245" i="2"/>
  <c r="K244" i="2"/>
  <c r="A244" i="2"/>
  <c r="K243" i="2"/>
  <c r="A243" i="2"/>
  <c r="K242" i="2"/>
  <c r="A242" i="2"/>
  <c r="K241" i="2"/>
  <c r="A241" i="2"/>
  <c r="K240" i="2"/>
  <c r="A240" i="2"/>
  <c r="K239" i="2"/>
  <c r="A239" i="2"/>
  <c r="K238" i="2"/>
  <c r="A238" i="2"/>
  <c r="K237" i="2"/>
  <c r="A237" i="2"/>
  <c r="K236" i="2"/>
  <c r="A236" i="2"/>
  <c r="K235" i="2"/>
  <c r="A235" i="2"/>
  <c r="K234" i="2"/>
  <c r="A234" i="2"/>
  <c r="K233" i="2"/>
  <c r="A233" i="2"/>
  <c r="K232" i="2"/>
  <c r="A232" i="2"/>
  <c r="K231" i="2"/>
  <c r="A231" i="2"/>
  <c r="K230" i="2"/>
  <c r="A230" i="2"/>
  <c r="K229" i="2"/>
  <c r="A229" i="2"/>
  <c r="K228" i="2"/>
  <c r="A228" i="2"/>
  <c r="K227" i="2"/>
  <c r="A227" i="2"/>
  <c r="K226" i="2"/>
  <c r="A226" i="2"/>
  <c r="K225" i="2"/>
  <c r="A225" i="2"/>
  <c r="K224" i="2"/>
  <c r="A224" i="2"/>
  <c r="K223" i="2"/>
  <c r="A223" i="2"/>
  <c r="K222" i="2"/>
  <c r="A222" i="2"/>
  <c r="K221" i="2"/>
  <c r="A221" i="2"/>
  <c r="K220" i="2"/>
  <c r="A220" i="2"/>
  <c r="K219" i="2"/>
  <c r="A219" i="2"/>
  <c r="K218" i="2"/>
  <c r="A218" i="2"/>
  <c r="K217" i="2"/>
  <c r="A217" i="2"/>
  <c r="K216" i="2"/>
  <c r="A216" i="2"/>
  <c r="K215" i="2"/>
  <c r="A215" i="2"/>
  <c r="K214" i="2"/>
  <c r="A214" i="2"/>
  <c r="K213" i="2"/>
  <c r="A213" i="2"/>
  <c r="K212" i="2"/>
  <c r="A212" i="2"/>
  <c r="K211" i="2"/>
  <c r="A211" i="2"/>
  <c r="K210" i="2"/>
  <c r="A210" i="2"/>
  <c r="K209" i="2"/>
  <c r="A209" i="2"/>
  <c r="K208" i="2"/>
  <c r="A208" i="2"/>
  <c r="K207" i="2"/>
  <c r="A207" i="2"/>
  <c r="K206" i="2"/>
  <c r="A206" i="2"/>
  <c r="K205" i="2"/>
  <c r="A205" i="2"/>
  <c r="K204" i="2"/>
  <c r="A204" i="2"/>
  <c r="K203" i="2"/>
  <c r="A203" i="2"/>
  <c r="K202" i="2"/>
  <c r="A202" i="2"/>
  <c r="K201" i="2"/>
  <c r="A201" i="2"/>
  <c r="K200" i="2"/>
  <c r="A200" i="2"/>
  <c r="K199" i="2"/>
  <c r="A199" i="2"/>
  <c r="K198" i="2"/>
  <c r="A198" i="2"/>
  <c r="K197" i="2"/>
  <c r="A197" i="2"/>
  <c r="K196" i="2"/>
  <c r="A196" i="2"/>
  <c r="K195" i="2"/>
  <c r="A195" i="2"/>
  <c r="K194" i="2"/>
  <c r="A194" i="2"/>
  <c r="K193" i="2"/>
  <c r="A193" i="2"/>
  <c r="K192" i="2"/>
  <c r="A192" i="2"/>
  <c r="K191" i="2"/>
  <c r="A191" i="2"/>
  <c r="K190" i="2"/>
  <c r="A190" i="2"/>
  <c r="K189" i="2"/>
  <c r="A189" i="2"/>
  <c r="K188" i="2"/>
  <c r="A188" i="2"/>
  <c r="K187" i="2"/>
  <c r="A187" i="2"/>
  <c r="K186" i="2"/>
  <c r="A186" i="2"/>
  <c r="K185" i="2"/>
  <c r="A185" i="2"/>
  <c r="K184" i="2"/>
  <c r="A184" i="2"/>
  <c r="K183" i="2"/>
  <c r="A183" i="2"/>
  <c r="K182" i="2"/>
  <c r="A182" i="2"/>
  <c r="K181" i="2"/>
  <c r="A181" i="2"/>
  <c r="K180" i="2"/>
  <c r="A180" i="2"/>
  <c r="K179" i="2"/>
  <c r="A179" i="2"/>
  <c r="K178" i="2"/>
  <c r="A178" i="2"/>
  <c r="K177" i="2"/>
  <c r="A177" i="2"/>
  <c r="K176" i="2"/>
  <c r="A176" i="2"/>
  <c r="K175" i="2"/>
  <c r="A175" i="2"/>
  <c r="K174" i="2"/>
  <c r="A174" i="2"/>
  <c r="K173" i="2"/>
  <c r="A173" i="2"/>
  <c r="K172" i="2"/>
  <c r="A172" i="2"/>
  <c r="K171" i="2"/>
  <c r="A171" i="2"/>
  <c r="K170" i="2"/>
  <c r="A170" i="2"/>
  <c r="K169" i="2"/>
  <c r="A169" i="2"/>
  <c r="K168" i="2"/>
  <c r="A168" i="2"/>
  <c r="K167" i="2"/>
  <c r="A167" i="2"/>
  <c r="K166" i="2"/>
  <c r="A166" i="2"/>
  <c r="K165" i="2"/>
  <c r="A165" i="2"/>
  <c r="K164" i="2"/>
  <c r="A164" i="2"/>
  <c r="K163" i="2"/>
  <c r="A163" i="2"/>
  <c r="K162" i="2"/>
  <c r="A162" i="2"/>
  <c r="K161" i="2"/>
  <c r="A161" i="2"/>
  <c r="K160" i="2"/>
  <c r="A160" i="2"/>
  <c r="K159" i="2"/>
  <c r="A159" i="2"/>
  <c r="K158" i="2"/>
  <c r="A158" i="2"/>
  <c r="K157" i="2"/>
  <c r="A157" i="2"/>
  <c r="K156" i="2"/>
  <c r="A156" i="2"/>
  <c r="K155" i="2"/>
  <c r="A155" i="2"/>
  <c r="K154" i="2"/>
  <c r="A154" i="2"/>
  <c r="K153" i="2"/>
  <c r="A153" i="2"/>
  <c r="K152" i="2"/>
  <c r="A152" i="2"/>
  <c r="K151" i="2"/>
  <c r="A151" i="2"/>
  <c r="K150" i="2"/>
  <c r="A150" i="2"/>
  <c r="K149" i="2"/>
  <c r="A149" i="2"/>
  <c r="K148" i="2"/>
  <c r="A148" i="2"/>
  <c r="K147" i="2"/>
  <c r="A147" i="2"/>
  <c r="K146" i="2"/>
  <c r="A146" i="2"/>
  <c r="K145" i="2"/>
  <c r="A145" i="2"/>
  <c r="K144" i="2"/>
  <c r="A144" i="2"/>
  <c r="K143" i="2"/>
  <c r="A143" i="2"/>
  <c r="K142" i="2"/>
  <c r="A142" i="2"/>
  <c r="K141" i="2"/>
  <c r="A141" i="2"/>
  <c r="K140" i="2"/>
  <c r="A140" i="2"/>
  <c r="K139" i="2"/>
  <c r="A139" i="2"/>
  <c r="K138" i="2"/>
  <c r="A138" i="2"/>
  <c r="K137" i="2"/>
  <c r="A137" i="2"/>
  <c r="K136" i="2"/>
  <c r="A136" i="2"/>
  <c r="K135" i="2"/>
  <c r="A135" i="2"/>
  <c r="K134" i="2"/>
  <c r="A134" i="2"/>
  <c r="K133" i="2"/>
  <c r="A133" i="2"/>
  <c r="K132" i="2"/>
  <c r="A132" i="2"/>
  <c r="K131" i="2"/>
  <c r="A131" i="2"/>
  <c r="K130" i="2"/>
  <c r="A130" i="2"/>
  <c r="K129" i="2"/>
  <c r="A129" i="2"/>
  <c r="K128" i="2"/>
  <c r="A128" i="2"/>
  <c r="K127" i="2"/>
  <c r="A127" i="2"/>
  <c r="K126" i="2"/>
  <c r="A126" i="2"/>
  <c r="K125" i="2"/>
  <c r="A125" i="2"/>
  <c r="K124" i="2"/>
  <c r="A124" i="2"/>
  <c r="K123" i="2"/>
  <c r="A123" i="2"/>
  <c r="K122" i="2"/>
  <c r="A122" i="2"/>
  <c r="K121" i="2"/>
  <c r="A121" i="2"/>
  <c r="K120" i="2"/>
  <c r="A120" i="2"/>
  <c r="K119" i="2"/>
  <c r="A119" i="2"/>
  <c r="K118" i="2"/>
  <c r="A118" i="2"/>
  <c r="K117" i="2"/>
  <c r="A117" i="2"/>
  <c r="K116" i="2"/>
  <c r="A116" i="2"/>
  <c r="K115" i="2"/>
  <c r="A115" i="2"/>
  <c r="K114" i="2"/>
  <c r="A114" i="2"/>
  <c r="K113" i="2"/>
  <c r="A113" i="2"/>
  <c r="K112" i="2"/>
  <c r="A112" i="2"/>
  <c r="K111" i="2"/>
  <c r="A111" i="2"/>
  <c r="K110" i="2"/>
  <c r="A110" i="2"/>
  <c r="K109" i="2"/>
  <c r="A109" i="2"/>
  <c r="K108" i="2"/>
  <c r="A108" i="2"/>
  <c r="K107" i="2"/>
  <c r="A107" i="2"/>
  <c r="K106" i="2"/>
  <c r="A106" i="2"/>
  <c r="K105" i="2"/>
  <c r="A105" i="2"/>
  <c r="K104" i="2"/>
  <c r="A104" i="2"/>
  <c r="K103" i="2"/>
  <c r="A103" i="2"/>
  <c r="K102" i="2"/>
  <c r="A102" i="2"/>
  <c r="K101" i="2"/>
  <c r="A101" i="2"/>
  <c r="K100" i="2"/>
  <c r="A100" i="2"/>
  <c r="K99" i="2"/>
  <c r="A99" i="2"/>
  <c r="K98" i="2"/>
  <c r="A98" i="2"/>
  <c r="K97" i="2"/>
  <c r="A97" i="2"/>
  <c r="K96" i="2"/>
  <c r="A96" i="2"/>
  <c r="K95" i="2"/>
  <c r="A95" i="2"/>
  <c r="K94" i="2"/>
  <c r="A94" i="2"/>
  <c r="K93" i="2"/>
  <c r="A93" i="2"/>
  <c r="K92" i="2"/>
  <c r="A92" i="2"/>
  <c r="K91" i="2"/>
  <c r="A91" i="2"/>
  <c r="K90" i="2"/>
  <c r="A90" i="2"/>
  <c r="K89" i="2"/>
  <c r="A89" i="2"/>
  <c r="K88" i="2"/>
  <c r="A88" i="2"/>
  <c r="K87" i="2"/>
  <c r="A87" i="2"/>
  <c r="K86" i="2"/>
  <c r="A86" i="2"/>
  <c r="K85" i="2"/>
  <c r="A85" i="2"/>
  <c r="K84" i="2"/>
  <c r="A84" i="2"/>
  <c r="K83" i="2"/>
  <c r="A83" i="2"/>
  <c r="K82" i="2"/>
  <c r="A82" i="2"/>
  <c r="K81" i="2"/>
  <c r="A81" i="2"/>
  <c r="K80" i="2"/>
  <c r="A80" i="2"/>
  <c r="K79" i="2"/>
  <c r="A79" i="2"/>
  <c r="K78" i="2"/>
  <c r="A78" i="2"/>
  <c r="K77" i="2"/>
  <c r="A77" i="2"/>
  <c r="K76" i="2"/>
  <c r="A76" i="2"/>
  <c r="K75" i="2"/>
  <c r="A75" i="2"/>
  <c r="K74" i="2"/>
  <c r="A74" i="2"/>
  <c r="K73" i="2"/>
  <c r="A73" i="2"/>
  <c r="K72" i="2"/>
  <c r="A72" i="2"/>
  <c r="K71" i="2"/>
  <c r="A71" i="2"/>
  <c r="K70" i="2"/>
  <c r="A70" i="2"/>
  <c r="K69" i="2"/>
  <c r="A69" i="2"/>
  <c r="K68" i="2"/>
  <c r="A68" i="2"/>
  <c r="K67" i="2"/>
  <c r="A67" i="2"/>
  <c r="K66" i="2"/>
  <c r="A66" i="2"/>
  <c r="K65" i="2"/>
  <c r="A65" i="2"/>
  <c r="K64" i="2"/>
  <c r="A64" i="2"/>
  <c r="K63" i="2"/>
  <c r="A63" i="2"/>
  <c r="K62" i="2"/>
  <c r="A62" i="2"/>
  <c r="K61" i="2"/>
  <c r="A61" i="2"/>
  <c r="K60" i="2"/>
  <c r="A60" i="2"/>
  <c r="K59" i="2"/>
  <c r="A59" i="2"/>
  <c r="K58" i="2"/>
  <c r="A58" i="2"/>
  <c r="K57" i="2"/>
  <c r="A57" i="2"/>
  <c r="K56" i="2"/>
  <c r="A56" i="2"/>
  <c r="K55" i="2"/>
  <c r="A55" i="2"/>
  <c r="K54" i="2"/>
  <c r="A54" i="2"/>
  <c r="K53" i="2"/>
  <c r="A53" i="2"/>
  <c r="K52" i="2"/>
  <c r="A52" i="2"/>
  <c r="K51" i="2"/>
  <c r="A51" i="2"/>
  <c r="K50" i="2"/>
  <c r="D234" i="5" l="1"/>
  <c r="V234" i="5"/>
  <c r="D244" i="5"/>
  <c r="V244" i="5"/>
  <c r="D250" i="5"/>
  <c r="V250" i="5"/>
  <c r="D260" i="5"/>
  <c r="V260" i="5"/>
  <c r="D266" i="5"/>
  <c r="V266" i="5"/>
  <c r="D276" i="5"/>
  <c r="V276" i="5"/>
  <c r="D282" i="5"/>
  <c r="V282" i="5"/>
  <c r="D292" i="5"/>
  <c r="V292" i="5"/>
  <c r="D298" i="5"/>
  <c r="V298" i="5"/>
  <c r="V87" i="5"/>
  <c r="D90" i="5"/>
  <c r="V90" i="5"/>
  <c r="D98" i="5"/>
  <c r="V98" i="5"/>
  <c r="D106" i="5"/>
  <c r="V106" i="5"/>
  <c r="V25" i="5"/>
  <c r="V27" i="5"/>
  <c r="V29" i="5"/>
  <c r="V31" i="5"/>
  <c r="V33" i="5"/>
  <c r="V35" i="5"/>
  <c r="V37" i="5"/>
  <c r="V39" i="5"/>
  <c r="V41" i="5"/>
  <c r="V43" i="5"/>
  <c r="V45" i="5"/>
  <c r="V47" i="5"/>
  <c r="V49" i="5"/>
  <c r="V51" i="5"/>
  <c r="V53" i="5"/>
  <c r="V55" i="5"/>
  <c r="V57" i="5"/>
  <c r="V59" i="5"/>
  <c r="V61" i="5"/>
  <c r="V63" i="5"/>
  <c r="V65" i="5"/>
  <c r="V67" i="5"/>
  <c r="V69" i="5"/>
  <c r="V71" i="5"/>
  <c r="V73" i="5"/>
  <c r="V75" i="5"/>
  <c r="V77" i="5"/>
  <c r="V79" i="5"/>
  <c r="V81" i="5"/>
  <c r="V83" i="5"/>
  <c r="V85" i="5"/>
  <c r="D88" i="5"/>
  <c r="V88" i="5"/>
  <c r="D96" i="5"/>
  <c r="V96" i="5"/>
  <c r="D104" i="5"/>
  <c r="V104" i="5"/>
  <c r="D112" i="5"/>
  <c r="V112" i="5"/>
  <c r="D191" i="5"/>
  <c r="V191" i="5"/>
  <c r="D195" i="5"/>
  <c r="V195" i="5"/>
  <c r="D199" i="5"/>
  <c r="V199" i="5"/>
  <c r="D203" i="5"/>
  <c r="V203" i="5"/>
  <c r="D207" i="5"/>
  <c r="V207" i="5"/>
  <c r="D211" i="5"/>
  <c r="V211" i="5"/>
  <c r="D215" i="5"/>
  <c r="V215" i="5"/>
  <c r="D219" i="5"/>
  <c r="V219" i="5"/>
  <c r="D223" i="5"/>
  <c r="V223" i="5"/>
  <c r="D227" i="5"/>
  <c r="V227" i="5"/>
  <c r="D231" i="5"/>
  <c r="V231" i="5"/>
  <c r="D236" i="5"/>
  <c r="V236" i="5"/>
  <c r="D242" i="5"/>
  <c r="V242" i="5"/>
  <c r="D252" i="5"/>
  <c r="V252" i="5"/>
  <c r="D258" i="5"/>
  <c r="V258" i="5"/>
  <c r="D268" i="5"/>
  <c r="V268" i="5"/>
  <c r="D274" i="5"/>
  <c r="V274" i="5"/>
  <c r="D284" i="5"/>
  <c r="V284" i="5"/>
  <c r="D290" i="5"/>
  <c r="V290" i="5"/>
  <c r="D300" i="5"/>
  <c r="V300" i="5"/>
  <c r="D92" i="5"/>
  <c r="V92" i="5"/>
  <c r="D100" i="5"/>
  <c r="V100" i="5"/>
  <c r="D108" i="5"/>
  <c r="V108" i="5"/>
  <c r="M25" i="5"/>
  <c r="M27" i="5"/>
  <c r="M29" i="5"/>
  <c r="M31" i="5"/>
  <c r="M33" i="5"/>
  <c r="M35" i="5"/>
  <c r="M37" i="5"/>
  <c r="M39" i="5"/>
  <c r="M41" i="5"/>
  <c r="M43" i="5"/>
  <c r="M45" i="5"/>
  <c r="M47" i="5"/>
  <c r="M49" i="5"/>
  <c r="M51" i="5"/>
  <c r="M53" i="5"/>
  <c r="M55" i="5"/>
  <c r="M57" i="5"/>
  <c r="M59" i="5"/>
  <c r="M61" i="5"/>
  <c r="M63" i="5"/>
  <c r="M65" i="5"/>
  <c r="M67" i="5"/>
  <c r="M69" i="5"/>
  <c r="M71" i="5"/>
  <c r="M73" i="5"/>
  <c r="M75" i="5"/>
  <c r="M77" i="5"/>
  <c r="M79" i="5"/>
  <c r="M81" i="5"/>
  <c r="M83" i="5"/>
  <c r="M85" i="5"/>
  <c r="D86" i="5"/>
  <c r="V86" i="5"/>
  <c r="D94" i="5"/>
  <c r="V94" i="5"/>
  <c r="D102" i="5"/>
  <c r="V102" i="5"/>
  <c r="D110" i="5"/>
  <c r="V110" i="5"/>
  <c r="V114" i="5"/>
  <c r="V116" i="5"/>
  <c r="V118" i="5"/>
  <c r="M121" i="5"/>
  <c r="M123" i="5"/>
  <c r="M125" i="5"/>
  <c r="M127" i="5"/>
  <c r="D129" i="5"/>
  <c r="M129" i="5"/>
  <c r="M131" i="5"/>
  <c r="M133" i="5"/>
  <c r="M135" i="5"/>
  <c r="M137" i="5"/>
  <c r="M139" i="5"/>
  <c r="M141" i="5"/>
  <c r="M143" i="5"/>
  <c r="M145" i="5"/>
  <c r="M147" i="5"/>
  <c r="M149" i="5"/>
  <c r="M151" i="5"/>
  <c r="M153" i="5"/>
  <c r="M155" i="5"/>
  <c r="M157" i="5"/>
  <c r="M159" i="5"/>
  <c r="D161" i="5"/>
  <c r="M161" i="5"/>
  <c r="M163" i="5"/>
  <c r="D165" i="5"/>
  <c r="M165" i="5"/>
  <c r="D167" i="5"/>
  <c r="M167" i="5"/>
  <c r="D169" i="5"/>
  <c r="M169" i="5"/>
  <c r="M171" i="5"/>
  <c r="M173" i="5"/>
  <c r="M175" i="5"/>
  <c r="M177" i="5"/>
  <c r="M179" i="5"/>
  <c r="M181" i="5"/>
  <c r="M183" i="5"/>
  <c r="M185" i="5"/>
  <c r="M187" i="5"/>
  <c r="M189" i="5"/>
  <c r="M90" i="5"/>
  <c r="M92" i="5"/>
  <c r="M94" i="5"/>
  <c r="M96" i="5"/>
  <c r="M98" i="5"/>
  <c r="M100" i="5"/>
  <c r="M102" i="5"/>
  <c r="M104" i="5"/>
  <c r="M106" i="5"/>
  <c r="M108" i="5"/>
  <c r="M110" i="5"/>
  <c r="M112" i="5"/>
  <c r="M114" i="5"/>
  <c r="M116" i="5"/>
  <c r="M118" i="5"/>
  <c r="M120" i="5"/>
  <c r="V237" i="5"/>
  <c r="V241" i="5"/>
  <c r="V245" i="5"/>
  <c r="V249" i="5"/>
  <c r="V253" i="5"/>
  <c r="V257" i="5"/>
  <c r="V261" i="5"/>
  <c r="V265" i="5"/>
  <c r="V269" i="5"/>
  <c r="V273" i="5"/>
  <c r="V277" i="5"/>
  <c r="V281" i="5"/>
  <c r="V285" i="5"/>
  <c r="V289" i="5"/>
  <c r="V293" i="5"/>
  <c r="V297" i="5"/>
  <c r="V301" i="5"/>
  <c r="D122" i="5"/>
  <c r="D126" i="5"/>
  <c r="D130" i="5"/>
  <c r="D120" i="5"/>
  <c r="D124" i="5"/>
  <c r="D128" i="5"/>
  <c r="D132" i="5"/>
  <c r="D238" i="5"/>
  <c r="V238" i="5"/>
  <c r="D246" i="5"/>
  <c r="V246" i="5"/>
  <c r="D254" i="5"/>
  <c r="V254" i="5"/>
  <c r="D262" i="5"/>
  <c r="V262" i="5"/>
  <c r="D270" i="5"/>
  <c r="V270" i="5"/>
  <c r="D278" i="5"/>
  <c r="V278" i="5"/>
  <c r="M190" i="5"/>
  <c r="M194" i="5"/>
  <c r="M198" i="5"/>
  <c r="M202" i="5"/>
  <c r="M206" i="5"/>
  <c r="M210" i="5"/>
  <c r="M214" i="5"/>
  <c r="M218" i="5"/>
  <c r="M222" i="5"/>
  <c r="M226" i="5"/>
  <c r="M230" i="5"/>
  <c r="D235" i="5"/>
  <c r="V235" i="5"/>
  <c r="D243" i="5"/>
  <c r="V243" i="5"/>
  <c r="V286" i="5"/>
  <c r="V294" i="5"/>
  <c r="M192" i="5"/>
  <c r="M196" i="5"/>
  <c r="M200" i="5"/>
  <c r="M204" i="5"/>
  <c r="M208" i="5"/>
  <c r="M212" i="5"/>
  <c r="M216" i="5"/>
  <c r="M220" i="5"/>
  <c r="M224" i="5"/>
  <c r="M228" i="5"/>
  <c r="M232" i="5"/>
  <c r="D239" i="5"/>
  <c r="V239" i="5"/>
  <c r="V240" i="5"/>
  <c r="V248" i="5"/>
  <c r="V256" i="5"/>
  <c r="V264" i="5"/>
  <c r="V272" i="5"/>
  <c r="V280" i="5"/>
  <c r="V288" i="5"/>
  <c r="V296" i="5"/>
  <c r="V247" i="5"/>
  <c r="V251" i="5"/>
  <c r="V255" i="5"/>
  <c r="V259" i="5"/>
  <c r="V263" i="5"/>
  <c r="V267" i="5"/>
  <c r="V271" i="5"/>
  <c r="V275" i="5"/>
  <c r="V279" i="5"/>
  <c r="V283" i="5"/>
  <c r="V287" i="5"/>
  <c r="V291" i="5"/>
  <c r="V295" i="5"/>
  <c r="V299" i="5"/>
</calcChain>
</file>

<file path=xl/sharedStrings.xml><?xml version="1.0" encoding="utf-8"?>
<sst xmlns="http://schemas.openxmlformats.org/spreadsheetml/2006/main" count="1724" uniqueCount="629">
  <si>
    <t>Lead Status</t>
  </si>
  <si>
    <t>Deal Sales Stage</t>
  </si>
  <si>
    <t>Service Pillar / Category</t>
  </si>
  <si>
    <t>Payment Cadence</t>
  </si>
  <si>
    <t>Payment Status</t>
  </si>
  <si>
    <t>Invoice Status</t>
  </si>
  <si>
    <t>Invoice Type</t>
  </si>
  <si>
    <t>CFO Approval</t>
  </si>
  <si>
    <t>Reminder Status</t>
  </si>
  <si>
    <t>PO Status</t>
  </si>
  <si>
    <t>PO Validated</t>
  </si>
  <si>
    <t>Assigned To</t>
  </si>
  <si>
    <t>Lead Source</t>
  </si>
  <si>
    <t>PreSales</t>
  </si>
  <si>
    <t>PostSales</t>
  </si>
  <si>
    <t>Marketing</t>
  </si>
  <si>
    <t>Finance</t>
  </si>
  <si>
    <t>Software Dev</t>
  </si>
  <si>
    <t>Consulting</t>
  </si>
  <si>
    <t>Cybersecurity</t>
  </si>
  <si>
    <t>Invoice Terms</t>
  </si>
  <si>
    <t>Lead Generation</t>
  </si>
  <si>
    <t>Commercial Proposal</t>
  </si>
  <si>
    <t>Advance</t>
  </si>
  <si>
    <t>Pending</t>
  </si>
  <si>
    <t>Invoice Draft</t>
  </si>
  <si>
    <t>None</t>
  </si>
  <si>
    <t>Active</t>
  </si>
  <si>
    <t>Yes</t>
  </si>
  <si>
    <t>Praveen Sahai</t>
  </si>
  <si>
    <t>Website</t>
  </si>
  <si>
    <t>Resources</t>
  </si>
  <si>
    <t>Brand Assets</t>
  </si>
  <si>
    <t>Cashflow Finance</t>
  </si>
  <si>
    <t>Agentic Tool</t>
  </si>
  <si>
    <t>Growth Advisory</t>
  </si>
  <si>
    <t>Cyber Security</t>
  </si>
  <si>
    <t>Immediate</t>
  </si>
  <si>
    <t>Lead Qualification</t>
  </si>
  <si>
    <t>Negotiation</t>
  </si>
  <si>
    <t>Milestone</t>
  </si>
  <si>
    <t>Partially Paid</t>
  </si>
  <si>
    <t>CFO Approval Pending</t>
  </si>
  <si>
    <t>Approved</t>
  </si>
  <si>
    <t>1st Reminder</t>
  </si>
  <si>
    <t>Completed</t>
  </si>
  <si>
    <t>No</t>
  </si>
  <si>
    <t>Arunava Chakrabarty</t>
  </si>
  <si>
    <t>Referral</t>
  </si>
  <si>
    <t>Training</t>
  </si>
  <si>
    <t>CMO Services</t>
  </si>
  <si>
    <t>Bill Discounting</t>
  </si>
  <si>
    <t>CMS / CLM</t>
  </si>
  <si>
    <t>FinOps/Biz Ops</t>
  </si>
  <si>
    <t>Net 30</t>
  </si>
  <si>
    <t>Assign</t>
  </si>
  <si>
    <t>Win</t>
  </si>
  <si>
    <t>Monthly</t>
  </si>
  <si>
    <t>Paid</t>
  </si>
  <si>
    <t>Invoice Sent</t>
  </si>
  <si>
    <t>Final</t>
  </si>
  <si>
    <t>Rejected</t>
  </si>
  <si>
    <t>2nd Reminder</t>
  </si>
  <si>
    <t>Cancelled</t>
  </si>
  <si>
    <t>Dilip Sundaram</t>
  </si>
  <si>
    <t>LinkedIn</t>
  </si>
  <si>
    <t>BidBrain</t>
  </si>
  <si>
    <t>ICP &amp; ABM</t>
  </si>
  <si>
    <t>Consulting Agentic Tool</t>
  </si>
  <si>
    <t>Net 45</t>
  </si>
  <si>
    <t>First Contact</t>
  </si>
  <si>
    <t>Lost</t>
  </si>
  <si>
    <t>Quarterly</t>
  </si>
  <si>
    <t>Payment Pending</t>
  </si>
  <si>
    <t>Escalated</t>
  </si>
  <si>
    <t>Asif Bhat</t>
  </si>
  <si>
    <t>Cold Call</t>
  </si>
  <si>
    <t>Discovery Meeting</t>
  </si>
  <si>
    <t>Cancel</t>
  </si>
  <si>
    <t>Final Payment</t>
  </si>
  <si>
    <t>Payment Received</t>
  </si>
  <si>
    <t>Tarun Shiroley</t>
  </si>
  <si>
    <t>Email Campaign</t>
  </si>
  <si>
    <t>Approach or Demo</t>
  </si>
  <si>
    <t>Hemant Tathod</t>
  </si>
  <si>
    <t>Event</t>
  </si>
  <si>
    <t>Converted</t>
  </si>
  <si>
    <t>Saji Mathew</t>
  </si>
  <si>
    <t>Partner</t>
  </si>
  <si>
    <t>Other</t>
  </si>
  <si>
    <t>Lead Number</t>
  </si>
  <si>
    <t>Lead Name</t>
  </si>
  <si>
    <t>Company Name</t>
  </si>
  <si>
    <t>Contact Name</t>
  </si>
  <si>
    <t>Service Pillar</t>
  </si>
  <si>
    <t>Sub Category</t>
  </si>
  <si>
    <t>Status</t>
  </si>
  <si>
    <t>Comments</t>
  </si>
  <si>
    <t>Created Date</t>
  </si>
  <si>
    <t>💡  Lead Number auto-generates when Lead Name is entered. Use dropdowns for Pillar, Sub-Category, Assigned To, Source, and Status.</t>
  </si>
  <si>
    <t>L001</t>
  </si>
  <si>
    <t>CitiusCloud Services</t>
  </si>
  <si>
    <t>Roshan Shetty</t>
  </si>
  <si>
    <t>Proposal Sent
22/08/2025 11:28 AM By:</t>
  </si>
  <si>
    <t>L002</t>
  </si>
  <si>
    <t>Galaxy</t>
  </si>
  <si>
    <t>Galaxy Office Automation Pvt Ltd</t>
  </si>
  <si>
    <t>Anoop PaiDhungat</t>
  </si>
  <si>
    <t>Asif</t>
  </si>
  <si>
    <t>"2 AI Engineers with 5+ years experience; 2 profiles shared
22/08/2025 11:28 AM By: "</t>
  </si>
  <si>
    <t>L003</t>
  </si>
  <si>
    <t>Nutanix</t>
  </si>
  <si>
    <t>Nutanix India Pvt Ltd</t>
  </si>
  <si>
    <t>Renu Asrani</t>
  </si>
  <si>
    <t>Avinash</t>
  </si>
  <si>
    <t>"ABM pilot for Top 40-45 accounts
22/08/2025 11:28 AM By: "</t>
  </si>
  <si>
    <t>L004</t>
  </si>
  <si>
    <t>ARCA Alternatives</t>
  </si>
  <si>
    <t>Sagar Nagaraj</t>
  </si>
  <si>
    <t>"Demo done on June 6th; Demo account to be created
22/08/2025 11:28 AM By: "</t>
  </si>
  <si>
    <t>L005</t>
  </si>
  <si>
    <t>Azentio</t>
  </si>
  <si>
    <t>Vamsi Chaitanya</t>
  </si>
  <si>
    <t>"Demo pending - to be scheduled
22/08/2025 11:28 AM By: "</t>
  </si>
  <si>
    <t>L006</t>
  </si>
  <si>
    <t>Checkpoint</t>
  </si>
  <si>
    <t>Checkpoint Software</t>
  </si>
  <si>
    <t>Keely Wilkins</t>
  </si>
  <si>
    <t xml:space="preserve">"Demo pending - to be scheduled
22/08/2025 11:28 AM By: "
</t>
  </si>
  <si>
    <t>L007</t>
  </si>
  <si>
    <t>Grishma Potdar</t>
  </si>
  <si>
    <t>Anand/Shruti</t>
  </si>
  <si>
    <t>"ICP/ABM for Insurance sector for Checkpoint cyberinsurance alliances
22/08/2025 11:28 AM By: "</t>
  </si>
  <si>
    <t>L008</t>
  </si>
  <si>
    <t>TechMahindra Consult</t>
  </si>
  <si>
    <t>TechMahindra Ltd</t>
  </si>
  <si>
    <t>Anil Sharma</t>
  </si>
  <si>
    <t>Proposal sent and accepted</t>
  </si>
  <si>
    <t>L009</t>
  </si>
  <si>
    <t>Wipro AI Project</t>
  </si>
  <si>
    <t>Wipro Technologies Ltd</t>
  </si>
  <si>
    <t>Sneha Kapoor</t>
  </si>
  <si>
    <t>AI tool development deal signed</t>
  </si>
  <si>
    <t>L010</t>
  </si>
  <si>
    <t>Infosys Cyber Shield</t>
  </si>
  <si>
    <t>Infosys BPM Ltd</t>
  </si>
  <si>
    <t>Rahul Menon</t>
  </si>
  <si>
    <t>Security audit and monitoring</t>
  </si>
  <si>
    <t>L011</t>
  </si>
  <si>
    <t>HCL Brand Relaunch</t>
  </si>
  <si>
    <t>HCL Technologies</t>
  </si>
  <si>
    <t>Priya Nair</t>
  </si>
  <si>
    <t>Full brand relaunch project</t>
  </si>
  <si>
    <t>L012</t>
  </si>
  <si>
    <t>Reliance FinOps</t>
  </si>
  <si>
    <t>Reliance Industries</t>
  </si>
  <si>
    <t>Amit Gupta</t>
  </si>
  <si>
    <t>FinOps transformation</t>
  </si>
  <si>
    <t>L013</t>
  </si>
  <si>
    <t>TCS CMS Integration</t>
  </si>
  <si>
    <t>Tata Consultancy Services</t>
  </si>
  <si>
    <t>Deepa Iyer</t>
  </si>
  <si>
    <t>CMS platform integration</t>
  </si>
  <si>
    <t>L014</t>
  </si>
  <si>
    <t>HDFC ABM Campaign</t>
  </si>
  <si>
    <t>HDFC Bank Ltd</t>
  </si>
  <si>
    <t>Sanjay Pillai</t>
  </si>
  <si>
    <t>Account-based marketing for BFSI</t>
  </si>
  <si>
    <t>L015</t>
  </si>
  <si>
    <t>Accenture Training Hub</t>
  </si>
  <si>
    <t>Accenture Solutions Pvt Ltd</t>
  </si>
  <si>
    <t>Monica Verma</t>
  </si>
  <si>
    <t>Sales training program</t>
  </si>
  <si>
    <t>L016</t>
  </si>
  <si>
    <t>Bajaj Finserv BI</t>
  </si>
  <si>
    <t>Bajaj Finserv Ltd</t>
  </si>
  <si>
    <t>Vijay Kulkarni</t>
  </si>
  <si>
    <t>Bill discounting solution</t>
  </si>
  <si>
    <t>L017</t>
  </si>
  <si>
    <t>L&amp;T Consulting Ops</t>
  </si>
  <si>
    <t>Larsen &amp; Toubro Infotech</t>
  </si>
  <si>
    <t>Ritesh Patel</t>
  </si>
  <si>
    <t>Consulting operations project</t>
  </si>
  <si>
    <t>L018</t>
  </si>
  <si>
    <t>Mahindra Digital Mktg</t>
  </si>
  <si>
    <t>Mahindra &amp; Mahindra Ltd</t>
  </si>
  <si>
    <t>Ananya Roy</t>
  </si>
  <si>
    <t>Budget constraints</t>
  </si>
  <si>
    <t>L019</t>
  </si>
  <si>
    <t>Capgemini Agentic AI</t>
  </si>
  <si>
    <t>Capgemini India Pvt Ltd</t>
  </si>
  <si>
    <t>Srinivas Rao</t>
  </si>
  <si>
    <t>Agentic AI deployment</t>
  </si>
  <si>
    <t>L020</t>
  </si>
  <si>
    <t>Kotak Cyber Sec</t>
  </si>
  <si>
    <t>Kotak Mahindra Bank</t>
  </si>
  <si>
    <t>Kavita Sharma</t>
  </si>
  <si>
    <t>Bank security assessment</t>
  </si>
  <si>
    <t>L021</t>
  </si>
  <si>
    <t>Deloitte BidBrain</t>
  </si>
  <si>
    <t>Deloitte India</t>
  </si>
  <si>
    <t>Arvind Shetty</t>
  </si>
  <si>
    <t>Bid automation platform</t>
  </si>
  <si>
    <t>L022</t>
  </si>
  <si>
    <t>ICICI ABM Pilot</t>
  </si>
  <si>
    <t>ICICI Bank Ltd</t>
  </si>
  <si>
    <t>Meera Krishnan</t>
  </si>
  <si>
    <t>Internal budget reallocation</t>
  </si>
  <si>
    <t>L023</t>
  </si>
  <si>
    <t>IBM Growth Advisory</t>
  </si>
  <si>
    <t>IBM India Pvt Ltd</t>
  </si>
  <si>
    <t>Rohit Desai</t>
  </si>
  <si>
    <t>Growth strategy advisory</t>
  </si>
  <si>
    <t>L024</t>
  </si>
  <si>
    <t>Oracle CMS Deploy</t>
  </si>
  <si>
    <t>Oracle India Pvt Ltd</t>
  </si>
  <si>
    <t>Suresh Babu</t>
  </si>
  <si>
    <t>Oracle CMS deployment project</t>
  </si>
  <si>
    <t>L025</t>
  </si>
  <si>
    <t>SAP FinOps Consult</t>
  </si>
  <si>
    <t>SAP India</t>
  </si>
  <si>
    <t>Nandini Joshi</t>
  </si>
  <si>
    <t>Cash flow management solution</t>
  </si>
  <si>
    <t>L026</t>
  </si>
  <si>
    <t>Zoho Cybersec Suite</t>
  </si>
  <si>
    <t>Zoho Corporation</t>
  </si>
  <si>
    <t>Pavan Kumar</t>
  </si>
  <si>
    <t>Cybersecurity suite deployment</t>
  </si>
  <si>
    <t>L027</t>
  </si>
  <si>
    <t>Adani Grp PreSales</t>
  </si>
  <si>
    <t>Adani Enterprises Ltd</t>
  </si>
  <si>
    <t>Sharath Reddy</t>
  </si>
  <si>
    <t>Pre-sales resource deployment</t>
  </si>
  <si>
    <t>L028</t>
  </si>
  <si>
    <t>Genpact PostSales Trn</t>
  </si>
  <si>
    <t>Genpact India Ltd</t>
  </si>
  <si>
    <t>Lakshmi Rao</t>
  </si>
  <si>
    <t>Post-sales training engagement</t>
  </si>
  <si>
    <t>L029</t>
  </si>
  <si>
    <t>EY Strategy Consult</t>
  </si>
  <si>
    <t>Ernst &amp; Young LLP</t>
  </si>
  <si>
    <t>Manish Ahuja</t>
  </si>
  <si>
    <t>Strategy consulting engagement</t>
  </si>
  <si>
    <t>L030</t>
  </si>
  <si>
    <t>Airtel Brand Assets</t>
  </si>
  <si>
    <t>Bharti Airtel Ltd</t>
  </si>
  <si>
    <t>Tanvi Chawla</t>
  </si>
  <si>
    <t>Project scope mismatch</t>
  </si>
  <si>
    <t>L031</t>
  </si>
  <si>
    <t>PwC Agentic Tool</t>
  </si>
  <si>
    <t>PricewaterhouseCoopers India</t>
  </si>
  <si>
    <t>Kiran Bhatt</t>
  </si>
  <si>
    <t>Agentic tool for audit workflows</t>
  </si>
  <si>
    <t>L032</t>
  </si>
  <si>
    <t>Vodafone CyberSec</t>
  </si>
  <si>
    <t>Vodafone Idea Ltd</t>
  </si>
  <si>
    <t>Rajan Mathew</t>
  </si>
  <si>
    <t>Mobile security assessment</t>
  </si>
  <si>
    <t>L033</t>
  </si>
  <si>
    <t>KPMG FinOps</t>
  </si>
  <si>
    <t>KPMG India</t>
  </si>
  <si>
    <t>Pooja Saxena</t>
  </si>
  <si>
    <t>Finance ops consulting</t>
  </si>
  <si>
    <t>L034</t>
  </si>
  <si>
    <t>Mindtree Bidbrain</t>
  </si>
  <si>
    <t>Mindtree Ltd</t>
  </si>
  <si>
    <t>Gaurav Tiwari</t>
  </si>
  <si>
    <t>BidBrain for IT proposals</t>
  </si>
  <si>
    <t>L035</t>
  </si>
  <si>
    <t>Mphasis CMO Services</t>
  </si>
  <si>
    <t>Mphasis Ltd</t>
  </si>
  <si>
    <t>Rekha Singh</t>
  </si>
  <si>
    <t>CMO services engagement</t>
  </si>
  <si>
    <t>L036</t>
  </si>
  <si>
    <t>Hexaware ABM</t>
  </si>
  <si>
    <t>Hexaware Technologies</t>
  </si>
  <si>
    <t>Vinod Rao</t>
  </si>
  <si>
    <t>ABM program for fintech clients</t>
  </si>
  <si>
    <t>L037</t>
  </si>
  <si>
    <t>Birlasoft PostSales</t>
  </si>
  <si>
    <t>Birlasoft Ltd</t>
  </si>
  <si>
    <t>Sunita Mehta</t>
  </si>
  <si>
    <t>Post-sales resource allocation</t>
  </si>
  <si>
    <t>L038</t>
  </si>
  <si>
    <t>Tata Steel ConsultOps</t>
  </si>
  <si>
    <t>Tata Steel Ltd</t>
  </si>
  <si>
    <t>Rajesh Iyer</t>
  </si>
  <si>
    <t>Growth advisory for manufacturing</t>
  </si>
  <si>
    <t>L039</t>
  </si>
  <si>
    <t>Infosys BidBrain 2026</t>
  </si>
  <si>
    <t>Infosys Ltd</t>
  </si>
  <si>
    <t>Priya Nambiar</t>
  </si>
  <si>
    <t>BidBrain renewal 2026</t>
  </si>
  <si>
    <t>L040</t>
  </si>
  <si>
    <t>HDFC Life Cyber</t>
  </si>
  <si>
    <t>HDFC Life Insurance Co Ltd</t>
  </si>
  <si>
    <t>Tarun Gupta</t>
  </si>
  <si>
    <t>Cyber security for insurance</t>
  </si>
  <si>
    <t>L041</t>
  </si>
  <si>
    <t>Juspay FinOps Suite</t>
  </si>
  <si>
    <t>Juspay Technologies Pvt Ltd</t>
  </si>
  <si>
    <t>Asha Menon</t>
  </si>
  <si>
    <t>Cashflow tools for fintech</t>
  </si>
  <si>
    <t>L042</t>
  </si>
  <si>
    <t>Razorpay ABM 2026</t>
  </si>
  <si>
    <t>Razorpay Software Pvt Ltd</t>
  </si>
  <si>
    <t>Dev Mishra</t>
  </si>
  <si>
    <t>Demo scheduled for Feb end</t>
  </si>
  <si>
    <t>L043</t>
  </si>
  <si>
    <t>Groww PostSales Ops</t>
  </si>
  <si>
    <t>Groww Invest Tech Pvt Ltd</t>
  </si>
  <si>
    <t>Nisha Kapoor</t>
  </si>
  <si>
    <t>Initial call done</t>
  </si>
  <si>
    <t>L044</t>
  </si>
  <si>
    <t>PhonePe Agentic AI</t>
  </si>
  <si>
    <t>PhonePe Pvt Ltd</t>
  </si>
  <si>
    <t>Siddharth Roy</t>
  </si>
  <si>
    <t>Discovery meeting scheduled</t>
  </si>
  <si>
    <t>L045</t>
  </si>
  <si>
    <t>Swiggy Brand Campaign</t>
  </si>
  <si>
    <t>Bundl Technologies Pvt Ltd</t>
  </si>
  <si>
    <t>Ananya Das</t>
  </si>
  <si>
    <t>Inbound interest via LinkedIn</t>
  </si>
  <si>
    <t>L046</t>
  </si>
  <si>
    <t>Zepto CMS Platform</t>
  </si>
  <si>
    <t>Kiranakart Technologies Pvt Ltd</t>
  </si>
  <si>
    <t>Rohan Verma</t>
  </si>
  <si>
    <t>Cold outreach today</t>
  </si>
  <si>
    <t>L047</t>
  </si>
  <si>
    <t>Meesho Growth Consult</t>
  </si>
  <si>
    <t>Fashnear Technologies Pvt Ltd</t>
  </si>
  <si>
    <t>Preet Shah</t>
  </si>
  <si>
    <t>Enquiry received today via email</t>
  </si>
  <si>
    <t>Deal ID
(Lead No.)</t>
  </si>
  <si>
    <t>Expected Amount</t>
  </si>
  <si>
    <t>Negotiated Amount</t>
  </si>
  <si>
    <t>Expected Close Date</t>
  </si>
  <si>
    <t>Sales Stage</t>
  </si>
  <si>
    <t>PO Ready?</t>
  </si>
  <si>
    <t>💡  Enter Deal ID from Enquiry. PO Ready? flag auto-shows when Sales Stage = Win. Use that Deal ID in PO_Workflow to generate the PO.</t>
  </si>
  <si>
    <t>"Payment Type: Monthly (Variable)
Phases:
Phase 1: Rs. 2,00,000/- (2025-10-01 to 2025-12-31)
Notes: Retainer contract
30/09/2025 11:37 AM By: Arunava Chakrabarty
========================================
Updated Commercial proposal for 3 months pilot @ Rs 2,00,000 lakhs per month starting October 1, 2025
11/09/2025 01:11 PM By: Arunava Chakrabarty
========================================
Rs. 200000 per month for 3 years
25/08/2025 05:58 AM By: Arunava Chakrabarty
========================================
Proposal Sent
22/08/2025 11:28 AM By: "</t>
  </si>
  <si>
    <t>✅ Move to PO Workflow</t>
  </si>
  <si>
    <t>2 AI Engineers; deal cancelled due to budget</t>
  </si>
  <si>
    <t>⬜ Not Won Yet</t>
  </si>
  <si>
    <t>ABM pilot cancelled - no budget approval</t>
  </si>
  <si>
    <t>Lost to competitor on pricing</t>
  </si>
  <si>
    <t>Duplicate entry - retainer confirmed</t>
  </si>
  <si>
    <t>Monthly consulting retainer</t>
  </si>
  <si>
    <t>AI tool dev - 6 month project</t>
  </si>
  <si>
    <t>Cybersecurity audit quarterly</t>
  </si>
  <si>
    <t>Full brand relaunch</t>
  </si>
  <si>
    <t>FinOps transformation Q2</t>
  </si>
  <si>
    <t>CMS integration 9 months</t>
  </si>
  <si>
    <t>ABM pilot BFSI sector</t>
  </si>
  <si>
    <t>Training program 3 months</t>
  </si>
  <si>
    <t>Bill discounting SaaS</t>
  </si>
  <si>
    <t>Consulting ops project</t>
  </si>
  <si>
    <t>Agentic AI phase 1</t>
  </si>
  <si>
    <t>Bank security monitoring</t>
  </si>
  <si>
    <t>BidBrain 6 month license</t>
  </si>
  <si>
    <t>EY strategy consulting H1</t>
  </si>
  <si>
    <t>Agentic tool for audit</t>
  </si>
  <si>
    <t>Mobile security Q1 2026</t>
  </si>
  <si>
    <t>FinOps consulting Q1</t>
  </si>
  <si>
    <t>Client went with competitor</t>
  </si>
  <si>
    <t>Scope mismatch - shelved</t>
  </si>
  <si>
    <t>In final negotiation phase</t>
  </si>
  <si>
    <t>Manufacturing advisory Q1</t>
  </si>
  <si>
    <t>BidBrain renewal Jan 2026</t>
  </si>
  <si>
    <t>Insurance cyber security</t>
  </si>
  <si>
    <t>Cashflow tools Q2</t>
  </si>
  <si>
    <t>ABM demo done, proposal pending</t>
  </si>
  <si>
    <t>🔗   PO Workflow Bridge  —  Deal (Win)  →  PO Generation</t>
  </si>
  <si>
    <t>💡  HOW TO USE: (1) Copy the Deal ID from the Deal sheet for any '✅ Win' deal. (2) Paste it into column A below. Fields auto-populate from CRM. (3) Manually fill the grey-shaded ops columns (PO Number, Dates, GST, Cadence). (4) Once complete, enter the PO Number into Input_PO to begin invoicing.</t>
  </si>
  <si>
    <t>Source
Deal ID</t>
  </si>
  <si>
    <t>Deal
Validation</t>
  </si>
  <si>
    <t>Customer Name</t>
  </si>
  <si>
    <t>Service Category</t>
  </si>
  <si>
    <t>Service
Description</t>
  </si>
  <si>
    <t>Deal Value
(₹)</t>
  </si>
  <si>
    <t>Sales Owner</t>
  </si>
  <si>
    <t>Expected
Close Date</t>
  </si>
  <si>
    <t>PO Number</t>
  </si>
  <si>
    <t>PO Date</t>
  </si>
  <si>
    <t>Start Date</t>
  </si>
  <si>
    <t>End Date</t>
  </si>
  <si>
    <t>Billing Terms</t>
  </si>
  <si>
    <t>Advance %</t>
  </si>
  <si>
    <t>GST Number</t>
  </si>
  <si>
    <t>Notes</t>
  </si>
  <si>
    <t>🟦 Teal = Auto-populated from CRM Deal sheet</t>
  </si>
  <si>
    <t>⬜ Grey = Manual entry by Operations team</t>
  </si>
  <si>
    <t>✅ Win – Proceed</t>
  </si>
  <si>
    <t>PO-00322</t>
  </si>
  <si>
    <t>27AANFC2669L1ZV</t>
  </si>
  <si>
    <t>Consulting for 3 months - Oct 25 to Dec 2</t>
  </si>
  <si>
    <t>PO-00323</t>
  </si>
  <si>
    <t>29AABCT1332L1ZV</t>
  </si>
  <si>
    <t>TechMahindra consulting retainer 9M</t>
  </si>
  <si>
    <t>PO-00324</t>
  </si>
  <si>
    <t>29AAACW0867A1ZE</t>
  </si>
  <si>
    <t>Wipro AI tool dev - 3 milestones</t>
  </si>
  <si>
    <t>PO-00325</t>
  </si>
  <si>
    <t>33AAAAI0015L1ZN</t>
  </si>
  <si>
    <t>Infosys cybersec audit Q2-Q3</t>
  </si>
  <si>
    <t>PO-00326</t>
  </si>
  <si>
    <t>27AAACM3025B1Z5</t>
  </si>
  <si>
    <t>HCL brand relaunch 4 phases</t>
  </si>
  <si>
    <t>PO-00327</t>
  </si>
  <si>
    <t>27AAACP1409L1ZV</t>
  </si>
  <si>
    <t>Reliance FinOps monthly</t>
  </si>
  <si>
    <t>PO-00328</t>
  </si>
  <si>
    <t>27AAACT3640Q1ZC</t>
  </si>
  <si>
    <t>TCS CMS 9 month integration</t>
  </si>
  <si>
    <t>PO-00329</t>
  </si>
  <si>
    <t>29AAACH2702H1ZW</t>
  </si>
  <si>
    <t>HDFC ABM pilot 6 months</t>
  </si>
  <si>
    <t>PO-00330</t>
  </si>
  <si>
    <t>27AABCA8099E1ZF</t>
  </si>
  <si>
    <t>Accenture training 3M</t>
  </si>
  <si>
    <t>PO-00331</t>
  </si>
  <si>
    <t>27AABCB5432N1ZA</t>
  </si>
  <si>
    <t>Bajaj FinServ bill discounting</t>
  </si>
  <si>
    <t>PO-00332</t>
  </si>
  <si>
    <t>27AADFL2572M1ZR</t>
  </si>
  <si>
    <t>L&amp;T consulting ops project</t>
  </si>
  <si>
    <t>PO-00333</t>
  </si>
  <si>
    <t>29AACCG0692L1ZN</t>
  </si>
  <si>
    <t>Capgemini Agentic AI phase 1</t>
  </si>
  <si>
    <t>PO-00334</t>
  </si>
  <si>
    <t>29AAACK0342M1ZS</t>
  </si>
  <si>
    <t>Kotak cyber monitoring 6M</t>
  </si>
  <si>
    <t>PO-00335</t>
  </si>
  <si>
    <t>27AABCD8291P1ZB</t>
  </si>
  <si>
    <t>Deloitte BidBrain license H1</t>
  </si>
  <si>
    <t>PO-00336</t>
  </si>
  <si>
    <t>29AAACE3240K1ZP</t>
  </si>
  <si>
    <t>EY strategy consulting H1 2026</t>
  </si>
  <si>
    <t>PO-00337</t>
  </si>
  <si>
    <t>29AAACG1547H1ZQ</t>
  </si>
  <si>
    <t>PwC Agentic tool audit 6M</t>
  </si>
  <si>
    <t>PO-00338</t>
  </si>
  <si>
    <t>27AABCV1234L1ZX</t>
  </si>
  <si>
    <t>Vodafone mobile security Q1</t>
  </si>
  <si>
    <t>PO-00339</t>
  </si>
  <si>
    <t>29AABCK9876L1ZY</t>
  </si>
  <si>
    <t>KPMG FinOps consulting Q1</t>
  </si>
  <si>
    <t>PO-00340</t>
  </si>
  <si>
    <t>27AABCT4567M1ZZ</t>
  </si>
  <si>
    <t>Tata Steel advisory Q1 2026</t>
  </si>
  <si>
    <t>PO-00341</t>
  </si>
  <si>
    <t>29AABCI8901L1ZA</t>
  </si>
  <si>
    <t>Infosys BidBrain renewal</t>
  </si>
  <si>
    <t>PO-00342</t>
  </si>
  <si>
    <t>27AABCH5432N1ZB</t>
  </si>
  <si>
    <t>HDFC Life cyber security Q2</t>
  </si>
  <si>
    <t>PO-00343</t>
  </si>
  <si>
    <t>29AABCJ7654K1ZC</t>
  </si>
  <si>
    <t>Juspay cashflow tools Q2</t>
  </si>
  <si>
    <t>Validated
(Yes/No)</t>
  </si>
  <si>
    <t>Source Deal ID
← Enter Here</t>
  </si>
  <si>
    <t>Company</t>
  </si>
  <si>
    <t>Service Description</t>
  </si>
  <si>
    <t>Duration
(Months)</t>
  </si>
  <si>
    <t>Quantity</t>
  </si>
  <si>
    <t>Total PO Value</t>
  </si>
  <si>
    <t>PO Monthly Billing</t>
  </si>
  <si>
    <t>Milestone Details</t>
  </si>
  <si>
    <t>Assigned
Sales Owner</t>
  </si>
  <si>
    <t>Proposal Reference</t>
  </si>
  <si>
    <t>Validation Status</t>
  </si>
  <si>
    <t>💡  HOW TO USE: Enter the Source Deal ID in column U (e.g. L001). Columns B–P auto-populate from PO_Workflow. Manually fill Quantity (K), Milestone Details (O), PO Status (S), and Validated (T). Blue text = auto-populated formula. Col A, J, R are also automatic.</t>
  </si>
  <si>
    <t>Phase 1: Oct-Dec 2025 @ ₹2,00,000/month</t>
  </si>
  <si>
    <t>Ref: L001</t>
  </si>
  <si>
    <t>Validated</t>
  </si>
  <si>
    <t>Monthly: Apr-Dec 2025 @ ₹1,22,222/month</t>
  </si>
  <si>
    <t>Ref: L008</t>
  </si>
  <si>
    <t>M1: Discovery ₹7,60,000 | M2: Dev ₹15,20,000 | M3: Delivery ₹15,20,000</t>
  </si>
  <si>
    <t>Ref: L009</t>
  </si>
  <si>
    <t>Q1: ₹2,00,000 | Q2: ₹2,00,000 | Q3: ₹2,00,000 | Q4: ₹2,00,000</t>
  </si>
  <si>
    <t>Ref: L010</t>
  </si>
  <si>
    <t>M1: Concept ₹5,50,000 | M2: Design ₹5,50,000 | M3: Launch ₹11,00,000</t>
  </si>
  <si>
    <t>Ref: L011</t>
  </si>
  <si>
    <t>Monthly: Jul-Dec 2025 @ ₹1,50,000/month</t>
  </si>
  <si>
    <t>Ref: L012</t>
  </si>
  <si>
    <t>Monthly: Aug 2025-Apr 2026 @ ₹3,22,222/month</t>
  </si>
  <si>
    <t>Ref: L013</t>
  </si>
  <si>
    <t>Monthly: Sep 2025-Feb 2026 @ ₹2,66,667/month</t>
  </si>
  <si>
    <t>Ref: L014</t>
  </si>
  <si>
    <t>Monthly: Oct-Dec 2025 @ ₹2,00,000/month</t>
  </si>
  <si>
    <t>Ref: L015</t>
  </si>
  <si>
    <t>Monthly: Oct 2025-Apr 2026 @ ₹1,02,857/month</t>
  </si>
  <si>
    <t>Ref: L016</t>
  </si>
  <si>
    <t>Monthly: Nov 2025-Apr 2026 @ ₹2,33,333/month</t>
  </si>
  <si>
    <t>Ref: L017</t>
  </si>
  <si>
    <t>M1: Onboarding ₹8,33,333 | M2: Integration ₹8,33,333 | M3: Delivery ₹8,33,334</t>
  </si>
  <si>
    <t>Ref: L019</t>
  </si>
  <si>
    <t>Monthly: Dec 2025-Jun 2026 @ ₹1,42,857/month</t>
  </si>
  <si>
    <t>Ref: L020</t>
  </si>
  <si>
    <t>Q1 2026: ₹1,60,000 | Q2 2026: ₹1,60,000</t>
  </si>
  <si>
    <t>Ref: L021</t>
  </si>
  <si>
    <t>Monthly: Feb-Jul 2026 @ ₹2,50,000/month</t>
  </si>
  <si>
    <t>Ref: L022</t>
  </si>
  <si>
    <t>M1: Scoping ₹8,00,000 | M2: Dev ₹12,80,000 | M3: Delivery ₹11,20,000</t>
  </si>
  <si>
    <t>Ref: L025</t>
  </si>
  <si>
    <t>Monthly: Mar-Jun 2026 @ ₹2,83,333/month</t>
  </si>
  <si>
    <t>Ref: L026</t>
  </si>
  <si>
    <t>Monthly: Mar-Jun 2026 @ ₹2,26,667/month</t>
  </si>
  <si>
    <t>Ref: L027</t>
  </si>
  <si>
    <t>Monthly: Mar-Jun 2026 @ ₹4,00,000/month</t>
  </si>
  <si>
    <t>Ref: L039</t>
  </si>
  <si>
    <t>Q1 2026: ₹1,73,333 | Q2 2026: ₹1,73,333</t>
  </si>
  <si>
    <t>Ref: L040</t>
  </si>
  <si>
    <t>Monthly: Apr-Jun 2026 @ ₹3,16,667/month</t>
  </si>
  <si>
    <t>Ref: L041</t>
  </si>
  <si>
    <t>Monthly: Apr-Jun 2026 @ ₹2,00,000/month</t>
  </si>
  <si>
    <t>Ref: L042</t>
  </si>
  <si>
    <t>Email</t>
  </si>
  <si>
    <t>Phone</t>
  </si>
  <si>
    <t>City</t>
  </si>
  <si>
    <t>State</t>
  </si>
  <si>
    <t>💡  All blue/teal columns auto-populate from Enquiry sheet. Only fill in Email (H), Phone (I), City (J), State (K) manually. Orange headers = manual entry required.</t>
  </si>
  <si>
    <t>roshan.shetty@citiuscloud.com</t>
  </si>
  <si>
    <t>+91-9845001001</t>
  </si>
  <si>
    <t>Bengaluru</t>
  </si>
  <si>
    <t>Karnataka</t>
  </si>
  <si>
    <t>anoop.paidhungat@galaxyoa.com</t>
  </si>
  <si>
    <t>+91-9845002002</t>
  </si>
  <si>
    <t>Mumbai</t>
  </si>
  <si>
    <t>Maharashtra</t>
  </si>
  <si>
    <t>renu.asrani@nutanix.com</t>
  </si>
  <si>
    <t>+91-9845003003</t>
  </si>
  <si>
    <t>sagar.nagaraj@arcaalternatives.com</t>
  </si>
  <si>
    <t>+91-9845004004</t>
  </si>
  <si>
    <t>vamsi.chaitanya@azentio.com</t>
  </si>
  <si>
    <t>+91-9845005005</t>
  </si>
  <si>
    <t>keely.wilkins@checkpoint.com</t>
  </si>
  <si>
    <t>+91-9845006006</t>
  </si>
  <si>
    <t>anil.sharma@techmahindra.com</t>
  </si>
  <si>
    <t>+91-9876501001</t>
  </si>
  <si>
    <t>sneha.kapoor@wipro.com</t>
  </si>
  <si>
    <t>+91-9876502002</t>
  </si>
  <si>
    <t>rahul.menon@infosys.com</t>
  </si>
  <si>
    <t>+91-9876503003</t>
  </si>
  <si>
    <t>priya.nair@hcltech.com</t>
  </si>
  <si>
    <t>+91-9876504004</t>
  </si>
  <si>
    <t>Noida</t>
  </si>
  <si>
    <t>Uttar Pradesh</t>
  </si>
  <si>
    <t>amit.gupta@ril.com</t>
  </si>
  <si>
    <t>+91-9876505005</t>
  </si>
  <si>
    <t>deepa.iyer@tcs.com</t>
  </si>
  <si>
    <t>+91-9876506006</t>
  </si>
  <si>
    <t>sanjay.pillai@hdfcbank.com</t>
  </si>
  <si>
    <t>+91-9876507007</t>
  </si>
  <si>
    <t>monica.verma@accenture.com</t>
  </si>
  <si>
    <t>+91-9876508008</t>
  </si>
  <si>
    <t>vijay.kulkarni@bajajfinserv.in</t>
  </si>
  <si>
    <t>+91-9876509009</t>
  </si>
  <si>
    <t>Pune</t>
  </si>
  <si>
    <t>ritesh.patel@lntinfotech.com</t>
  </si>
  <si>
    <t>+91-9876510010</t>
  </si>
  <si>
    <t>ananya.roy@mahindra.com</t>
  </si>
  <si>
    <t>+91-9876511011</t>
  </si>
  <si>
    <t>srinivas.rao@capgemini.com</t>
  </si>
  <si>
    <t>+91-9876512012</t>
  </si>
  <si>
    <t>kavita.sharma@kotak.com</t>
  </si>
  <si>
    <t>+91-9876513013</t>
  </si>
  <si>
    <t>arvind.shetty@deloitte.com</t>
  </si>
  <si>
    <t>+91-9876514014</t>
  </si>
  <si>
    <t>meera.krishnan@icicibank.com</t>
  </si>
  <si>
    <t>+91-9876515015</t>
  </si>
  <si>
    <t>rohit.desai@ibm.com</t>
  </si>
  <si>
    <t>+91-9876516016</t>
  </si>
  <si>
    <t>suresh.babu@oracle.com</t>
  </si>
  <si>
    <t>+91-9876517017</t>
  </si>
  <si>
    <t>nandini.joshi@sap.com</t>
  </si>
  <si>
    <t>+91-9876518018</t>
  </si>
  <si>
    <t>pavan.kumar@zohocorp.com</t>
  </si>
  <si>
    <t>+91-9876519019</t>
  </si>
  <si>
    <t>Chennai</t>
  </si>
  <si>
    <t>Tamil Nadu</t>
  </si>
  <si>
    <t>sharath.reddy@adani.com</t>
  </si>
  <si>
    <t>+91-9876520020</t>
  </si>
  <si>
    <t>Ahmedabad</t>
  </si>
  <si>
    <t>Gujarat</t>
  </si>
  <si>
    <t>lakshmi.rao@genpact.com</t>
  </si>
  <si>
    <t>+91-9876521021</t>
  </si>
  <si>
    <t>Gurugram</t>
  </si>
  <si>
    <t>Haryana</t>
  </si>
  <si>
    <t>manish.ahuja@in.ey.com</t>
  </si>
  <si>
    <t>+91-9876522022</t>
  </si>
  <si>
    <t>tanvi.chawla@airtel.com</t>
  </si>
  <si>
    <t>+91-9876523023</t>
  </si>
  <si>
    <t>New Delhi</t>
  </si>
  <si>
    <t>Delhi</t>
  </si>
  <si>
    <t>kiran.bhatt@pwc.com</t>
  </si>
  <si>
    <t>+91-9876524024</t>
  </si>
  <si>
    <t>rajan.mathew@vodafoneidea.com</t>
  </si>
  <si>
    <t>+91-9876525025</t>
  </si>
  <si>
    <t>pooja.saxena@kpmg.com</t>
  </si>
  <si>
    <t>+91-9876526026</t>
  </si>
  <si>
    <t>gaurav.tiwari@mindtree.com</t>
  </si>
  <si>
    <t>+91-9876527027</t>
  </si>
  <si>
    <t>rekha.singh@mphasis.com</t>
  </si>
  <si>
    <t>+91-9876528028</t>
  </si>
  <si>
    <t>vinod.rao@hexaware.com</t>
  </si>
  <si>
    <t>+91-9876529029</t>
  </si>
  <si>
    <t>sunita.mehta@birlasoft.com</t>
  </si>
  <si>
    <t>+91-9876530030</t>
  </si>
  <si>
    <t>rajesh.iyer@tatasteel.com</t>
  </si>
  <si>
    <t>+91-9876531031</t>
  </si>
  <si>
    <t>priya.nambiar@infosys.com</t>
  </si>
  <si>
    <t>+91-9876532032</t>
  </si>
  <si>
    <t>tarun.gupta@hdfclife.com</t>
  </si>
  <si>
    <t>+91-9876533033</t>
  </si>
  <si>
    <t>asha.menon@juspay.in</t>
  </si>
  <si>
    <t>+91-9876534034</t>
  </si>
  <si>
    <t>dev.mishra@razorpay.com</t>
  </si>
  <si>
    <t>+91-9876535035</t>
  </si>
  <si>
    <t>nisha.kapoor@groww.in</t>
  </si>
  <si>
    <t>+91-9876536036</t>
  </si>
  <si>
    <t>siddharth.roy@phonepe.com</t>
  </si>
  <si>
    <t>+91-9876537037</t>
  </si>
  <si>
    <t>ananya.das@swiggy.in</t>
  </si>
  <si>
    <t>+91-9876538038</t>
  </si>
  <si>
    <t>rohan.verma@zepto.com</t>
  </si>
  <si>
    <t>+91-9876539039</t>
  </si>
  <si>
    <t>preet.shah@meesho.com</t>
  </si>
  <si>
    <t>+91-9876540040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</si>
</sst>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6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1F3864"/>
      <name val="Arial"/>
      <charset val="1"/>
    </font>
    <font>
      <i/>
      <sz val="10"/>
      <color rgb="FF595959"/>
      <name val="Arial"/>
      <charset val="1"/>
    </font>
    <font>
      <sz val="5"/>
      <color theme="1"/>
      <name val="Calibri"/>
      <family val="2"/>
      <charset val="1"/>
    </font>
    <font>
      <b/>
      <sz val="11"/>
      <color rgb="FF375623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8F8F5"/>
      </patternFill>
    </fill>
    <fill>
      <patternFill patternType="solid">
        <fgColor rgb="FF243F60"/>
        <bgColor rgb="FF1F3864"/>
      </patternFill>
    </fill>
    <fill>
      <patternFill patternType="solid">
        <fgColor rgb="FF17A589"/>
        <bgColor rgb="FF1ABC9C"/>
      </patternFill>
    </fill>
    <fill>
      <patternFill patternType="solid">
        <fgColor rgb="FFE8F8F5"/>
        <bgColor rgb="FFE8F5E9"/>
      </patternFill>
    </fill>
    <fill>
      <patternFill patternType="solid">
        <fgColor rgb="FF595959"/>
        <bgColor rgb="FF375623"/>
      </patternFill>
    </fill>
    <fill>
      <patternFill patternType="solid">
        <fgColor rgb="FFF7F7F7"/>
        <bgColor rgb="FFF0FAF7"/>
      </patternFill>
    </fill>
    <fill>
      <patternFill patternType="solid">
        <fgColor rgb="FFFFC000"/>
        <bgColor rgb="FFFFFF99"/>
      </patternFill>
    </fill>
    <fill>
      <patternFill patternType="solid">
        <fgColor rgb="FFF0FAF7"/>
        <bgColor rgb="FFF7F7F7"/>
      </patternFill>
    </fill>
    <fill>
      <patternFill patternType="solid">
        <fgColor rgb="FFFFFDE7"/>
        <bgColor rgb="FFFFFFFF"/>
      </patternFill>
    </fill>
    <fill>
      <patternFill patternType="solid">
        <fgColor rgb="FFC55A11"/>
        <bgColor rgb="FF993300"/>
      </patternFill>
    </fill>
    <fill>
      <patternFill patternType="solid">
        <fgColor rgb="FFF0E6FF"/>
        <bgColor rgb="FFF9F0FF"/>
      </patternFill>
    </fill>
    <fill>
      <patternFill patternType="solid">
        <fgColor rgb="FFE8F8F5"/>
        <bgColor rgb="FFF0FAF7"/>
      </patternFill>
    </fill>
    <fill>
      <patternFill patternType="solid">
        <fgColor rgb="FFE2EFDA"/>
        <bgColor rgb="FFF7F7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9" borderId="0" xfId="0" applyFill="1"/>
    <xf numFmtId="164" fontId="0" fillId="9" borderId="0" xfId="0" applyNumberFormat="1" applyFill="1"/>
    <xf numFmtId="165" fontId="0" fillId="9" borderId="0" xfId="0" applyNumberFormat="1" applyFill="1"/>
    <xf numFmtId="0" fontId="6" fillId="10" borderId="1" xfId="0" applyFont="1" applyFill="1" applyBorder="1" applyAlignment="1">
      <alignment horizontal="center" vertical="center" wrapText="1"/>
    </xf>
    <xf numFmtId="0" fontId="7" fillId="0" borderId="0" xfId="0" applyFont="1"/>
    <xf numFmtId="164" fontId="7" fillId="0" borderId="0" xfId="0" applyNumberFormat="1" applyFont="1"/>
    <xf numFmtId="1" fontId="0" fillId="0" borderId="0" xfId="0" applyNumberFormat="1"/>
    <xf numFmtId="4" fontId="7" fillId="0" borderId="0" xfId="0" applyNumberFormat="1" applyFont="1"/>
    <xf numFmtId="165" fontId="7" fillId="0" borderId="0" xfId="0" applyNumberFormat="1" applyFont="1"/>
    <xf numFmtId="0" fontId="8" fillId="0" borderId="0" xfId="0" applyFont="1"/>
    <xf numFmtId="0" fontId="0" fillId="11" borderId="0" xfId="0" applyFill="1"/>
    <xf numFmtId="0" fontId="0" fillId="12" borderId="0" xfId="0" applyFill="1"/>
    <xf numFmtId="0" fontId="1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2" fillId="12" borderId="1" xfId="0" applyFont="1" applyFill="1" applyBorder="1"/>
    <xf numFmtId="164" fontId="7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wrapText="1"/>
    </xf>
    <xf numFmtId="0" fontId="11" fillId="15" borderId="0" xfId="0" applyFont="1" applyFill="1"/>
    <xf numFmtId="15" fontId="11" fillId="15" borderId="0" xfId="0" applyNumberFormat="1" applyFont="1" applyFill="1"/>
    <xf numFmtId="0" fontId="10" fillId="16" borderId="0" xfId="0" applyFont="1" applyFill="1"/>
    <xf numFmtId="0" fontId="12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3" fillId="7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</cellXfs>
  <cellStyles count="1">
    <cellStyle name="Normal" xfId="0" builtinId="0"/>
  </cellStyles>
  <dxfs count="23">
    <dxf>
      <fill>
        <patternFill>
          <bgColor rgb="FFFFF2CC"/>
        </patternFill>
      </fill>
    </dxf>
    <dxf>
      <fill>
        <patternFill>
          <bgColor rgb="FFCCFFCC"/>
        </patternFill>
      </fill>
    </dxf>
    <dxf>
      <fill>
        <patternFill>
          <bgColor rgb="FFDEEAF1"/>
        </patternFill>
      </fill>
    </dxf>
    <dxf>
      <fill>
        <patternFill>
          <bgColor rgb="FFE2EFDA"/>
        </patternFill>
      </fill>
    </dxf>
    <dxf>
      <fill>
        <patternFill>
          <bgColor rgb="FFFFD7D7"/>
        </patternFill>
      </fill>
    </dxf>
    <dxf>
      <fill>
        <patternFill>
          <bgColor rgb="FFFFF2CC"/>
        </patternFill>
      </fill>
    </dxf>
    <dxf>
      <fill>
        <patternFill>
          <bgColor rgb="FFFFD7D7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D7D7"/>
        </patternFill>
      </fill>
    </dxf>
    <dxf>
      <fill>
        <patternFill>
          <bgColor rgb="FFE8F8F5"/>
        </patternFill>
      </fill>
    </dxf>
    <dxf>
      <font>
        <color rgb="FF595959"/>
        <name val="Arial"/>
      </font>
      <fill>
        <patternFill>
          <bgColor rgb="FFD9D9D9"/>
        </patternFill>
      </fill>
    </dxf>
    <dxf>
      <font>
        <color rgb="FFC00000"/>
        <name val="Arial"/>
      </font>
      <fill>
        <patternFill>
          <bgColor rgb="FFFFD7D7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ill>
        <patternFill>
          <bgColor rgb="FFEAD1F7"/>
        </patternFill>
      </fill>
    </dxf>
    <dxf>
      <fill>
        <patternFill>
          <bgColor rgb="FFFCE4D6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ill>
        <patternFill>
          <bgColor rgb="FF9DC3E6"/>
        </patternFill>
      </fill>
    </dxf>
    <dxf>
      <fill>
        <patternFill>
          <bgColor rgb="FFBDD7EE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FFFF99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F7F7F7"/>
      <rgbColor rgb="FF0000FF"/>
      <rgbColor rgb="FFFFF2CC"/>
      <rgbColor rgb="FFFF00FF"/>
      <rgbColor rgb="FFEBF3FB"/>
      <rgbColor rgb="FF800000"/>
      <rgbColor rgb="FF008000"/>
      <rgbColor rgb="FF000080"/>
      <rgbColor rgb="FF7F6000"/>
      <rgbColor rgb="FF800080"/>
      <rgbColor rgb="FF008080"/>
      <rgbColor rgb="FFBFBFBF"/>
      <rgbColor rgb="FFE8F5E9"/>
      <rgbColor rgb="FFDEEAF1"/>
      <rgbColor rgb="FF7030A0"/>
      <rgbColor rgb="FFFFFDE7"/>
      <rgbColor rgb="FFD5F5E3"/>
      <rgbColor rgb="FF660066"/>
      <rgbColor rgb="FFFFE4E1"/>
      <rgbColor rgb="FF0066CC"/>
      <rgbColor rgb="FFBDD7EE"/>
      <rgbColor rgb="FF000080"/>
      <rgbColor rgb="FFFF00FF"/>
      <rgbColor rgb="FFFCE4D6"/>
      <rgbColor rgb="FFF0FAF7"/>
      <rgbColor rgb="FF800080"/>
      <rgbColor rgb="FF800000"/>
      <rgbColor rgb="FF008080"/>
      <rgbColor rgb="FF0000FF"/>
      <rgbColor rgb="FFF2F2F2"/>
      <rgbColor rgb="FFE8F8F5"/>
      <rgbColor rgb="FFCCFFCC"/>
      <rgbColor rgb="FFFFFF99"/>
      <rgbColor rgb="FF9DC3E6"/>
      <rgbColor rgb="FFD9D9D9"/>
      <rgbColor rgb="FFEAD1F7"/>
      <rgbColor rgb="FFFFD7D7"/>
      <rgbColor rgb="FF2E75B6"/>
      <rgbColor rgb="FF1ABC9C"/>
      <rgbColor rgb="FFE2EFDA"/>
      <rgbColor rgb="FFFFC000"/>
      <rgbColor rgb="FFF0E6FF"/>
      <rgbColor rgb="FFC55A11"/>
      <rgbColor rgb="FF595959"/>
      <rgbColor rgb="FFDDEBF7"/>
      <rgbColor rgb="FF1F3864"/>
      <rgbColor rgb="FF17A589"/>
      <rgbColor rgb="FF003300"/>
      <rgbColor rgb="FF375623"/>
      <rgbColor rgb="FF993300"/>
      <rgbColor rgb="FFF9F0FF"/>
      <rgbColor rgb="FF4A235A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95959"/>
  </sheetPr>
  <dimension ref="A1:AO9"/>
  <sheetViews>
    <sheetView zoomScaleNormal="100" workbookViewId="0">
      <selection activeCell="A10" sqref="A10"/>
    </sheetView>
  </sheetViews>
  <sheetFormatPr defaultColWidth="8.7265625" defaultRowHeight="14.5" x14ac:dyDescent="0.35"/>
  <cols>
    <col min="1" max="1" width="24" customWidth="1"/>
    <col min="2" max="2" width="3" customWidth="1"/>
    <col min="3" max="3" width="24" customWidth="1"/>
    <col min="4" max="4" width="3" customWidth="1"/>
    <col min="5" max="5" width="24" customWidth="1"/>
    <col min="6" max="6" width="3" customWidth="1"/>
    <col min="7" max="7" width="24" customWidth="1"/>
    <col min="8" max="8" width="3" customWidth="1"/>
    <col min="9" max="9" width="24" customWidth="1"/>
    <col min="10" max="10" width="3" customWidth="1"/>
    <col min="11" max="11" width="24" customWidth="1"/>
    <col min="12" max="12" width="3" customWidth="1"/>
    <col min="13" max="13" width="24" customWidth="1"/>
    <col min="14" max="14" width="3" customWidth="1"/>
    <col min="15" max="15" width="24" customWidth="1"/>
    <col min="16" max="16" width="3" customWidth="1"/>
    <col min="17" max="17" width="24" customWidth="1"/>
    <col min="18" max="18" width="3" customWidth="1"/>
    <col min="19" max="19" width="24" customWidth="1"/>
    <col min="20" max="20" width="3" customWidth="1"/>
    <col min="21" max="21" width="24" customWidth="1"/>
    <col min="22" max="22" width="3" customWidth="1"/>
    <col min="23" max="23" width="24" customWidth="1"/>
    <col min="24" max="24" width="3" customWidth="1"/>
    <col min="25" max="25" width="24" customWidth="1"/>
    <col min="26" max="26" width="3" customWidth="1"/>
    <col min="27" max="27" width="24" customWidth="1"/>
    <col min="29" max="29" width="24" customWidth="1"/>
    <col min="31" max="31" width="24" customWidth="1"/>
    <col min="33" max="33" width="24" customWidth="1"/>
    <col min="35" max="35" width="24" customWidth="1"/>
    <col min="37" max="37" width="24" customWidth="1"/>
    <col min="39" max="39" width="24" customWidth="1"/>
    <col min="41" max="41" width="18" customWidth="1"/>
  </cols>
  <sheetData>
    <row r="1" spans="1:41" ht="31.5" customHeight="1" x14ac:dyDescent="0.35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Q1" s="1" t="s">
        <v>8</v>
      </c>
      <c r="S1" s="1" t="s">
        <v>9</v>
      </c>
      <c r="U1" s="1" t="s">
        <v>10</v>
      </c>
      <c r="W1" s="1" t="s">
        <v>11</v>
      </c>
      <c r="Y1" s="1" t="s">
        <v>12</v>
      </c>
      <c r="AA1" s="2" t="s">
        <v>13</v>
      </c>
      <c r="AC1" s="2" t="s">
        <v>14</v>
      </c>
      <c r="AE1" s="2" t="s">
        <v>15</v>
      </c>
      <c r="AG1" s="2" t="s">
        <v>16</v>
      </c>
      <c r="AI1" s="2" t="s">
        <v>17</v>
      </c>
      <c r="AK1" s="2" t="s">
        <v>18</v>
      </c>
      <c r="AM1" s="2" t="s">
        <v>19</v>
      </c>
      <c r="AO1" s="3" t="s">
        <v>20</v>
      </c>
    </row>
    <row r="2" spans="1:41" ht="15" customHeight="1" x14ac:dyDescent="0.35">
      <c r="A2" s="4" t="s">
        <v>21</v>
      </c>
      <c r="C2" s="4" t="s">
        <v>22</v>
      </c>
      <c r="E2" s="4" t="s">
        <v>13</v>
      </c>
      <c r="G2" s="4" t="s">
        <v>23</v>
      </c>
      <c r="I2" s="4" t="s">
        <v>24</v>
      </c>
      <c r="K2" s="4" t="s">
        <v>25</v>
      </c>
      <c r="M2" s="4" t="s">
        <v>23</v>
      </c>
      <c r="O2" s="4" t="s">
        <v>24</v>
      </c>
      <c r="Q2" s="4" t="s">
        <v>26</v>
      </c>
      <c r="S2" s="4" t="s">
        <v>27</v>
      </c>
      <c r="U2" s="4" t="s">
        <v>28</v>
      </c>
      <c r="W2" s="4" t="s">
        <v>29</v>
      </c>
      <c r="Y2" s="4" t="s">
        <v>30</v>
      </c>
      <c r="AA2" s="4" t="s">
        <v>31</v>
      </c>
      <c r="AC2" s="4" t="s">
        <v>31</v>
      </c>
      <c r="AE2" s="4" t="s">
        <v>32</v>
      </c>
      <c r="AG2" s="4" t="s">
        <v>33</v>
      </c>
      <c r="AI2" s="4" t="s">
        <v>34</v>
      </c>
      <c r="AK2" s="4" t="s">
        <v>35</v>
      </c>
      <c r="AM2" s="4" t="s">
        <v>36</v>
      </c>
      <c r="AO2" s="5" t="s">
        <v>37</v>
      </c>
    </row>
    <row r="3" spans="1:41" ht="15" customHeight="1" x14ac:dyDescent="0.35">
      <c r="A3" s="4" t="s">
        <v>38</v>
      </c>
      <c r="C3" s="4" t="s">
        <v>39</v>
      </c>
      <c r="E3" s="4" t="s">
        <v>14</v>
      </c>
      <c r="G3" s="4" t="s">
        <v>40</v>
      </c>
      <c r="I3" s="4" t="s">
        <v>41</v>
      </c>
      <c r="K3" s="4" t="s">
        <v>42</v>
      </c>
      <c r="M3" s="4" t="s">
        <v>40</v>
      </c>
      <c r="O3" s="4" t="s">
        <v>43</v>
      </c>
      <c r="Q3" s="4" t="s">
        <v>44</v>
      </c>
      <c r="S3" s="4" t="s">
        <v>45</v>
      </c>
      <c r="U3" s="4" t="s">
        <v>46</v>
      </c>
      <c r="W3" s="4" t="s">
        <v>47</v>
      </c>
      <c r="Y3" s="4" t="s">
        <v>48</v>
      </c>
      <c r="AA3" s="4" t="s">
        <v>49</v>
      </c>
      <c r="AC3" s="4" t="s">
        <v>49</v>
      </c>
      <c r="AE3" s="4" t="s">
        <v>50</v>
      </c>
      <c r="AG3" s="4" t="s">
        <v>51</v>
      </c>
      <c r="AI3" s="4" t="s">
        <v>52</v>
      </c>
      <c r="AK3" s="4" t="s">
        <v>53</v>
      </c>
      <c r="AO3" s="5" t="s">
        <v>54</v>
      </c>
    </row>
    <row r="4" spans="1:41" ht="15" customHeight="1" x14ac:dyDescent="0.35">
      <c r="A4" s="4" t="s">
        <v>55</v>
      </c>
      <c r="C4" s="4" t="s">
        <v>56</v>
      </c>
      <c r="E4" s="4" t="s">
        <v>15</v>
      </c>
      <c r="G4" s="4" t="s">
        <v>57</v>
      </c>
      <c r="I4" s="4" t="s">
        <v>58</v>
      </c>
      <c r="K4" s="4" t="s">
        <v>59</v>
      </c>
      <c r="M4" s="4" t="s">
        <v>60</v>
      </c>
      <c r="O4" s="4" t="s">
        <v>61</v>
      </c>
      <c r="Q4" s="4" t="s">
        <v>62</v>
      </c>
      <c r="S4" s="4" t="s">
        <v>63</v>
      </c>
      <c r="W4" s="4" t="s">
        <v>64</v>
      </c>
      <c r="Y4" s="4" t="s">
        <v>65</v>
      </c>
      <c r="AA4" s="4" t="s">
        <v>66</v>
      </c>
      <c r="AC4" s="4" t="s">
        <v>66</v>
      </c>
      <c r="AE4" s="4" t="s">
        <v>67</v>
      </c>
      <c r="AI4" s="4" t="s">
        <v>31</v>
      </c>
      <c r="AK4" s="4" t="s">
        <v>68</v>
      </c>
      <c r="AO4" s="5" t="s">
        <v>69</v>
      </c>
    </row>
    <row r="5" spans="1:41" ht="15" customHeight="1" x14ac:dyDescent="0.35">
      <c r="A5" s="4" t="s">
        <v>70</v>
      </c>
      <c r="C5" s="4" t="s">
        <v>71</v>
      </c>
      <c r="E5" s="4" t="s">
        <v>16</v>
      </c>
      <c r="G5" s="4" t="s">
        <v>72</v>
      </c>
      <c r="K5" s="4" t="s">
        <v>73</v>
      </c>
      <c r="Q5" s="4" t="s">
        <v>74</v>
      </c>
      <c r="W5" s="4" t="s">
        <v>75</v>
      </c>
      <c r="Y5" s="4" t="s">
        <v>76</v>
      </c>
    </row>
    <row r="6" spans="1:41" ht="15" customHeight="1" x14ac:dyDescent="0.35">
      <c r="A6" s="4" t="s">
        <v>77</v>
      </c>
      <c r="C6" s="4" t="s">
        <v>78</v>
      </c>
      <c r="E6" s="4" t="s">
        <v>17</v>
      </c>
      <c r="G6" s="4" t="s">
        <v>79</v>
      </c>
      <c r="K6" s="4" t="s">
        <v>80</v>
      </c>
      <c r="W6" s="4" t="s">
        <v>81</v>
      </c>
      <c r="Y6" s="4" t="s">
        <v>82</v>
      </c>
    </row>
    <row r="7" spans="1:41" ht="15" customHeight="1" x14ac:dyDescent="0.35">
      <c r="A7" s="4" t="s">
        <v>83</v>
      </c>
      <c r="E7" s="4" t="s">
        <v>18</v>
      </c>
      <c r="W7" s="4" t="s">
        <v>84</v>
      </c>
      <c r="Y7" s="4" t="s">
        <v>85</v>
      </c>
    </row>
    <row r="8" spans="1:41" ht="15" customHeight="1" x14ac:dyDescent="0.35">
      <c r="A8" s="4" t="s">
        <v>86</v>
      </c>
      <c r="E8" s="4" t="s">
        <v>19</v>
      </c>
      <c r="W8" s="4" t="s">
        <v>87</v>
      </c>
      <c r="Y8" s="4" t="s">
        <v>88</v>
      </c>
    </row>
    <row r="9" spans="1:41" ht="15" customHeight="1" x14ac:dyDescent="0.35">
      <c r="A9" s="28" t="s">
        <v>63</v>
      </c>
      <c r="Y9" s="4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K502"/>
  <sheetViews>
    <sheetView zoomScaleNormal="100" workbookViewId="0">
      <pane ySplit="2" topLeftCell="A41" activePane="bottomLeft" state="frozen"/>
      <selection pane="bottomLeft" activeCell="A50" sqref="A50"/>
    </sheetView>
  </sheetViews>
  <sheetFormatPr defaultColWidth="8.7265625" defaultRowHeight="14.5" x14ac:dyDescent="0.35"/>
  <cols>
    <col min="1" max="1" width="14" customWidth="1"/>
    <col min="2" max="2" width="22" customWidth="1"/>
    <col min="3" max="4" width="24" customWidth="1"/>
    <col min="5" max="5" width="18" customWidth="1"/>
    <col min="6" max="6" width="24" customWidth="1"/>
    <col min="7" max="7" width="22" customWidth="1"/>
    <col min="8" max="8" width="18" customWidth="1"/>
    <col min="9" max="9" width="20" customWidth="1"/>
    <col min="10" max="10" width="26.453125" bestFit="1" customWidth="1"/>
    <col min="11" max="11" width="14" customWidth="1"/>
  </cols>
  <sheetData>
    <row r="1" spans="1:11" ht="37.5" customHeight="1" x14ac:dyDescent="0.3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11</v>
      </c>
      <c r="H1" s="1" t="s">
        <v>12</v>
      </c>
      <c r="I1" s="1" t="s">
        <v>96</v>
      </c>
      <c r="J1" s="1" t="s">
        <v>97</v>
      </c>
      <c r="K1" s="1" t="s">
        <v>98</v>
      </c>
    </row>
    <row r="2" spans="1:11" ht="19.5" customHeight="1" x14ac:dyDescent="0.35">
      <c r="A2" s="38" t="s">
        <v>99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5" customHeight="1" x14ac:dyDescent="0.35">
      <c r="A3" t="s">
        <v>100</v>
      </c>
      <c r="B3" t="s">
        <v>101</v>
      </c>
      <c r="C3" t="s">
        <v>101</v>
      </c>
      <c r="D3" t="s">
        <v>102</v>
      </c>
      <c r="E3" t="s">
        <v>18</v>
      </c>
      <c r="F3" t="s">
        <v>35</v>
      </c>
      <c r="G3" t="s">
        <v>47</v>
      </c>
      <c r="H3" t="s">
        <v>76</v>
      </c>
      <c r="I3" t="s">
        <v>86</v>
      </c>
      <c r="J3" s="29" t="s">
        <v>103</v>
      </c>
      <c r="K3" s="6">
        <v>45891</v>
      </c>
    </row>
    <row r="4" spans="1:11" ht="15" customHeight="1" x14ac:dyDescent="0.35">
      <c r="A4" t="s">
        <v>104</v>
      </c>
      <c r="B4" t="s">
        <v>105</v>
      </c>
      <c r="C4" t="s">
        <v>106</v>
      </c>
      <c r="D4" t="s">
        <v>107</v>
      </c>
      <c r="E4" t="s">
        <v>17</v>
      </c>
      <c r="F4" t="s">
        <v>31</v>
      </c>
      <c r="G4" t="s">
        <v>108</v>
      </c>
      <c r="H4" t="s">
        <v>88</v>
      </c>
      <c r="I4" t="s">
        <v>86</v>
      </c>
      <c r="J4" s="29" t="s">
        <v>109</v>
      </c>
      <c r="K4" s="6">
        <v>45892</v>
      </c>
    </row>
    <row r="5" spans="1:11" ht="15" customHeight="1" x14ac:dyDescent="0.35">
      <c r="A5" t="s">
        <v>110</v>
      </c>
      <c r="B5" t="s">
        <v>111</v>
      </c>
      <c r="C5" t="s">
        <v>112</v>
      </c>
      <c r="D5" t="s">
        <v>113</v>
      </c>
      <c r="E5" t="s">
        <v>15</v>
      </c>
      <c r="F5" t="s">
        <v>67</v>
      </c>
      <c r="G5" t="s">
        <v>114</v>
      </c>
      <c r="H5" t="s">
        <v>88</v>
      </c>
      <c r="I5" t="s">
        <v>86</v>
      </c>
      <c r="J5" s="29" t="s">
        <v>115</v>
      </c>
      <c r="K5" s="6">
        <v>45893</v>
      </c>
    </row>
    <row r="6" spans="1:11" ht="15" customHeight="1" x14ac:dyDescent="0.35">
      <c r="A6" t="s">
        <v>116</v>
      </c>
      <c r="B6" t="s">
        <v>117</v>
      </c>
      <c r="C6" t="s">
        <v>117</v>
      </c>
      <c r="D6" t="s">
        <v>118</v>
      </c>
      <c r="E6" t="s">
        <v>15</v>
      </c>
      <c r="F6" t="s">
        <v>67</v>
      </c>
      <c r="G6" t="s">
        <v>114</v>
      </c>
      <c r="H6" t="s">
        <v>88</v>
      </c>
      <c r="I6" t="s">
        <v>63</v>
      </c>
      <c r="J6" s="29" t="s">
        <v>119</v>
      </c>
      <c r="K6" s="6">
        <v>45894</v>
      </c>
    </row>
    <row r="7" spans="1:11" ht="15" customHeight="1" x14ac:dyDescent="0.35">
      <c r="A7" t="s">
        <v>120</v>
      </c>
      <c r="B7" t="s">
        <v>121</v>
      </c>
      <c r="C7" t="s">
        <v>121</v>
      </c>
      <c r="D7" t="s">
        <v>122</v>
      </c>
      <c r="E7" t="s">
        <v>15</v>
      </c>
      <c r="F7" t="s">
        <v>67</v>
      </c>
      <c r="G7" t="s">
        <v>114</v>
      </c>
      <c r="H7" t="s">
        <v>88</v>
      </c>
      <c r="I7" t="s">
        <v>63</v>
      </c>
      <c r="J7" s="29" t="s">
        <v>123</v>
      </c>
      <c r="K7" s="6">
        <v>45894</v>
      </c>
    </row>
    <row r="8" spans="1:11" ht="15" customHeight="1" x14ac:dyDescent="0.35">
      <c r="A8" t="s">
        <v>124</v>
      </c>
      <c r="B8" t="s">
        <v>125</v>
      </c>
      <c r="C8" t="s">
        <v>126</v>
      </c>
      <c r="D8" t="s">
        <v>127</v>
      </c>
      <c r="E8" t="s">
        <v>15</v>
      </c>
      <c r="F8" t="s">
        <v>67</v>
      </c>
      <c r="G8" t="s">
        <v>114</v>
      </c>
      <c r="H8" t="s">
        <v>88</v>
      </c>
      <c r="I8" t="s">
        <v>86</v>
      </c>
      <c r="J8" s="29" t="s">
        <v>128</v>
      </c>
      <c r="K8" s="6">
        <v>45894</v>
      </c>
    </row>
    <row r="9" spans="1:11" ht="15" customHeight="1" x14ac:dyDescent="0.35">
      <c r="A9" t="s">
        <v>129</v>
      </c>
      <c r="B9" t="s">
        <v>105</v>
      </c>
      <c r="C9" t="s">
        <v>106</v>
      </c>
      <c r="D9" t="s">
        <v>130</v>
      </c>
      <c r="E9" t="s">
        <v>15</v>
      </c>
      <c r="F9" t="s">
        <v>32</v>
      </c>
      <c r="G9" t="s">
        <v>131</v>
      </c>
      <c r="H9" t="s">
        <v>88</v>
      </c>
      <c r="I9" t="s">
        <v>83</v>
      </c>
      <c r="J9" s="29" t="s">
        <v>132</v>
      </c>
      <c r="K9" s="6">
        <v>45894</v>
      </c>
    </row>
    <row r="10" spans="1:11" ht="15" customHeight="1" x14ac:dyDescent="0.35">
      <c r="A10" t="s">
        <v>133</v>
      </c>
      <c r="B10" t="s">
        <v>134</v>
      </c>
      <c r="C10" t="s">
        <v>135</v>
      </c>
      <c r="D10" t="s">
        <v>136</v>
      </c>
      <c r="E10" t="s">
        <v>18</v>
      </c>
      <c r="F10" t="s">
        <v>35</v>
      </c>
      <c r="G10" t="s">
        <v>29</v>
      </c>
      <c r="H10" t="s">
        <v>48</v>
      </c>
      <c r="I10" t="s">
        <v>86</v>
      </c>
      <c r="J10" s="30" t="s">
        <v>137</v>
      </c>
      <c r="K10" s="6">
        <v>45667</v>
      </c>
    </row>
    <row r="11" spans="1:11" ht="15" customHeight="1" x14ac:dyDescent="0.35">
      <c r="A11" t="s">
        <v>138</v>
      </c>
      <c r="B11" t="s">
        <v>139</v>
      </c>
      <c r="C11" t="s">
        <v>140</v>
      </c>
      <c r="D11" t="s">
        <v>141</v>
      </c>
      <c r="E11" t="s">
        <v>17</v>
      </c>
      <c r="F11" t="s">
        <v>34</v>
      </c>
      <c r="G11" t="s">
        <v>75</v>
      </c>
      <c r="H11" t="s">
        <v>88</v>
      </c>
      <c r="I11" t="s">
        <v>86</v>
      </c>
      <c r="J11" s="30" t="s">
        <v>142</v>
      </c>
      <c r="K11" s="6">
        <v>45675</v>
      </c>
    </row>
    <row r="12" spans="1:11" ht="15" customHeight="1" x14ac:dyDescent="0.35">
      <c r="A12" t="s">
        <v>143</v>
      </c>
      <c r="B12" t="s">
        <v>144</v>
      </c>
      <c r="C12" t="s">
        <v>145</v>
      </c>
      <c r="D12" t="s">
        <v>146</v>
      </c>
      <c r="E12" t="s">
        <v>19</v>
      </c>
      <c r="F12" t="s">
        <v>36</v>
      </c>
      <c r="G12" t="s">
        <v>64</v>
      </c>
      <c r="H12" t="s">
        <v>76</v>
      </c>
      <c r="I12" t="s">
        <v>86</v>
      </c>
      <c r="J12" s="30" t="s">
        <v>147</v>
      </c>
      <c r="K12" s="6">
        <v>45693</v>
      </c>
    </row>
    <row r="13" spans="1:11" ht="15" customHeight="1" x14ac:dyDescent="0.35">
      <c r="A13" t="s">
        <v>148</v>
      </c>
      <c r="B13" t="s">
        <v>149</v>
      </c>
      <c r="C13" t="s">
        <v>150</v>
      </c>
      <c r="D13" t="s">
        <v>151</v>
      </c>
      <c r="E13" t="s">
        <v>15</v>
      </c>
      <c r="F13" t="s">
        <v>32</v>
      </c>
      <c r="G13" t="s">
        <v>114</v>
      </c>
      <c r="H13" t="s">
        <v>85</v>
      </c>
      <c r="I13" t="s">
        <v>86</v>
      </c>
      <c r="J13" s="30" t="s">
        <v>152</v>
      </c>
      <c r="K13" s="6">
        <v>45702</v>
      </c>
    </row>
    <row r="14" spans="1:11" ht="15" customHeight="1" x14ac:dyDescent="0.35">
      <c r="A14" t="s">
        <v>153</v>
      </c>
      <c r="B14" t="s">
        <v>154</v>
      </c>
      <c r="C14" t="s">
        <v>155</v>
      </c>
      <c r="D14" t="s">
        <v>156</v>
      </c>
      <c r="E14" t="s">
        <v>16</v>
      </c>
      <c r="F14" t="s">
        <v>53</v>
      </c>
      <c r="G14" t="s">
        <v>87</v>
      </c>
      <c r="H14" t="s">
        <v>65</v>
      </c>
      <c r="I14" t="s">
        <v>86</v>
      </c>
      <c r="J14" s="30" t="s">
        <v>157</v>
      </c>
      <c r="K14" s="6">
        <v>45718</v>
      </c>
    </row>
    <row r="15" spans="1:11" ht="15" customHeight="1" x14ac:dyDescent="0.35">
      <c r="A15" t="s">
        <v>158</v>
      </c>
      <c r="B15" t="s">
        <v>159</v>
      </c>
      <c r="C15" t="s">
        <v>160</v>
      </c>
      <c r="D15" t="s">
        <v>161</v>
      </c>
      <c r="E15" t="s">
        <v>17</v>
      </c>
      <c r="F15" t="s">
        <v>52</v>
      </c>
      <c r="G15" t="s">
        <v>81</v>
      </c>
      <c r="H15" t="s">
        <v>48</v>
      </c>
      <c r="I15" t="s">
        <v>86</v>
      </c>
      <c r="J15" s="30" t="s">
        <v>162</v>
      </c>
      <c r="K15" s="6">
        <v>45736</v>
      </c>
    </row>
    <row r="16" spans="1:11" ht="15" customHeight="1" x14ac:dyDescent="0.35">
      <c r="A16" t="s">
        <v>163</v>
      </c>
      <c r="B16" t="s">
        <v>164</v>
      </c>
      <c r="C16" t="s">
        <v>165</v>
      </c>
      <c r="D16" t="s">
        <v>166</v>
      </c>
      <c r="E16" t="s">
        <v>15</v>
      </c>
      <c r="F16" t="s">
        <v>67</v>
      </c>
      <c r="G16" t="s">
        <v>114</v>
      </c>
      <c r="H16" t="s">
        <v>82</v>
      </c>
      <c r="I16" t="s">
        <v>86</v>
      </c>
      <c r="J16" s="30" t="s">
        <v>167</v>
      </c>
      <c r="K16" s="6">
        <v>45755</v>
      </c>
    </row>
    <row r="17" spans="1:11" ht="15" customHeight="1" x14ac:dyDescent="0.35">
      <c r="A17" t="s">
        <v>168</v>
      </c>
      <c r="B17" t="s">
        <v>169</v>
      </c>
      <c r="C17" t="s">
        <v>170</v>
      </c>
      <c r="D17" t="s">
        <v>171</v>
      </c>
      <c r="E17" t="s">
        <v>13</v>
      </c>
      <c r="F17" t="s">
        <v>49</v>
      </c>
      <c r="G17" t="s">
        <v>84</v>
      </c>
      <c r="H17" t="s">
        <v>88</v>
      </c>
      <c r="I17" t="s">
        <v>86</v>
      </c>
      <c r="J17" s="30" t="s">
        <v>172</v>
      </c>
      <c r="K17" s="6">
        <v>45769</v>
      </c>
    </row>
    <row r="18" spans="1:11" ht="15" customHeight="1" x14ac:dyDescent="0.35">
      <c r="A18" t="s">
        <v>173</v>
      </c>
      <c r="B18" t="s">
        <v>174</v>
      </c>
      <c r="C18" t="s">
        <v>175</v>
      </c>
      <c r="D18" t="s">
        <v>176</v>
      </c>
      <c r="E18" t="s">
        <v>16</v>
      </c>
      <c r="F18" t="s">
        <v>51</v>
      </c>
      <c r="G18" t="s">
        <v>47</v>
      </c>
      <c r="H18" t="s">
        <v>48</v>
      </c>
      <c r="I18" t="s">
        <v>86</v>
      </c>
      <c r="J18" s="30" t="s">
        <v>177</v>
      </c>
      <c r="K18" s="6">
        <v>45783</v>
      </c>
    </row>
    <row r="19" spans="1:11" ht="15" customHeight="1" x14ac:dyDescent="0.35">
      <c r="A19" t="s">
        <v>178</v>
      </c>
      <c r="B19" t="s">
        <v>179</v>
      </c>
      <c r="C19" t="s">
        <v>180</v>
      </c>
      <c r="D19" t="s">
        <v>181</v>
      </c>
      <c r="E19" t="s">
        <v>18</v>
      </c>
      <c r="F19" t="s">
        <v>53</v>
      </c>
      <c r="G19" t="s">
        <v>29</v>
      </c>
      <c r="H19" t="s">
        <v>76</v>
      </c>
      <c r="I19" t="s">
        <v>86</v>
      </c>
      <c r="J19" s="30" t="s">
        <v>182</v>
      </c>
      <c r="K19" s="6">
        <v>45796</v>
      </c>
    </row>
    <row r="20" spans="1:11" ht="15" customHeight="1" x14ac:dyDescent="0.35">
      <c r="A20" t="s">
        <v>183</v>
      </c>
      <c r="B20" t="s">
        <v>184</v>
      </c>
      <c r="C20" t="s">
        <v>185</v>
      </c>
      <c r="D20" t="s">
        <v>186</v>
      </c>
      <c r="E20" t="s">
        <v>15</v>
      </c>
      <c r="F20" t="s">
        <v>50</v>
      </c>
      <c r="G20" t="s">
        <v>114</v>
      </c>
      <c r="H20" t="s">
        <v>85</v>
      </c>
      <c r="I20" t="s">
        <v>63</v>
      </c>
      <c r="J20" s="30" t="s">
        <v>187</v>
      </c>
      <c r="K20" s="6">
        <v>45811</v>
      </c>
    </row>
    <row r="21" spans="1:11" ht="15" customHeight="1" x14ac:dyDescent="0.35">
      <c r="A21" t="s">
        <v>188</v>
      </c>
      <c r="B21" t="s">
        <v>189</v>
      </c>
      <c r="C21" t="s">
        <v>190</v>
      </c>
      <c r="D21" t="s">
        <v>191</v>
      </c>
      <c r="E21" t="s">
        <v>17</v>
      </c>
      <c r="F21" t="s">
        <v>34</v>
      </c>
      <c r="G21" t="s">
        <v>75</v>
      </c>
      <c r="H21" t="s">
        <v>65</v>
      </c>
      <c r="I21" t="s">
        <v>86</v>
      </c>
      <c r="J21" s="30" t="s">
        <v>192</v>
      </c>
      <c r="K21" s="6">
        <v>45825</v>
      </c>
    </row>
    <row r="22" spans="1:11" ht="15" customHeight="1" x14ac:dyDescent="0.35">
      <c r="A22" t="s">
        <v>193</v>
      </c>
      <c r="B22" t="s">
        <v>194</v>
      </c>
      <c r="C22" t="s">
        <v>195</v>
      </c>
      <c r="D22" t="s">
        <v>196</v>
      </c>
      <c r="E22" t="s">
        <v>19</v>
      </c>
      <c r="F22" t="s">
        <v>36</v>
      </c>
      <c r="G22" t="s">
        <v>64</v>
      </c>
      <c r="H22" t="s">
        <v>88</v>
      </c>
      <c r="I22" t="s">
        <v>86</v>
      </c>
      <c r="J22" s="30" t="s">
        <v>197</v>
      </c>
      <c r="K22" s="6">
        <v>45839</v>
      </c>
    </row>
    <row r="23" spans="1:11" ht="15" customHeight="1" x14ac:dyDescent="0.35">
      <c r="A23" t="s">
        <v>198</v>
      </c>
      <c r="B23" t="s">
        <v>199</v>
      </c>
      <c r="C23" t="s">
        <v>200</v>
      </c>
      <c r="D23" t="s">
        <v>201</v>
      </c>
      <c r="E23" t="s">
        <v>13</v>
      </c>
      <c r="F23" t="s">
        <v>66</v>
      </c>
      <c r="G23" t="s">
        <v>84</v>
      </c>
      <c r="H23" t="s">
        <v>48</v>
      </c>
      <c r="I23" t="s">
        <v>86</v>
      </c>
      <c r="J23" s="30" t="s">
        <v>202</v>
      </c>
      <c r="K23" s="6">
        <v>45853</v>
      </c>
    </row>
    <row r="24" spans="1:11" ht="15" customHeight="1" x14ac:dyDescent="0.35">
      <c r="A24" t="s">
        <v>203</v>
      </c>
      <c r="B24" t="s">
        <v>204</v>
      </c>
      <c r="C24" t="s">
        <v>205</v>
      </c>
      <c r="D24" t="s">
        <v>206</v>
      </c>
      <c r="E24" t="s">
        <v>15</v>
      </c>
      <c r="F24" t="s">
        <v>67</v>
      </c>
      <c r="G24" t="s">
        <v>114</v>
      </c>
      <c r="H24" t="s">
        <v>82</v>
      </c>
      <c r="I24" t="s">
        <v>63</v>
      </c>
      <c r="J24" s="30" t="s">
        <v>207</v>
      </c>
      <c r="K24" s="6">
        <v>45867</v>
      </c>
    </row>
    <row r="25" spans="1:11" ht="15" customHeight="1" x14ac:dyDescent="0.35">
      <c r="A25" t="s">
        <v>208</v>
      </c>
      <c r="B25" t="s">
        <v>209</v>
      </c>
      <c r="C25" t="s">
        <v>210</v>
      </c>
      <c r="D25" t="s">
        <v>211</v>
      </c>
      <c r="E25" t="s">
        <v>18</v>
      </c>
      <c r="F25" t="s">
        <v>35</v>
      </c>
      <c r="G25" t="s">
        <v>29</v>
      </c>
      <c r="H25" t="s">
        <v>88</v>
      </c>
      <c r="I25" t="s">
        <v>86</v>
      </c>
      <c r="J25" s="30" t="s">
        <v>212</v>
      </c>
      <c r="K25" s="6">
        <v>45874</v>
      </c>
    </row>
    <row r="26" spans="1:11" ht="15" customHeight="1" x14ac:dyDescent="0.35">
      <c r="A26" t="s">
        <v>213</v>
      </c>
      <c r="B26" t="s">
        <v>214</v>
      </c>
      <c r="C26" t="s">
        <v>215</v>
      </c>
      <c r="D26" t="s">
        <v>216</v>
      </c>
      <c r="E26" t="s">
        <v>17</v>
      </c>
      <c r="F26" t="s">
        <v>52</v>
      </c>
      <c r="G26" t="s">
        <v>81</v>
      </c>
      <c r="H26" t="s">
        <v>76</v>
      </c>
      <c r="I26" t="s">
        <v>86</v>
      </c>
      <c r="J26" s="30" t="s">
        <v>217</v>
      </c>
      <c r="K26" s="6">
        <v>45881</v>
      </c>
    </row>
    <row r="27" spans="1:11" ht="15" customHeight="1" x14ac:dyDescent="0.35">
      <c r="A27" t="s">
        <v>218</v>
      </c>
      <c r="B27" t="s">
        <v>219</v>
      </c>
      <c r="C27" t="s">
        <v>220</v>
      </c>
      <c r="D27" t="s">
        <v>221</v>
      </c>
      <c r="E27" t="s">
        <v>16</v>
      </c>
      <c r="F27" t="s">
        <v>33</v>
      </c>
      <c r="G27" t="s">
        <v>87</v>
      </c>
      <c r="H27" t="s">
        <v>65</v>
      </c>
      <c r="I27" t="s">
        <v>86</v>
      </c>
      <c r="J27" s="30" t="s">
        <v>222</v>
      </c>
      <c r="K27" s="6">
        <v>45901</v>
      </c>
    </row>
    <row r="28" spans="1:11" ht="15" customHeight="1" x14ac:dyDescent="0.35">
      <c r="A28" t="s">
        <v>223</v>
      </c>
      <c r="B28" t="s">
        <v>224</v>
      </c>
      <c r="C28" t="s">
        <v>225</v>
      </c>
      <c r="D28" t="s">
        <v>226</v>
      </c>
      <c r="E28" t="s">
        <v>19</v>
      </c>
      <c r="F28" t="s">
        <v>36</v>
      </c>
      <c r="G28" t="s">
        <v>64</v>
      </c>
      <c r="H28" t="s">
        <v>48</v>
      </c>
      <c r="I28" t="s">
        <v>86</v>
      </c>
      <c r="J28" s="30" t="s">
        <v>227</v>
      </c>
      <c r="K28" s="6">
        <v>45910</v>
      </c>
    </row>
    <row r="29" spans="1:11" ht="15" customHeight="1" x14ac:dyDescent="0.35">
      <c r="A29" t="s">
        <v>228</v>
      </c>
      <c r="B29" t="s">
        <v>229</v>
      </c>
      <c r="C29" t="s">
        <v>230</v>
      </c>
      <c r="D29" t="s">
        <v>231</v>
      </c>
      <c r="E29" t="s">
        <v>13</v>
      </c>
      <c r="F29" t="s">
        <v>31</v>
      </c>
      <c r="G29" t="s">
        <v>84</v>
      </c>
      <c r="H29" t="s">
        <v>88</v>
      </c>
      <c r="I29" t="s">
        <v>86</v>
      </c>
      <c r="J29" t="s">
        <v>232</v>
      </c>
      <c r="K29" s="6">
        <v>45922</v>
      </c>
    </row>
    <row r="30" spans="1:11" ht="15" customHeight="1" x14ac:dyDescent="0.35">
      <c r="A30" t="s">
        <v>233</v>
      </c>
      <c r="B30" t="s">
        <v>234</v>
      </c>
      <c r="C30" t="s">
        <v>235</v>
      </c>
      <c r="D30" t="s">
        <v>236</v>
      </c>
      <c r="E30" t="s">
        <v>14</v>
      </c>
      <c r="F30" t="s">
        <v>49</v>
      </c>
      <c r="G30" t="s">
        <v>47</v>
      </c>
      <c r="H30" t="s">
        <v>85</v>
      </c>
      <c r="I30" t="s">
        <v>86</v>
      </c>
      <c r="J30" t="s">
        <v>237</v>
      </c>
      <c r="K30" s="6">
        <v>45936</v>
      </c>
    </row>
    <row r="31" spans="1:11" ht="15" customHeight="1" x14ac:dyDescent="0.35">
      <c r="A31" t="s">
        <v>238</v>
      </c>
      <c r="B31" t="s">
        <v>239</v>
      </c>
      <c r="C31" t="s">
        <v>240</v>
      </c>
      <c r="D31" t="s">
        <v>241</v>
      </c>
      <c r="E31" t="s">
        <v>18</v>
      </c>
      <c r="F31" t="s">
        <v>35</v>
      </c>
      <c r="G31" t="s">
        <v>29</v>
      </c>
      <c r="H31" t="s">
        <v>76</v>
      </c>
      <c r="I31" t="s">
        <v>86</v>
      </c>
      <c r="J31" t="s">
        <v>242</v>
      </c>
      <c r="K31" s="6">
        <v>45950</v>
      </c>
    </row>
    <row r="32" spans="1:11" ht="15" customHeight="1" x14ac:dyDescent="0.35">
      <c r="A32" t="s">
        <v>243</v>
      </c>
      <c r="B32" t="s">
        <v>244</v>
      </c>
      <c r="C32" t="s">
        <v>245</v>
      </c>
      <c r="D32" t="s">
        <v>246</v>
      </c>
      <c r="E32" t="s">
        <v>15</v>
      </c>
      <c r="F32" t="s">
        <v>32</v>
      </c>
      <c r="G32" t="s">
        <v>114</v>
      </c>
      <c r="H32" t="s">
        <v>65</v>
      </c>
      <c r="I32" t="s">
        <v>63</v>
      </c>
      <c r="J32" t="s">
        <v>247</v>
      </c>
      <c r="K32" s="6">
        <v>45965</v>
      </c>
    </row>
    <row r="33" spans="1:11" ht="15" customHeight="1" x14ac:dyDescent="0.35">
      <c r="A33" t="s">
        <v>248</v>
      </c>
      <c r="B33" t="s">
        <v>249</v>
      </c>
      <c r="C33" t="s">
        <v>250</v>
      </c>
      <c r="D33" t="s">
        <v>251</v>
      </c>
      <c r="E33" t="s">
        <v>17</v>
      </c>
      <c r="F33" t="s">
        <v>34</v>
      </c>
      <c r="G33" t="s">
        <v>75</v>
      </c>
      <c r="H33" t="s">
        <v>48</v>
      </c>
      <c r="I33" t="s">
        <v>86</v>
      </c>
      <c r="J33" t="s">
        <v>252</v>
      </c>
      <c r="K33" s="6">
        <v>45979</v>
      </c>
    </row>
    <row r="34" spans="1:11" ht="15" customHeight="1" x14ac:dyDescent="0.35">
      <c r="A34" t="s">
        <v>253</v>
      </c>
      <c r="B34" t="s">
        <v>254</v>
      </c>
      <c r="C34" t="s">
        <v>255</v>
      </c>
      <c r="D34" t="s">
        <v>256</v>
      </c>
      <c r="E34" t="s">
        <v>19</v>
      </c>
      <c r="F34" t="s">
        <v>36</v>
      </c>
      <c r="G34" t="s">
        <v>64</v>
      </c>
      <c r="H34" t="s">
        <v>88</v>
      </c>
      <c r="I34" t="s">
        <v>86</v>
      </c>
      <c r="J34" t="s">
        <v>257</v>
      </c>
      <c r="K34" s="6">
        <v>45993</v>
      </c>
    </row>
    <row r="35" spans="1:11" ht="15" customHeight="1" x14ac:dyDescent="0.35">
      <c r="A35" t="s">
        <v>258</v>
      </c>
      <c r="B35" t="s">
        <v>259</v>
      </c>
      <c r="C35" t="s">
        <v>260</v>
      </c>
      <c r="D35" t="s">
        <v>261</v>
      </c>
      <c r="E35" t="s">
        <v>16</v>
      </c>
      <c r="F35" t="s">
        <v>53</v>
      </c>
      <c r="G35" t="s">
        <v>87</v>
      </c>
      <c r="H35" t="s">
        <v>82</v>
      </c>
      <c r="I35" t="s">
        <v>86</v>
      </c>
      <c r="J35" t="s">
        <v>262</v>
      </c>
      <c r="K35" s="6">
        <v>46006</v>
      </c>
    </row>
    <row r="36" spans="1:11" ht="15" customHeight="1" x14ac:dyDescent="0.35">
      <c r="A36" t="s">
        <v>263</v>
      </c>
      <c r="B36" t="s">
        <v>264</v>
      </c>
      <c r="C36" t="s">
        <v>265</v>
      </c>
      <c r="D36" t="s">
        <v>266</v>
      </c>
      <c r="E36" t="s">
        <v>13</v>
      </c>
      <c r="F36" t="s">
        <v>66</v>
      </c>
      <c r="G36" t="s">
        <v>84</v>
      </c>
      <c r="H36" t="s">
        <v>48</v>
      </c>
      <c r="I36" t="s">
        <v>86</v>
      </c>
      <c r="J36" t="s">
        <v>267</v>
      </c>
      <c r="K36" s="6">
        <v>46013</v>
      </c>
    </row>
    <row r="37" spans="1:11" ht="15" customHeight="1" x14ac:dyDescent="0.35">
      <c r="A37" t="s">
        <v>268</v>
      </c>
      <c r="B37" t="s">
        <v>269</v>
      </c>
      <c r="C37" t="s">
        <v>270</v>
      </c>
      <c r="D37" t="s">
        <v>271</v>
      </c>
      <c r="E37" t="s">
        <v>15</v>
      </c>
      <c r="F37" t="s">
        <v>50</v>
      </c>
      <c r="G37" t="s">
        <v>114</v>
      </c>
      <c r="H37" t="s">
        <v>76</v>
      </c>
      <c r="I37" t="s">
        <v>86</v>
      </c>
      <c r="J37" t="s">
        <v>272</v>
      </c>
      <c r="K37" s="6">
        <v>46020</v>
      </c>
    </row>
    <row r="38" spans="1:11" ht="15" customHeight="1" x14ac:dyDescent="0.35">
      <c r="A38" t="s">
        <v>273</v>
      </c>
      <c r="B38" t="s">
        <v>274</v>
      </c>
      <c r="C38" t="s">
        <v>275</v>
      </c>
      <c r="D38" t="s">
        <v>276</v>
      </c>
      <c r="E38" t="s">
        <v>15</v>
      </c>
      <c r="F38" t="s">
        <v>67</v>
      </c>
      <c r="G38" t="s">
        <v>114</v>
      </c>
      <c r="H38" t="s">
        <v>65</v>
      </c>
      <c r="I38" t="s">
        <v>86</v>
      </c>
      <c r="J38" t="s">
        <v>277</v>
      </c>
      <c r="K38" s="6">
        <v>46022</v>
      </c>
    </row>
    <row r="39" spans="1:11" ht="15" customHeight="1" x14ac:dyDescent="0.35">
      <c r="A39" t="s">
        <v>278</v>
      </c>
      <c r="B39" t="s">
        <v>279</v>
      </c>
      <c r="C39" t="s">
        <v>280</v>
      </c>
      <c r="D39" t="s">
        <v>281</v>
      </c>
      <c r="E39" t="s">
        <v>14</v>
      </c>
      <c r="F39" t="s">
        <v>31</v>
      </c>
      <c r="G39" t="s">
        <v>47</v>
      </c>
      <c r="H39" t="s">
        <v>88</v>
      </c>
      <c r="I39" t="s">
        <v>86</v>
      </c>
      <c r="J39" t="s">
        <v>282</v>
      </c>
      <c r="K39" s="6">
        <v>46022</v>
      </c>
    </row>
    <row r="40" spans="1:11" ht="15" customHeight="1" x14ac:dyDescent="0.35">
      <c r="A40" t="s">
        <v>283</v>
      </c>
      <c r="B40" t="s">
        <v>284</v>
      </c>
      <c r="C40" t="s">
        <v>285</v>
      </c>
      <c r="D40" t="s">
        <v>286</v>
      </c>
      <c r="E40" t="s">
        <v>18</v>
      </c>
      <c r="F40" t="s">
        <v>35</v>
      </c>
      <c r="G40" t="s">
        <v>29</v>
      </c>
      <c r="H40" t="s">
        <v>48</v>
      </c>
      <c r="I40" t="s">
        <v>86</v>
      </c>
      <c r="J40" t="s">
        <v>287</v>
      </c>
      <c r="K40" s="6">
        <v>46030</v>
      </c>
    </row>
    <row r="41" spans="1:11" ht="15" customHeight="1" x14ac:dyDescent="0.35">
      <c r="A41" t="s">
        <v>288</v>
      </c>
      <c r="B41" t="s">
        <v>289</v>
      </c>
      <c r="C41" t="s">
        <v>290</v>
      </c>
      <c r="D41" t="s">
        <v>291</v>
      </c>
      <c r="E41" t="s">
        <v>13</v>
      </c>
      <c r="F41" t="s">
        <v>66</v>
      </c>
      <c r="G41" t="s">
        <v>84</v>
      </c>
      <c r="H41" t="s">
        <v>88</v>
      </c>
      <c r="I41" t="s">
        <v>86</v>
      </c>
      <c r="J41" t="s">
        <v>292</v>
      </c>
      <c r="K41" s="6">
        <v>46044</v>
      </c>
    </row>
    <row r="42" spans="1:11" ht="15" customHeight="1" x14ac:dyDescent="0.35">
      <c r="A42" t="s">
        <v>293</v>
      </c>
      <c r="B42" t="s">
        <v>294</v>
      </c>
      <c r="C42" t="s">
        <v>295</v>
      </c>
      <c r="D42" t="s">
        <v>296</v>
      </c>
      <c r="E42" t="s">
        <v>19</v>
      </c>
      <c r="F42" t="s">
        <v>36</v>
      </c>
      <c r="G42" t="s">
        <v>64</v>
      </c>
      <c r="H42" t="s">
        <v>76</v>
      </c>
      <c r="I42" t="s">
        <v>86</v>
      </c>
      <c r="J42" t="s">
        <v>297</v>
      </c>
      <c r="K42" s="6">
        <v>46058</v>
      </c>
    </row>
    <row r="43" spans="1:11" ht="15" customHeight="1" x14ac:dyDescent="0.35">
      <c r="A43" t="s">
        <v>298</v>
      </c>
      <c r="B43" t="s">
        <v>299</v>
      </c>
      <c r="C43" t="s">
        <v>300</v>
      </c>
      <c r="D43" t="s">
        <v>301</v>
      </c>
      <c r="E43" t="s">
        <v>16</v>
      </c>
      <c r="F43" t="s">
        <v>33</v>
      </c>
      <c r="G43" t="s">
        <v>87</v>
      </c>
      <c r="H43" t="s">
        <v>65</v>
      </c>
      <c r="I43" t="s">
        <v>86</v>
      </c>
      <c r="J43" t="s">
        <v>302</v>
      </c>
      <c r="K43" s="6">
        <v>46067</v>
      </c>
    </row>
    <row r="44" spans="1:11" ht="15" customHeight="1" x14ac:dyDescent="0.35">
      <c r="A44" t="s">
        <v>303</v>
      </c>
      <c r="B44" t="s">
        <v>304</v>
      </c>
      <c r="C44" t="s">
        <v>305</v>
      </c>
      <c r="D44" t="s">
        <v>306</v>
      </c>
      <c r="E44" t="s">
        <v>15</v>
      </c>
      <c r="F44" t="s">
        <v>67</v>
      </c>
      <c r="G44" t="s">
        <v>114</v>
      </c>
      <c r="H44" t="s">
        <v>82</v>
      </c>
      <c r="I44" t="s">
        <v>55</v>
      </c>
      <c r="J44" t="s">
        <v>307</v>
      </c>
      <c r="K44" s="6">
        <v>46073</v>
      </c>
    </row>
    <row r="45" spans="1:11" ht="15" customHeight="1" x14ac:dyDescent="0.35">
      <c r="A45" t="s">
        <v>308</v>
      </c>
      <c r="B45" t="s">
        <v>309</v>
      </c>
      <c r="C45" t="s">
        <v>310</v>
      </c>
      <c r="D45" t="s">
        <v>311</v>
      </c>
      <c r="E45" t="s">
        <v>14</v>
      </c>
      <c r="F45" t="s">
        <v>49</v>
      </c>
      <c r="G45" t="s">
        <v>47</v>
      </c>
      <c r="H45" t="s">
        <v>48</v>
      </c>
      <c r="I45" t="s">
        <v>70</v>
      </c>
      <c r="J45" t="s">
        <v>312</v>
      </c>
      <c r="K45" s="6">
        <v>46078</v>
      </c>
    </row>
    <row r="46" spans="1:11" ht="15" customHeight="1" x14ac:dyDescent="0.35">
      <c r="A46" t="s">
        <v>313</v>
      </c>
      <c r="B46" t="s">
        <v>314</v>
      </c>
      <c r="C46" t="s">
        <v>315</v>
      </c>
      <c r="D46" t="s">
        <v>316</v>
      </c>
      <c r="E46" t="s">
        <v>17</v>
      </c>
      <c r="F46" t="s">
        <v>34</v>
      </c>
      <c r="G46" t="s">
        <v>75</v>
      </c>
      <c r="H46" t="s">
        <v>88</v>
      </c>
      <c r="I46" t="s">
        <v>77</v>
      </c>
      <c r="J46" t="s">
        <v>317</v>
      </c>
      <c r="K46" s="6">
        <v>46082</v>
      </c>
    </row>
    <row r="47" spans="1:11" ht="15" customHeight="1" x14ac:dyDescent="0.35">
      <c r="A47" t="s">
        <v>318</v>
      </c>
      <c r="B47" t="s">
        <v>319</v>
      </c>
      <c r="C47" t="s">
        <v>320</v>
      </c>
      <c r="D47" t="s">
        <v>321</v>
      </c>
      <c r="E47" t="s">
        <v>15</v>
      </c>
      <c r="F47" t="s">
        <v>32</v>
      </c>
      <c r="G47" t="s">
        <v>114</v>
      </c>
      <c r="H47" t="s">
        <v>65</v>
      </c>
      <c r="I47" t="s">
        <v>21</v>
      </c>
      <c r="J47" t="s">
        <v>322</v>
      </c>
      <c r="K47" s="6">
        <v>46085</v>
      </c>
    </row>
    <row r="48" spans="1:11" ht="15" customHeight="1" x14ac:dyDescent="0.35">
      <c r="A48" t="s">
        <v>323</v>
      </c>
      <c r="B48" t="s">
        <v>324</v>
      </c>
      <c r="C48" t="s">
        <v>325</v>
      </c>
      <c r="D48" t="s">
        <v>326</v>
      </c>
      <c r="E48" t="s">
        <v>17</v>
      </c>
      <c r="F48" t="s">
        <v>52</v>
      </c>
      <c r="G48" t="s">
        <v>81</v>
      </c>
      <c r="H48" t="s">
        <v>76</v>
      </c>
      <c r="I48" t="s">
        <v>21</v>
      </c>
      <c r="J48" t="s">
        <v>327</v>
      </c>
      <c r="K48" s="6">
        <v>46087</v>
      </c>
    </row>
    <row r="49" spans="1:11" ht="15" customHeight="1" x14ac:dyDescent="0.35">
      <c r="A49" t="s">
        <v>328</v>
      </c>
      <c r="B49" t="s">
        <v>329</v>
      </c>
      <c r="C49" t="s">
        <v>330</v>
      </c>
      <c r="D49" t="s">
        <v>331</v>
      </c>
      <c r="E49" t="s">
        <v>18</v>
      </c>
      <c r="F49" t="s">
        <v>53</v>
      </c>
      <c r="G49" t="s">
        <v>29</v>
      </c>
      <c r="H49" t="s">
        <v>82</v>
      </c>
      <c r="I49" t="s">
        <v>21</v>
      </c>
      <c r="J49" t="s">
        <v>332</v>
      </c>
      <c r="K49" s="6">
        <v>46087</v>
      </c>
    </row>
    <row r="50" spans="1:11" ht="15" customHeight="1" x14ac:dyDescent="0.35">
      <c r="K50" s="6" t="str">
        <f t="shared" ref="K50:K113" ca="1" si="0">IF(B50="","",TODAY())</f>
        <v/>
      </c>
    </row>
    <row r="51" spans="1:11" ht="15" customHeight="1" x14ac:dyDescent="0.35">
      <c r="A51" t="str">
        <f t="shared" ref="A51:A114" si="1">IF(B51="","","L"&amp;TEXT(ROW()-2,"000"))</f>
        <v/>
      </c>
      <c r="K51" s="6" t="str">
        <f t="shared" ca="1" si="0"/>
        <v/>
      </c>
    </row>
    <row r="52" spans="1:11" ht="15" customHeight="1" x14ac:dyDescent="0.35">
      <c r="A52" t="str">
        <f t="shared" si="1"/>
        <v/>
      </c>
      <c r="K52" s="6" t="str">
        <f t="shared" ca="1" si="0"/>
        <v/>
      </c>
    </row>
    <row r="53" spans="1:11" ht="15" customHeight="1" x14ac:dyDescent="0.35">
      <c r="A53" t="str">
        <f t="shared" si="1"/>
        <v/>
      </c>
      <c r="K53" s="6" t="str">
        <f t="shared" ca="1" si="0"/>
        <v/>
      </c>
    </row>
    <row r="54" spans="1:11" ht="15" customHeight="1" x14ac:dyDescent="0.35">
      <c r="A54" t="str">
        <f t="shared" si="1"/>
        <v/>
      </c>
      <c r="K54" s="6" t="str">
        <f t="shared" ca="1" si="0"/>
        <v/>
      </c>
    </row>
    <row r="55" spans="1:11" ht="15" customHeight="1" x14ac:dyDescent="0.35">
      <c r="A55" t="str">
        <f t="shared" si="1"/>
        <v/>
      </c>
      <c r="K55" s="6" t="str">
        <f t="shared" ca="1" si="0"/>
        <v/>
      </c>
    </row>
    <row r="56" spans="1:11" ht="15" customHeight="1" x14ac:dyDescent="0.35">
      <c r="A56" t="str">
        <f t="shared" si="1"/>
        <v/>
      </c>
      <c r="K56" s="6" t="str">
        <f t="shared" ca="1" si="0"/>
        <v/>
      </c>
    </row>
    <row r="57" spans="1:11" ht="15" customHeight="1" x14ac:dyDescent="0.35">
      <c r="A57" t="str">
        <f t="shared" si="1"/>
        <v/>
      </c>
      <c r="K57" s="6" t="str">
        <f t="shared" ca="1" si="0"/>
        <v/>
      </c>
    </row>
    <row r="58" spans="1:11" ht="15" customHeight="1" x14ac:dyDescent="0.35">
      <c r="A58" t="str">
        <f t="shared" si="1"/>
        <v/>
      </c>
      <c r="K58" s="6" t="str">
        <f t="shared" ca="1" si="0"/>
        <v/>
      </c>
    </row>
    <row r="59" spans="1:11" ht="15" customHeight="1" x14ac:dyDescent="0.35">
      <c r="A59" t="str">
        <f t="shared" si="1"/>
        <v/>
      </c>
      <c r="K59" s="6" t="str">
        <f t="shared" ca="1" si="0"/>
        <v/>
      </c>
    </row>
    <row r="60" spans="1:11" ht="15" customHeight="1" x14ac:dyDescent="0.35">
      <c r="A60" t="str">
        <f t="shared" si="1"/>
        <v/>
      </c>
      <c r="K60" s="6" t="str">
        <f t="shared" ca="1" si="0"/>
        <v/>
      </c>
    </row>
    <row r="61" spans="1:11" ht="15" customHeight="1" x14ac:dyDescent="0.35">
      <c r="A61" t="str">
        <f t="shared" si="1"/>
        <v/>
      </c>
      <c r="K61" s="6" t="str">
        <f t="shared" ca="1" si="0"/>
        <v/>
      </c>
    </row>
    <row r="62" spans="1:11" ht="15" customHeight="1" x14ac:dyDescent="0.35">
      <c r="A62" t="str">
        <f t="shared" si="1"/>
        <v/>
      </c>
      <c r="K62" s="6" t="str">
        <f t="shared" ca="1" si="0"/>
        <v/>
      </c>
    </row>
    <row r="63" spans="1:11" ht="15" customHeight="1" x14ac:dyDescent="0.35">
      <c r="A63" t="str">
        <f t="shared" si="1"/>
        <v/>
      </c>
      <c r="K63" s="6" t="str">
        <f t="shared" ca="1" si="0"/>
        <v/>
      </c>
    </row>
    <row r="64" spans="1:11" ht="15" customHeight="1" x14ac:dyDescent="0.35">
      <c r="A64" t="str">
        <f t="shared" si="1"/>
        <v/>
      </c>
      <c r="K64" s="6" t="str">
        <f t="shared" ca="1" si="0"/>
        <v/>
      </c>
    </row>
    <row r="65" spans="1:11" ht="15" customHeight="1" x14ac:dyDescent="0.35">
      <c r="A65" t="str">
        <f t="shared" si="1"/>
        <v/>
      </c>
      <c r="K65" s="6" t="str">
        <f t="shared" ca="1" si="0"/>
        <v/>
      </c>
    </row>
    <row r="66" spans="1:11" ht="15" customHeight="1" x14ac:dyDescent="0.35">
      <c r="A66" t="str">
        <f t="shared" si="1"/>
        <v/>
      </c>
      <c r="K66" s="6" t="str">
        <f t="shared" ca="1" si="0"/>
        <v/>
      </c>
    </row>
    <row r="67" spans="1:11" ht="15" customHeight="1" x14ac:dyDescent="0.35">
      <c r="A67" t="str">
        <f t="shared" si="1"/>
        <v/>
      </c>
      <c r="K67" s="6" t="str">
        <f t="shared" ca="1" si="0"/>
        <v/>
      </c>
    </row>
    <row r="68" spans="1:11" ht="15" customHeight="1" x14ac:dyDescent="0.35">
      <c r="A68" t="str">
        <f t="shared" si="1"/>
        <v/>
      </c>
      <c r="K68" s="6" t="str">
        <f t="shared" ca="1" si="0"/>
        <v/>
      </c>
    </row>
    <row r="69" spans="1:11" ht="15" customHeight="1" x14ac:dyDescent="0.35">
      <c r="A69" t="str">
        <f t="shared" si="1"/>
        <v/>
      </c>
      <c r="K69" s="6" t="str">
        <f t="shared" ca="1" si="0"/>
        <v/>
      </c>
    </row>
    <row r="70" spans="1:11" ht="15" customHeight="1" x14ac:dyDescent="0.35">
      <c r="A70" t="str">
        <f t="shared" si="1"/>
        <v/>
      </c>
      <c r="K70" s="6" t="str">
        <f t="shared" ca="1" si="0"/>
        <v/>
      </c>
    </row>
    <row r="71" spans="1:11" ht="15" customHeight="1" x14ac:dyDescent="0.35">
      <c r="A71" t="str">
        <f t="shared" si="1"/>
        <v/>
      </c>
      <c r="K71" s="6" t="str">
        <f t="shared" ca="1" si="0"/>
        <v/>
      </c>
    </row>
    <row r="72" spans="1:11" ht="15" customHeight="1" x14ac:dyDescent="0.35">
      <c r="A72" t="str">
        <f t="shared" si="1"/>
        <v/>
      </c>
      <c r="K72" s="6" t="str">
        <f t="shared" ca="1" si="0"/>
        <v/>
      </c>
    </row>
    <row r="73" spans="1:11" ht="15" customHeight="1" x14ac:dyDescent="0.35">
      <c r="A73" t="str">
        <f t="shared" si="1"/>
        <v/>
      </c>
      <c r="K73" s="6" t="str">
        <f t="shared" ca="1" si="0"/>
        <v/>
      </c>
    </row>
    <row r="74" spans="1:11" ht="15" customHeight="1" x14ac:dyDescent="0.35">
      <c r="A74" t="str">
        <f t="shared" si="1"/>
        <v/>
      </c>
      <c r="K74" s="6" t="str">
        <f t="shared" ca="1" si="0"/>
        <v/>
      </c>
    </row>
    <row r="75" spans="1:11" ht="15" customHeight="1" x14ac:dyDescent="0.35">
      <c r="A75" t="str">
        <f t="shared" si="1"/>
        <v/>
      </c>
      <c r="K75" s="6" t="str">
        <f t="shared" ca="1" si="0"/>
        <v/>
      </c>
    </row>
    <row r="76" spans="1:11" ht="15" customHeight="1" x14ac:dyDescent="0.35">
      <c r="A76" t="str">
        <f t="shared" si="1"/>
        <v/>
      </c>
      <c r="K76" s="6" t="str">
        <f t="shared" ca="1" si="0"/>
        <v/>
      </c>
    </row>
    <row r="77" spans="1:11" ht="15" customHeight="1" x14ac:dyDescent="0.35">
      <c r="A77" t="str">
        <f t="shared" si="1"/>
        <v/>
      </c>
      <c r="K77" s="6" t="str">
        <f t="shared" ca="1" si="0"/>
        <v/>
      </c>
    </row>
    <row r="78" spans="1:11" ht="15" customHeight="1" x14ac:dyDescent="0.35">
      <c r="A78" t="str">
        <f t="shared" si="1"/>
        <v/>
      </c>
      <c r="K78" s="6" t="str">
        <f t="shared" ca="1" si="0"/>
        <v/>
      </c>
    </row>
    <row r="79" spans="1:11" ht="15" customHeight="1" x14ac:dyDescent="0.35">
      <c r="A79" t="str">
        <f t="shared" si="1"/>
        <v/>
      </c>
      <c r="K79" s="6" t="str">
        <f t="shared" ca="1" si="0"/>
        <v/>
      </c>
    </row>
    <row r="80" spans="1:11" ht="15" customHeight="1" x14ac:dyDescent="0.35">
      <c r="A80" t="str">
        <f t="shared" si="1"/>
        <v/>
      </c>
      <c r="K80" s="6" t="str">
        <f t="shared" ca="1" si="0"/>
        <v/>
      </c>
    </row>
    <row r="81" spans="1:11" ht="15" customHeight="1" x14ac:dyDescent="0.35">
      <c r="A81" t="str">
        <f t="shared" si="1"/>
        <v/>
      </c>
      <c r="K81" s="6" t="str">
        <f t="shared" ca="1" si="0"/>
        <v/>
      </c>
    </row>
    <row r="82" spans="1:11" ht="15" customHeight="1" x14ac:dyDescent="0.35">
      <c r="A82" t="str">
        <f t="shared" si="1"/>
        <v/>
      </c>
      <c r="K82" s="6" t="str">
        <f t="shared" ca="1" si="0"/>
        <v/>
      </c>
    </row>
    <row r="83" spans="1:11" ht="15" customHeight="1" x14ac:dyDescent="0.35">
      <c r="A83" t="str">
        <f t="shared" si="1"/>
        <v/>
      </c>
      <c r="K83" s="6" t="str">
        <f t="shared" ca="1" si="0"/>
        <v/>
      </c>
    </row>
    <row r="84" spans="1:11" ht="15" customHeight="1" x14ac:dyDescent="0.35">
      <c r="A84" t="str">
        <f t="shared" si="1"/>
        <v/>
      </c>
      <c r="K84" s="6" t="str">
        <f t="shared" ca="1" si="0"/>
        <v/>
      </c>
    </row>
    <row r="85" spans="1:11" ht="15" customHeight="1" x14ac:dyDescent="0.35">
      <c r="A85" t="str">
        <f t="shared" si="1"/>
        <v/>
      </c>
      <c r="K85" s="6" t="str">
        <f t="shared" ca="1" si="0"/>
        <v/>
      </c>
    </row>
    <row r="86" spans="1:11" ht="15" customHeight="1" x14ac:dyDescent="0.35">
      <c r="A86" t="str">
        <f t="shared" si="1"/>
        <v/>
      </c>
      <c r="K86" s="6" t="str">
        <f t="shared" ca="1" si="0"/>
        <v/>
      </c>
    </row>
    <row r="87" spans="1:11" ht="15" customHeight="1" x14ac:dyDescent="0.35">
      <c r="A87" t="str">
        <f t="shared" si="1"/>
        <v/>
      </c>
      <c r="K87" s="6" t="str">
        <f t="shared" ca="1" si="0"/>
        <v/>
      </c>
    </row>
    <row r="88" spans="1:11" ht="15" customHeight="1" x14ac:dyDescent="0.35">
      <c r="A88" t="str">
        <f t="shared" si="1"/>
        <v/>
      </c>
      <c r="K88" s="6" t="str">
        <f t="shared" ca="1" si="0"/>
        <v/>
      </c>
    </row>
    <row r="89" spans="1:11" ht="15" customHeight="1" x14ac:dyDescent="0.35">
      <c r="A89" t="str">
        <f t="shared" si="1"/>
        <v/>
      </c>
      <c r="K89" s="6" t="str">
        <f t="shared" ca="1" si="0"/>
        <v/>
      </c>
    </row>
    <row r="90" spans="1:11" ht="15" customHeight="1" x14ac:dyDescent="0.35">
      <c r="A90" t="str">
        <f t="shared" si="1"/>
        <v/>
      </c>
      <c r="K90" s="6" t="str">
        <f t="shared" ca="1" si="0"/>
        <v/>
      </c>
    </row>
    <row r="91" spans="1:11" ht="15" customHeight="1" x14ac:dyDescent="0.35">
      <c r="A91" t="str">
        <f t="shared" si="1"/>
        <v/>
      </c>
      <c r="K91" s="6" t="str">
        <f t="shared" ca="1" si="0"/>
        <v/>
      </c>
    </row>
    <row r="92" spans="1:11" ht="15" customHeight="1" x14ac:dyDescent="0.35">
      <c r="A92" t="str">
        <f t="shared" si="1"/>
        <v/>
      </c>
      <c r="K92" s="6" t="str">
        <f t="shared" ca="1" si="0"/>
        <v/>
      </c>
    </row>
    <row r="93" spans="1:11" ht="15" customHeight="1" x14ac:dyDescent="0.35">
      <c r="A93" t="str">
        <f t="shared" si="1"/>
        <v/>
      </c>
      <c r="K93" s="6" t="str">
        <f t="shared" ca="1" si="0"/>
        <v/>
      </c>
    </row>
    <row r="94" spans="1:11" ht="15" customHeight="1" x14ac:dyDescent="0.35">
      <c r="A94" t="str">
        <f t="shared" si="1"/>
        <v/>
      </c>
      <c r="K94" s="6" t="str">
        <f t="shared" ca="1" si="0"/>
        <v/>
      </c>
    </row>
    <row r="95" spans="1:11" ht="15" customHeight="1" x14ac:dyDescent="0.35">
      <c r="A95" t="str">
        <f t="shared" si="1"/>
        <v/>
      </c>
      <c r="K95" s="6" t="str">
        <f t="shared" ca="1" si="0"/>
        <v/>
      </c>
    </row>
    <row r="96" spans="1:11" ht="15" customHeight="1" x14ac:dyDescent="0.35">
      <c r="A96" t="str">
        <f t="shared" si="1"/>
        <v/>
      </c>
      <c r="K96" s="6" t="str">
        <f t="shared" ca="1" si="0"/>
        <v/>
      </c>
    </row>
    <row r="97" spans="1:11" ht="15" customHeight="1" x14ac:dyDescent="0.35">
      <c r="A97" t="str">
        <f t="shared" si="1"/>
        <v/>
      </c>
      <c r="K97" s="6" t="str">
        <f t="shared" ca="1" si="0"/>
        <v/>
      </c>
    </row>
    <row r="98" spans="1:11" ht="15" customHeight="1" x14ac:dyDescent="0.35">
      <c r="A98" t="str">
        <f t="shared" si="1"/>
        <v/>
      </c>
      <c r="K98" s="6" t="str">
        <f t="shared" ca="1" si="0"/>
        <v/>
      </c>
    </row>
    <row r="99" spans="1:11" ht="15" customHeight="1" x14ac:dyDescent="0.35">
      <c r="A99" t="str">
        <f t="shared" si="1"/>
        <v/>
      </c>
      <c r="K99" s="6" t="str">
        <f t="shared" ca="1" si="0"/>
        <v/>
      </c>
    </row>
    <row r="100" spans="1:11" ht="15" customHeight="1" x14ac:dyDescent="0.35">
      <c r="A100" t="str">
        <f t="shared" si="1"/>
        <v/>
      </c>
      <c r="K100" s="6" t="str">
        <f t="shared" ca="1" si="0"/>
        <v/>
      </c>
    </row>
    <row r="101" spans="1:11" ht="15" customHeight="1" x14ac:dyDescent="0.35">
      <c r="A101" t="str">
        <f t="shared" si="1"/>
        <v/>
      </c>
      <c r="K101" s="6" t="str">
        <f t="shared" ca="1" si="0"/>
        <v/>
      </c>
    </row>
    <row r="102" spans="1:11" ht="15" customHeight="1" x14ac:dyDescent="0.35">
      <c r="A102" t="str">
        <f t="shared" si="1"/>
        <v/>
      </c>
      <c r="K102" s="6" t="str">
        <f t="shared" ca="1" si="0"/>
        <v/>
      </c>
    </row>
    <row r="103" spans="1:11" ht="15" customHeight="1" x14ac:dyDescent="0.35">
      <c r="A103" t="str">
        <f t="shared" si="1"/>
        <v/>
      </c>
      <c r="K103" s="6" t="str">
        <f t="shared" ca="1" si="0"/>
        <v/>
      </c>
    </row>
    <row r="104" spans="1:11" ht="15" customHeight="1" x14ac:dyDescent="0.35">
      <c r="A104" t="str">
        <f t="shared" si="1"/>
        <v/>
      </c>
      <c r="K104" s="6" t="str">
        <f t="shared" ca="1" si="0"/>
        <v/>
      </c>
    </row>
    <row r="105" spans="1:11" ht="15" customHeight="1" x14ac:dyDescent="0.35">
      <c r="A105" t="str">
        <f t="shared" si="1"/>
        <v/>
      </c>
      <c r="K105" s="6" t="str">
        <f t="shared" ca="1" si="0"/>
        <v/>
      </c>
    </row>
    <row r="106" spans="1:11" ht="15" customHeight="1" x14ac:dyDescent="0.35">
      <c r="A106" t="str">
        <f t="shared" si="1"/>
        <v/>
      </c>
      <c r="K106" s="6" t="str">
        <f t="shared" ca="1" si="0"/>
        <v/>
      </c>
    </row>
    <row r="107" spans="1:11" ht="15" customHeight="1" x14ac:dyDescent="0.35">
      <c r="A107" t="str">
        <f t="shared" si="1"/>
        <v/>
      </c>
      <c r="K107" s="6" t="str">
        <f t="shared" ca="1" si="0"/>
        <v/>
      </c>
    </row>
    <row r="108" spans="1:11" ht="15" customHeight="1" x14ac:dyDescent="0.35">
      <c r="A108" t="str">
        <f t="shared" si="1"/>
        <v/>
      </c>
      <c r="K108" s="6" t="str">
        <f t="shared" ca="1" si="0"/>
        <v/>
      </c>
    </row>
    <row r="109" spans="1:11" ht="15" customHeight="1" x14ac:dyDescent="0.35">
      <c r="A109" t="str">
        <f t="shared" si="1"/>
        <v/>
      </c>
      <c r="K109" s="6" t="str">
        <f t="shared" ca="1" si="0"/>
        <v/>
      </c>
    </row>
    <row r="110" spans="1:11" ht="15" customHeight="1" x14ac:dyDescent="0.35">
      <c r="A110" t="str">
        <f t="shared" si="1"/>
        <v/>
      </c>
      <c r="K110" s="6" t="str">
        <f t="shared" ca="1" si="0"/>
        <v/>
      </c>
    </row>
    <row r="111" spans="1:11" ht="15" customHeight="1" x14ac:dyDescent="0.35">
      <c r="A111" t="str">
        <f t="shared" si="1"/>
        <v/>
      </c>
      <c r="K111" s="6" t="str">
        <f t="shared" ca="1" si="0"/>
        <v/>
      </c>
    </row>
    <row r="112" spans="1:11" ht="15" customHeight="1" x14ac:dyDescent="0.35">
      <c r="A112" t="str">
        <f t="shared" si="1"/>
        <v/>
      </c>
      <c r="K112" s="6" t="str">
        <f t="shared" ca="1" si="0"/>
        <v/>
      </c>
    </row>
    <row r="113" spans="1:11" ht="15" customHeight="1" x14ac:dyDescent="0.35">
      <c r="A113" t="str">
        <f t="shared" si="1"/>
        <v/>
      </c>
      <c r="K113" s="6" t="str">
        <f t="shared" ca="1" si="0"/>
        <v/>
      </c>
    </row>
    <row r="114" spans="1:11" ht="15" customHeight="1" x14ac:dyDescent="0.35">
      <c r="A114" t="str">
        <f t="shared" si="1"/>
        <v/>
      </c>
      <c r="K114" s="6" t="str">
        <f t="shared" ref="K114:K177" ca="1" si="2">IF(B114="","",TODAY())</f>
        <v/>
      </c>
    </row>
    <row r="115" spans="1:11" ht="15" customHeight="1" x14ac:dyDescent="0.35">
      <c r="A115" t="str">
        <f t="shared" ref="A115:A178" si="3">IF(B115="","","L"&amp;TEXT(ROW()-2,"000"))</f>
        <v/>
      </c>
      <c r="K115" s="6" t="str">
        <f t="shared" ca="1" si="2"/>
        <v/>
      </c>
    </row>
    <row r="116" spans="1:11" ht="15" customHeight="1" x14ac:dyDescent="0.35">
      <c r="A116" t="str">
        <f t="shared" si="3"/>
        <v/>
      </c>
      <c r="K116" s="6" t="str">
        <f t="shared" ca="1" si="2"/>
        <v/>
      </c>
    </row>
    <row r="117" spans="1:11" ht="15" customHeight="1" x14ac:dyDescent="0.35">
      <c r="A117" t="str">
        <f t="shared" si="3"/>
        <v/>
      </c>
      <c r="K117" s="6" t="str">
        <f t="shared" ca="1" si="2"/>
        <v/>
      </c>
    </row>
    <row r="118" spans="1:11" ht="15" customHeight="1" x14ac:dyDescent="0.35">
      <c r="A118" t="str">
        <f t="shared" si="3"/>
        <v/>
      </c>
      <c r="K118" s="6" t="str">
        <f t="shared" ca="1" si="2"/>
        <v/>
      </c>
    </row>
    <row r="119" spans="1:11" ht="15" customHeight="1" x14ac:dyDescent="0.35">
      <c r="A119" t="str">
        <f t="shared" si="3"/>
        <v/>
      </c>
      <c r="K119" s="6" t="str">
        <f t="shared" ca="1" si="2"/>
        <v/>
      </c>
    </row>
    <row r="120" spans="1:11" ht="15" customHeight="1" x14ac:dyDescent="0.35">
      <c r="A120" t="str">
        <f t="shared" si="3"/>
        <v/>
      </c>
      <c r="K120" s="6" t="str">
        <f t="shared" ca="1" si="2"/>
        <v/>
      </c>
    </row>
    <row r="121" spans="1:11" ht="15" customHeight="1" x14ac:dyDescent="0.35">
      <c r="A121" t="str">
        <f t="shared" si="3"/>
        <v/>
      </c>
      <c r="K121" s="6" t="str">
        <f t="shared" ca="1" si="2"/>
        <v/>
      </c>
    </row>
    <row r="122" spans="1:11" ht="15" customHeight="1" x14ac:dyDescent="0.35">
      <c r="A122" t="str">
        <f t="shared" si="3"/>
        <v/>
      </c>
      <c r="K122" s="6" t="str">
        <f t="shared" ca="1" si="2"/>
        <v/>
      </c>
    </row>
    <row r="123" spans="1:11" ht="15" customHeight="1" x14ac:dyDescent="0.35">
      <c r="A123" t="str">
        <f t="shared" si="3"/>
        <v/>
      </c>
      <c r="K123" s="6" t="str">
        <f t="shared" ca="1" si="2"/>
        <v/>
      </c>
    </row>
    <row r="124" spans="1:11" ht="15" customHeight="1" x14ac:dyDescent="0.35">
      <c r="A124" t="str">
        <f t="shared" si="3"/>
        <v/>
      </c>
      <c r="K124" s="6" t="str">
        <f t="shared" ca="1" si="2"/>
        <v/>
      </c>
    </row>
    <row r="125" spans="1:11" ht="15" customHeight="1" x14ac:dyDescent="0.35">
      <c r="A125" t="str">
        <f t="shared" si="3"/>
        <v/>
      </c>
      <c r="K125" s="6" t="str">
        <f t="shared" ca="1" si="2"/>
        <v/>
      </c>
    </row>
    <row r="126" spans="1:11" ht="15" customHeight="1" x14ac:dyDescent="0.35">
      <c r="A126" t="str">
        <f t="shared" si="3"/>
        <v/>
      </c>
      <c r="K126" s="6" t="str">
        <f t="shared" ca="1" si="2"/>
        <v/>
      </c>
    </row>
    <row r="127" spans="1:11" ht="15" customHeight="1" x14ac:dyDescent="0.35">
      <c r="A127" t="str">
        <f t="shared" si="3"/>
        <v/>
      </c>
      <c r="K127" s="6" t="str">
        <f t="shared" ca="1" si="2"/>
        <v/>
      </c>
    </row>
    <row r="128" spans="1:11" ht="15" customHeight="1" x14ac:dyDescent="0.35">
      <c r="A128" t="str">
        <f t="shared" si="3"/>
        <v/>
      </c>
      <c r="K128" s="6" t="str">
        <f t="shared" ca="1" si="2"/>
        <v/>
      </c>
    </row>
    <row r="129" spans="1:11" ht="15" customHeight="1" x14ac:dyDescent="0.35">
      <c r="A129" t="str">
        <f t="shared" si="3"/>
        <v/>
      </c>
      <c r="K129" s="6" t="str">
        <f t="shared" ca="1" si="2"/>
        <v/>
      </c>
    </row>
    <row r="130" spans="1:11" ht="15" customHeight="1" x14ac:dyDescent="0.35">
      <c r="A130" t="str">
        <f t="shared" si="3"/>
        <v/>
      </c>
      <c r="K130" s="6" t="str">
        <f t="shared" ca="1" si="2"/>
        <v/>
      </c>
    </row>
    <row r="131" spans="1:11" ht="15" customHeight="1" x14ac:dyDescent="0.35">
      <c r="A131" t="str">
        <f t="shared" si="3"/>
        <v/>
      </c>
      <c r="K131" s="6" t="str">
        <f t="shared" ca="1" si="2"/>
        <v/>
      </c>
    </row>
    <row r="132" spans="1:11" ht="15" customHeight="1" x14ac:dyDescent="0.35">
      <c r="A132" t="str">
        <f t="shared" si="3"/>
        <v/>
      </c>
      <c r="K132" s="6" t="str">
        <f t="shared" ca="1" si="2"/>
        <v/>
      </c>
    </row>
    <row r="133" spans="1:11" ht="15" customHeight="1" x14ac:dyDescent="0.35">
      <c r="A133" t="str">
        <f t="shared" si="3"/>
        <v/>
      </c>
      <c r="K133" s="6" t="str">
        <f t="shared" ca="1" si="2"/>
        <v/>
      </c>
    </row>
    <row r="134" spans="1:11" ht="15" customHeight="1" x14ac:dyDescent="0.35">
      <c r="A134" t="str">
        <f t="shared" si="3"/>
        <v/>
      </c>
      <c r="K134" s="6" t="str">
        <f t="shared" ca="1" si="2"/>
        <v/>
      </c>
    </row>
    <row r="135" spans="1:11" ht="15" customHeight="1" x14ac:dyDescent="0.35">
      <c r="A135" t="str">
        <f t="shared" si="3"/>
        <v/>
      </c>
      <c r="K135" s="6" t="str">
        <f t="shared" ca="1" si="2"/>
        <v/>
      </c>
    </row>
    <row r="136" spans="1:11" ht="15" customHeight="1" x14ac:dyDescent="0.35">
      <c r="A136" t="str">
        <f t="shared" si="3"/>
        <v/>
      </c>
      <c r="K136" s="6" t="str">
        <f t="shared" ca="1" si="2"/>
        <v/>
      </c>
    </row>
    <row r="137" spans="1:11" ht="15" customHeight="1" x14ac:dyDescent="0.35">
      <c r="A137" t="str">
        <f t="shared" si="3"/>
        <v/>
      </c>
      <c r="K137" s="6" t="str">
        <f t="shared" ca="1" si="2"/>
        <v/>
      </c>
    </row>
    <row r="138" spans="1:11" ht="15" customHeight="1" x14ac:dyDescent="0.35">
      <c r="A138" t="str">
        <f t="shared" si="3"/>
        <v/>
      </c>
      <c r="K138" s="6" t="str">
        <f t="shared" ca="1" si="2"/>
        <v/>
      </c>
    </row>
    <row r="139" spans="1:11" ht="15" customHeight="1" x14ac:dyDescent="0.35">
      <c r="A139" t="str">
        <f t="shared" si="3"/>
        <v/>
      </c>
      <c r="K139" s="6" t="str">
        <f t="shared" ca="1" si="2"/>
        <v/>
      </c>
    </row>
    <row r="140" spans="1:11" ht="15" customHeight="1" x14ac:dyDescent="0.35">
      <c r="A140" t="str">
        <f t="shared" si="3"/>
        <v/>
      </c>
      <c r="K140" s="6" t="str">
        <f t="shared" ca="1" si="2"/>
        <v/>
      </c>
    </row>
    <row r="141" spans="1:11" ht="15" customHeight="1" x14ac:dyDescent="0.35">
      <c r="A141" t="str">
        <f t="shared" si="3"/>
        <v/>
      </c>
      <c r="K141" s="6" t="str">
        <f t="shared" ca="1" si="2"/>
        <v/>
      </c>
    </row>
    <row r="142" spans="1:11" ht="15" customHeight="1" x14ac:dyDescent="0.35">
      <c r="A142" t="str">
        <f t="shared" si="3"/>
        <v/>
      </c>
      <c r="K142" s="6" t="str">
        <f t="shared" ca="1" si="2"/>
        <v/>
      </c>
    </row>
    <row r="143" spans="1:11" ht="15" customHeight="1" x14ac:dyDescent="0.35">
      <c r="A143" t="str">
        <f t="shared" si="3"/>
        <v/>
      </c>
      <c r="K143" s="6" t="str">
        <f t="shared" ca="1" si="2"/>
        <v/>
      </c>
    </row>
    <row r="144" spans="1:11" ht="15" customHeight="1" x14ac:dyDescent="0.35">
      <c r="A144" t="str">
        <f t="shared" si="3"/>
        <v/>
      </c>
      <c r="K144" s="6" t="str">
        <f t="shared" ca="1" si="2"/>
        <v/>
      </c>
    </row>
    <row r="145" spans="1:11" ht="15" customHeight="1" x14ac:dyDescent="0.35">
      <c r="A145" t="str">
        <f t="shared" si="3"/>
        <v/>
      </c>
      <c r="K145" s="6" t="str">
        <f t="shared" ca="1" si="2"/>
        <v/>
      </c>
    </row>
    <row r="146" spans="1:11" ht="15" customHeight="1" x14ac:dyDescent="0.35">
      <c r="A146" t="str">
        <f t="shared" si="3"/>
        <v/>
      </c>
      <c r="K146" s="6" t="str">
        <f t="shared" ca="1" si="2"/>
        <v/>
      </c>
    </row>
    <row r="147" spans="1:11" ht="15" customHeight="1" x14ac:dyDescent="0.35">
      <c r="A147" t="str">
        <f t="shared" si="3"/>
        <v/>
      </c>
      <c r="K147" s="6" t="str">
        <f t="shared" ca="1" si="2"/>
        <v/>
      </c>
    </row>
    <row r="148" spans="1:11" ht="15" customHeight="1" x14ac:dyDescent="0.35">
      <c r="A148" t="str">
        <f t="shared" si="3"/>
        <v/>
      </c>
      <c r="K148" s="6" t="str">
        <f t="shared" ca="1" si="2"/>
        <v/>
      </c>
    </row>
    <row r="149" spans="1:11" ht="15" customHeight="1" x14ac:dyDescent="0.35">
      <c r="A149" t="str">
        <f t="shared" si="3"/>
        <v/>
      </c>
      <c r="K149" s="6" t="str">
        <f t="shared" ca="1" si="2"/>
        <v/>
      </c>
    </row>
    <row r="150" spans="1:11" ht="15" customHeight="1" x14ac:dyDescent="0.35">
      <c r="A150" t="str">
        <f t="shared" si="3"/>
        <v/>
      </c>
      <c r="K150" s="6" t="str">
        <f t="shared" ca="1" si="2"/>
        <v/>
      </c>
    </row>
    <row r="151" spans="1:11" ht="15" customHeight="1" x14ac:dyDescent="0.35">
      <c r="A151" t="str">
        <f t="shared" si="3"/>
        <v/>
      </c>
      <c r="K151" s="6" t="str">
        <f t="shared" ca="1" si="2"/>
        <v/>
      </c>
    </row>
    <row r="152" spans="1:11" ht="15" customHeight="1" x14ac:dyDescent="0.35">
      <c r="A152" t="str">
        <f t="shared" si="3"/>
        <v/>
      </c>
      <c r="K152" s="6" t="str">
        <f t="shared" ca="1" si="2"/>
        <v/>
      </c>
    </row>
    <row r="153" spans="1:11" ht="15" customHeight="1" x14ac:dyDescent="0.35">
      <c r="A153" t="str">
        <f t="shared" si="3"/>
        <v/>
      </c>
      <c r="K153" s="6" t="str">
        <f t="shared" ca="1" si="2"/>
        <v/>
      </c>
    </row>
    <row r="154" spans="1:11" ht="15" customHeight="1" x14ac:dyDescent="0.35">
      <c r="A154" t="str">
        <f t="shared" si="3"/>
        <v/>
      </c>
      <c r="K154" s="6" t="str">
        <f t="shared" ca="1" si="2"/>
        <v/>
      </c>
    </row>
    <row r="155" spans="1:11" ht="15" customHeight="1" x14ac:dyDescent="0.35">
      <c r="A155" t="str">
        <f t="shared" si="3"/>
        <v/>
      </c>
      <c r="K155" s="6" t="str">
        <f t="shared" ca="1" si="2"/>
        <v/>
      </c>
    </row>
    <row r="156" spans="1:11" ht="15" customHeight="1" x14ac:dyDescent="0.35">
      <c r="A156" t="str">
        <f t="shared" si="3"/>
        <v/>
      </c>
      <c r="K156" s="6" t="str">
        <f t="shared" ca="1" si="2"/>
        <v/>
      </c>
    </row>
    <row r="157" spans="1:11" ht="15" customHeight="1" x14ac:dyDescent="0.35">
      <c r="A157" t="str">
        <f t="shared" si="3"/>
        <v/>
      </c>
      <c r="K157" s="6" t="str">
        <f t="shared" ca="1" si="2"/>
        <v/>
      </c>
    </row>
    <row r="158" spans="1:11" ht="15" customHeight="1" x14ac:dyDescent="0.35">
      <c r="A158" t="str">
        <f t="shared" si="3"/>
        <v/>
      </c>
      <c r="K158" s="6" t="str">
        <f t="shared" ca="1" si="2"/>
        <v/>
      </c>
    </row>
    <row r="159" spans="1:11" ht="15" customHeight="1" x14ac:dyDescent="0.35">
      <c r="A159" t="str">
        <f t="shared" si="3"/>
        <v/>
      </c>
      <c r="K159" s="6" t="str">
        <f t="shared" ca="1" si="2"/>
        <v/>
      </c>
    </row>
    <row r="160" spans="1:11" ht="15" customHeight="1" x14ac:dyDescent="0.35">
      <c r="A160" t="str">
        <f t="shared" si="3"/>
        <v/>
      </c>
      <c r="K160" s="6" t="str">
        <f t="shared" ca="1" si="2"/>
        <v/>
      </c>
    </row>
    <row r="161" spans="1:11" ht="15" customHeight="1" x14ac:dyDescent="0.35">
      <c r="A161" t="str">
        <f t="shared" si="3"/>
        <v/>
      </c>
      <c r="K161" s="6" t="str">
        <f t="shared" ca="1" si="2"/>
        <v/>
      </c>
    </row>
    <row r="162" spans="1:11" ht="15" customHeight="1" x14ac:dyDescent="0.35">
      <c r="A162" t="str">
        <f t="shared" si="3"/>
        <v/>
      </c>
      <c r="K162" s="6" t="str">
        <f t="shared" ca="1" si="2"/>
        <v/>
      </c>
    </row>
    <row r="163" spans="1:11" ht="15" customHeight="1" x14ac:dyDescent="0.35">
      <c r="A163" t="str">
        <f t="shared" si="3"/>
        <v/>
      </c>
      <c r="K163" s="6" t="str">
        <f t="shared" ca="1" si="2"/>
        <v/>
      </c>
    </row>
    <row r="164" spans="1:11" ht="15" customHeight="1" x14ac:dyDescent="0.35">
      <c r="A164" t="str">
        <f t="shared" si="3"/>
        <v/>
      </c>
      <c r="K164" s="6" t="str">
        <f t="shared" ca="1" si="2"/>
        <v/>
      </c>
    </row>
    <row r="165" spans="1:11" ht="15" customHeight="1" x14ac:dyDescent="0.35">
      <c r="A165" t="str">
        <f t="shared" si="3"/>
        <v/>
      </c>
      <c r="K165" s="6" t="str">
        <f t="shared" ca="1" si="2"/>
        <v/>
      </c>
    </row>
    <row r="166" spans="1:11" ht="15" customHeight="1" x14ac:dyDescent="0.35">
      <c r="A166" t="str">
        <f t="shared" si="3"/>
        <v/>
      </c>
      <c r="K166" s="6" t="str">
        <f t="shared" ca="1" si="2"/>
        <v/>
      </c>
    </row>
    <row r="167" spans="1:11" ht="15" customHeight="1" x14ac:dyDescent="0.35">
      <c r="A167" t="str">
        <f t="shared" si="3"/>
        <v/>
      </c>
      <c r="K167" s="6" t="str">
        <f t="shared" ca="1" si="2"/>
        <v/>
      </c>
    </row>
    <row r="168" spans="1:11" ht="15" customHeight="1" x14ac:dyDescent="0.35">
      <c r="A168" t="str">
        <f t="shared" si="3"/>
        <v/>
      </c>
      <c r="K168" s="6" t="str">
        <f t="shared" ca="1" si="2"/>
        <v/>
      </c>
    </row>
    <row r="169" spans="1:11" ht="15" customHeight="1" x14ac:dyDescent="0.35">
      <c r="A169" t="str">
        <f t="shared" si="3"/>
        <v/>
      </c>
      <c r="K169" s="6" t="str">
        <f t="shared" ca="1" si="2"/>
        <v/>
      </c>
    </row>
    <row r="170" spans="1:11" ht="15" customHeight="1" x14ac:dyDescent="0.35">
      <c r="A170" t="str">
        <f t="shared" si="3"/>
        <v/>
      </c>
      <c r="K170" s="6" t="str">
        <f t="shared" ca="1" si="2"/>
        <v/>
      </c>
    </row>
    <row r="171" spans="1:11" ht="15" customHeight="1" x14ac:dyDescent="0.35">
      <c r="A171" t="str">
        <f t="shared" si="3"/>
        <v/>
      </c>
      <c r="K171" s="6" t="str">
        <f t="shared" ca="1" si="2"/>
        <v/>
      </c>
    </row>
    <row r="172" spans="1:11" ht="15" customHeight="1" x14ac:dyDescent="0.35">
      <c r="A172" t="str">
        <f t="shared" si="3"/>
        <v/>
      </c>
      <c r="K172" s="6" t="str">
        <f t="shared" ca="1" si="2"/>
        <v/>
      </c>
    </row>
    <row r="173" spans="1:11" ht="15" customHeight="1" x14ac:dyDescent="0.35">
      <c r="A173" t="str">
        <f t="shared" si="3"/>
        <v/>
      </c>
      <c r="K173" s="6" t="str">
        <f t="shared" ca="1" si="2"/>
        <v/>
      </c>
    </row>
    <row r="174" spans="1:11" ht="15" customHeight="1" x14ac:dyDescent="0.35">
      <c r="A174" t="str">
        <f t="shared" si="3"/>
        <v/>
      </c>
      <c r="K174" s="6" t="str">
        <f t="shared" ca="1" si="2"/>
        <v/>
      </c>
    </row>
    <row r="175" spans="1:11" ht="15" customHeight="1" x14ac:dyDescent="0.35">
      <c r="A175" t="str">
        <f t="shared" si="3"/>
        <v/>
      </c>
      <c r="K175" s="6" t="str">
        <f t="shared" ca="1" si="2"/>
        <v/>
      </c>
    </row>
    <row r="176" spans="1:11" ht="15" customHeight="1" x14ac:dyDescent="0.35">
      <c r="A176" t="str">
        <f t="shared" si="3"/>
        <v/>
      </c>
      <c r="K176" s="6" t="str">
        <f t="shared" ca="1" si="2"/>
        <v/>
      </c>
    </row>
    <row r="177" spans="1:11" ht="15" customHeight="1" x14ac:dyDescent="0.35">
      <c r="A177" t="str">
        <f t="shared" si="3"/>
        <v/>
      </c>
      <c r="K177" s="6" t="str">
        <f t="shared" ca="1" si="2"/>
        <v/>
      </c>
    </row>
    <row r="178" spans="1:11" ht="15" customHeight="1" x14ac:dyDescent="0.35">
      <c r="A178" t="str">
        <f t="shared" si="3"/>
        <v/>
      </c>
      <c r="K178" s="6" t="str">
        <f t="shared" ref="K178:K241" ca="1" si="4">IF(B178="","",TODAY())</f>
        <v/>
      </c>
    </row>
    <row r="179" spans="1:11" ht="15" customHeight="1" x14ac:dyDescent="0.35">
      <c r="A179" t="str">
        <f t="shared" ref="A179:A242" si="5">IF(B179="","","L"&amp;TEXT(ROW()-2,"000"))</f>
        <v/>
      </c>
      <c r="K179" s="6" t="str">
        <f t="shared" ca="1" si="4"/>
        <v/>
      </c>
    </row>
    <row r="180" spans="1:11" ht="15" customHeight="1" x14ac:dyDescent="0.35">
      <c r="A180" t="str">
        <f t="shared" si="5"/>
        <v/>
      </c>
      <c r="K180" s="6" t="str">
        <f t="shared" ca="1" si="4"/>
        <v/>
      </c>
    </row>
    <row r="181" spans="1:11" ht="15" customHeight="1" x14ac:dyDescent="0.35">
      <c r="A181" t="str">
        <f t="shared" si="5"/>
        <v/>
      </c>
      <c r="K181" s="6" t="str">
        <f t="shared" ca="1" si="4"/>
        <v/>
      </c>
    </row>
    <row r="182" spans="1:11" ht="15" customHeight="1" x14ac:dyDescent="0.35">
      <c r="A182" t="str">
        <f t="shared" si="5"/>
        <v/>
      </c>
      <c r="K182" s="6" t="str">
        <f t="shared" ca="1" si="4"/>
        <v/>
      </c>
    </row>
    <row r="183" spans="1:11" ht="15" customHeight="1" x14ac:dyDescent="0.35">
      <c r="A183" t="str">
        <f t="shared" si="5"/>
        <v/>
      </c>
      <c r="K183" s="6" t="str">
        <f t="shared" ca="1" si="4"/>
        <v/>
      </c>
    </row>
    <row r="184" spans="1:11" ht="15" customHeight="1" x14ac:dyDescent="0.35">
      <c r="A184" t="str">
        <f t="shared" si="5"/>
        <v/>
      </c>
      <c r="K184" s="6" t="str">
        <f t="shared" ca="1" si="4"/>
        <v/>
      </c>
    </row>
    <row r="185" spans="1:11" ht="15" customHeight="1" x14ac:dyDescent="0.35">
      <c r="A185" t="str">
        <f t="shared" si="5"/>
        <v/>
      </c>
      <c r="K185" s="6" t="str">
        <f t="shared" ca="1" si="4"/>
        <v/>
      </c>
    </row>
    <row r="186" spans="1:11" ht="15" customHeight="1" x14ac:dyDescent="0.35">
      <c r="A186" t="str">
        <f t="shared" si="5"/>
        <v/>
      </c>
      <c r="K186" s="6" t="str">
        <f t="shared" ca="1" si="4"/>
        <v/>
      </c>
    </row>
    <row r="187" spans="1:11" ht="15" customHeight="1" x14ac:dyDescent="0.35">
      <c r="A187" t="str">
        <f t="shared" si="5"/>
        <v/>
      </c>
      <c r="K187" s="6" t="str">
        <f t="shared" ca="1" si="4"/>
        <v/>
      </c>
    </row>
    <row r="188" spans="1:11" ht="15" customHeight="1" x14ac:dyDescent="0.35">
      <c r="A188" t="str">
        <f t="shared" si="5"/>
        <v/>
      </c>
      <c r="K188" s="6" t="str">
        <f t="shared" ca="1" si="4"/>
        <v/>
      </c>
    </row>
    <row r="189" spans="1:11" ht="15" customHeight="1" x14ac:dyDescent="0.35">
      <c r="A189" t="str">
        <f t="shared" si="5"/>
        <v/>
      </c>
      <c r="K189" s="6" t="str">
        <f t="shared" ca="1" si="4"/>
        <v/>
      </c>
    </row>
    <row r="190" spans="1:11" ht="15" customHeight="1" x14ac:dyDescent="0.35">
      <c r="A190" t="str">
        <f t="shared" si="5"/>
        <v/>
      </c>
      <c r="K190" s="6" t="str">
        <f t="shared" ca="1" si="4"/>
        <v/>
      </c>
    </row>
    <row r="191" spans="1:11" ht="15" customHeight="1" x14ac:dyDescent="0.35">
      <c r="A191" t="str">
        <f t="shared" si="5"/>
        <v/>
      </c>
      <c r="K191" s="6" t="str">
        <f t="shared" ca="1" si="4"/>
        <v/>
      </c>
    </row>
    <row r="192" spans="1:11" ht="15" customHeight="1" x14ac:dyDescent="0.35">
      <c r="A192" t="str">
        <f t="shared" si="5"/>
        <v/>
      </c>
      <c r="K192" s="6" t="str">
        <f t="shared" ca="1" si="4"/>
        <v/>
      </c>
    </row>
    <row r="193" spans="1:11" ht="15" customHeight="1" x14ac:dyDescent="0.35">
      <c r="A193" t="str">
        <f t="shared" si="5"/>
        <v/>
      </c>
      <c r="K193" s="6" t="str">
        <f t="shared" ca="1" si="4"/>
        <v/>
      </c>
    </row>
    <row r="194" spans="1:11" ht="15" customHeight="1" x14ac:dyDescent="0.35">
      <c r="A194" t="str">
        <f t="shared" si="5"/>
        <v/>
      </c>
      <c r="K194" s="6" t="str">
        <f t="shared" ca="1" si="4"/>
        <v/>
      </c>
    </row>
    <row r="195" spans="1:11" ht="15" customHeight="1" x14ac:dyDescent="0.35">
      <c r="A195" t="str">
        <f t="shared" si="5"/>
        <v/>
      </c>
      <c r="K195" s="6" t="str">
        <f t="shared" ca="1" si="4"/>
        <v/>
      </c>
    </row>
    <row r="196" spans="1:11" ht="15" customHeight="1" x14ac:dyDescent="0.35">
      <c r="A196" t="str">
        <f t="shared" si="5"/>
        <v/>
      </c>
      <c r="K196" s="6" t="str">
        <f t="shared" ca="1" si="4"/>
        <v/>
      </c>
    </row>
    <row r="197" spans="1:11" ht="15" customHeight="1" x14ac:dyDescent="0.35">
      <c r="A197" t="str">
        <f t="shared" si="5"/>
        <v/>
      </c>
      <c r="K197" s="6" t="str">
        <f t="shared" ca="1" si="4"/>
        <v/>
      </c>
    </row>
    <row r="198" spans="1:11" ht="15" customHeight="1" x14ac:dyDescent="0.35">
      <c r="A198" t="str">
        <f t="shared" si="5"/>
        <v/>
      </c>
      <c r="K198" s="6" t="str">
        <f t="shared" ca="1" si="4"/>
        <v/>
      </c>
    </row>
    <row r="199" spans="1:11" ht="15" customHeight="1" x14ac:dyDescent="0.35">
      <c r="A199" t="str">
        <f t="shared" si="5"/>
        <v/>
      </c>
      <c r="K199" s="6" t="str">
        <f t="shared" ca="1" si="4"/>
        <v/>
      </c>
    </row>
    <row r="200" spans="1:11" ht="15" customHeight="1" x14ac:dyDescent="0.35">
      <c r="A200" t="str">
        <f t="shared" si="5"/>
        <v/>
      </c>
      <c r="K200" s="6" t="str">
        <f t="shared" ca="1" si="4"/>
        <v/>
      </c>
    </row>
    <row r="201" spans="1:11" ht="15" customHeight="1" x14ac:dyDescent="0.35">
      <c r="A201" t="str">
        <f t="shared" si="5"/>
        <v/>
      </c>
      <c r="K201" s="6" t="str">
        <f t="shared" ca="1" si="4"/>
        <v/>
      </c>
    </row>
    <row r="202" spans="1:11" ht="15" customHeight="1" x14ac:dyDescent="0.35">
      <c r="A202" t="str">
        <f t="shared" si="5"/>
        <v/>
      </c>
      <c r="K202" s="6" t="str">
        <f t="shared" ca="1" si="4"/>
        <v/>
      </c>
    </row>
    <row r="203" spans="1:11" ht="15" customHeight="1" x14ac:dyDescent="0.35">
      <c r="A203" t="str">
        <f t="shared" si="5"/>
        <v/>
      </c>
      <c r="K203" s="6" t="str">
        <f t="shared" ca="1" si="4"/>
        <v/>
      </c>
    </row>
    <row r="204" spans="1:11" ht="15" customHeight="1" x14ac:dyDescent="0.35">
      <c r="A204" t="str">
        <f t="shared" si="5"/>
        <v/>
      </c>
      <c r="K204" s="6" t="str">
        <f t="shared" ca="1" si="4"/>
        <v/>
      </c>
    </row>
    <row r="205" spans="1:11" ht="15" customHeight="1" x14ac:dyDescent="0.35">
      <c r="A205" t="str">
        <f t="shared" si="5"/>
        <v/>
      </c>
      <c r="K205" s="6" t="str">
        <f t="shared" ca="1" si="4"/>
        <v/>
      </c>
    </row>
    <row r="206" spans="1:11" ht="15" customHeight="1" x14ac:dyDescent="0.35">
      <c r="A206" t="str">
        <f t="shared" si="5"/>
        <v/>
      </c>
      <c r="K206" s="6" t="str">
        <f t="shared" ca="1" si="4"/>
        <v/>
      </c>
    </row>
    <row r="207" spans="1:11" ht="15" customHeight="1" x14ac:dyDescent="0.35">
      <c r="A207" t="str">
        <f t="shared" si="5"/>
        <v/>
      </c>
      <c r="K207" s="6" t="str">
        <f t="shared" ca="1" si="4"/>
        <v/>
      </c>
    </row>
    <row r="208" spans="1:11" ht="15" customHeight="1" x14ac:dyDescent="0.35">
      <c r="A208" t="str">
        <f t="shared" si="5"/>
        <v/>
      </c>
      <c r="K208" s="6" t="str">
        <f t="shared" ca="1" si="4"/>
        <v/>
      </c>
    </row>
    <row r="209" spans="1:11" ht="15" customHeight="1" x14ac:dyDescent="0.35">
      <c r="A209" t="str">
        <f t="shared" si="5"/>
        <v/>
      </c>
      <c r="K209" s="6" t="str">
        <f t="shared" ca="1" si="4"/>
        <v/>
      </c>
    </row>
    <row r="210" spans="1:11" ht="15" customHeight="1" x14ac:dyDescent="0.35">
      <c r="A210" t="str">
        <f t="shared" si="5"/>
        <v/>
      </c>
      <c r="K210" s="6" t="str">
        <f t="shared" ca="1" si="4"/>
        <v/>
      </c>
    </row>
    <row r="211" spans="1:11" ht="15" customHeight="1" x14ac:dyDescent="0.35">
      <c r="A211" t="str">
        <f t="shared" si="5"/>
        <v/>
      </c>
      <c r="K211" s="6" t="str">
        <f t="shared" ca="1" si="4"/>
        <v/>
      </c>
    </row>
    <row r="212" spans="1:11" ht="15" customHeight="1" x14ac:dyDescent="0.35">
      <c r="A212" t="str">
        <f t="shared" si="5"/>
        <v/>
      </c>
      <c r="K212" s="6" t="str">
        <f t="shared" ca="1" si="4"/>
        <v/>
      </c>
    </row>
    <row r="213" spans="1:11" ht="15" customHeight="1" x14ac:dyDescent="0.35">
      <c r="A213" t="str">
        <f t="shared" si="5"/>
        <v/>
      </c>
      <c r="K213" s="6" t="str">
        <f t="shared" ca="1" si="4"/>
        <v/>
      </c>
    </row>
    <row r="214" spans="1:11" ht="15" customHeight="1" x14ac:dyDescent="0.35">
      <c r="A214" t="str">
        <f t="shared" si="5"/>
        <v/>
      </c>
      <c r="K214" s="6" t="str">
        <f t="shared" ca="1" si="4"/>
        <v/>
      </c>
    </row>
    <row r="215" spans="1:11" ht="15" customHeight="1" x14ac:dyDescent="0.35">
      <c r="A215" t="str">
        <f t="shared" si="5"/>
        <v/>
      </c>
      <c r="K215" s="6" t="str">
        <f t="shared" ca="1" si="4"/>
        <v/>
      </c>
    </row>
    <row r="216" spans="1:11" ht="15" customHeight="1" x14ac:dyDescent="0.35">
      <c r="A216" t="str">
        <f t="shared" si="5"/>
        <v/>
      </c>
      <c r="K216" s="6" t="str">
        <f t="shared" ca="1" si="4"/>
        <v/>
      </c>
    </row>
    <row r="217" spans="1:11" ht="15" customHeight="1" x14ac:dyDescent="0.35">
      <c r="A217" t="str">
        <f t="shared" si="5"/>
        <v/>
      </c>
      <c r="K217" s="6" t="str">
        <f t="shared" ca="1" si="4"/>
        <v/>
      </c>
    </row>
    <row r="218" spans="1:11" ht="15" customHeight="1" x14ac:dyDescent="0.35">
      <c r="A218" t="str">
        <f t="shared" si="5"/>
        <v/>
      </c>
      <c r="K218" s="6" t="str">
        <f t="shared" ca="1" si="4"/>
        <v/>
      </c>
    </row>
    <row r="219" spans="1:11" ht="15" customHeight="1" x14ac:dyDescent="0.35">
      <c r="A219" t="str">
        <f t="shared" si="5"/>
        <v/>
      </c>
      <c r="K219" s="6" t="str">
        <f t="shared" ca="1" si="4"/>
        <v/>
      </c>
    </row>
    <row r="220" spans="1:11" ht="15" customHeight="1" x14ac:dyDescent="0.35">
      <c r="A220" t="str">
        <f t="shared" si="5"/>
        <v/>
      </c>
      <c r="K220" s="6" t="str">
        <f t="shared" ca="1" si="4"/>
        <v/>
      </c>
    </row>
    <row r="221" spans="1:11" ht="15" customHeight="1" x14ac:dyDescent="0.35">
      <c r="A221" t="str">
        <f t="shared" si="5"/>
        <v/>
      </c>
      <c r="K221" s="6" t="str">
        <f t="shared" ca="1" si="4"/>
        <v/>
      </c>
    </row>
    <row r="222" spans="1:11" ht="15" customHeight="1" x14ac:dyDescent="0.35">
      <c r="A222" t="str">
        <f t="shared" si="5"/>
        <v/>
      </c>
      <c r="K222" s="6" t="str">
        <f t="shared" ca="1" si="4"/>
        <v/>
      </c>
    </row>
    <row r="223" spans="1:11" ht="15" customHeight="1" x14ac:dyDescent="0.35">
      <c r="A223" t="str">
        <f t="shared" si="5"/>
        <v/>
      </c>
      <c r="K223" s="6" t="str">
        <f t="shared" ca="1" si="4"/>
        <v/>
      </c>
    </row>
    <row r="224" spans="1:11" ht="15" customHeight="1" x14ac:dyDescent="0.35">
      <c r="A224" t="str">
        <f t="shared" si="5"/>
        <v/>
      </c>
      <c r="K224" s="6" t="str">
        <f t="shared" ca="1" si="4"/>
        <v/>
      </c>
    </row>
    <row r="225" spans="1:11" ht="15" customHeight="1" x14ac:dyDescent="0.35">
      <c r="A225" t="str">
        <f t="shared" si="5"/>
        <v/>
      </c>
      <c r="K225" s="6" t="str">
        <f t="shared" ca="1" si="4"/>
        <v/>
      </c>
    </row>
    <row r="226" spans="1:11" ht="15" customHeight="1" x14ac:dyDescent="0.35">
      <c r="A226" t="str">
        <f t="shared" si="5"/>
        <v/>
      </c>
      <c r="K226" s="6" t="str">
        <f t="shared" ca="1" si="4"/>
        <v/>
      </c>
    </row>
    <row r="227" spans="1:11" ht="15" customHeight="1" x14ac:dyDescent="0.35">
      <c r="A227" t="str">
        <f t="shared" si="5"/>
        <v/>
      </c>
      <c r="K227" s="6" t="str">
        <f t="shared" ca="1" si="4"/>
        <v/>
      </c>
    </row>
    <row r="228" spans="1:11" ht="15" customHeight="1" x14ac:dyDescent="0.35">
      <c r="A228" t="str">
        <f t="shared" si="5"/>
        <v/>
      </c>
      <c r="K228" s="6" t="str">
        <f t="shared" ca="1" si="4"/>
        <v/>
      </c>
    </row>
    <row r="229" spans="1:11" ht="15" customHeight="1" x14ac:dyDescent="0.35">
      <c r="A229" t="str">
        <f t="shared" si="5"/>
        <v/>
      </c>
      <c r="K229" s="6" t="str">
        <f t="shared" ca="1" si="4"/>
        <v/>
      </c>
    </row>
    <row r="230" spans="1:11" ht="15" customHeight="1" x14ac:dyDescent="0.35">
      <c r="A230" t="str">
        <f t="shared" si="5"/>
        <v/>
      </c>
      <c r="K230" s="6" t="str">
        <f t="shared" ca="1" si="4"/>
        <v/>
      </c>
    </row>
    <row r="231" spans="1:11" ht="15" customHeight="1" x14ac:dyDescent="0.35">
      <c r="A231" t="str">
        <f t="shared" si="5"/>
        <v/>
      </c>
      <c r="K231" s="6" t="str">
        <f t="shared" ca="1" si="4"/>
        <v/>
      </c>
    </row>
    <row r="232" spans="1:11" ht="15" customHeight="1" x14ac:dyDescent="0.35">
      <c r="A232" t="str">
        <f t="shared" si="5"/>
        <v/>
      </c>
      <c r="K232" s="6" t="str">
        <f t="shared" ca="1" si="4"/>
        <v/>
      </c>
    </row>
    <row r="233" spans="1:11" ht="15" customHeight="1" x14ac:dyDescent="0.35">
      <c r="A233" t="str">
        <f t="shared" si="5"/>
        <v/>
      </c>
      <c r="K233" s="6" t="str">
        <f t="shared" ca="1" si="4"/>
        <v/>
      </c>
    </row>
    <row r="234" spans="1:11" ht="15" customHeight="1" x14ac:dyDescent="0.35">
      <c r="A234" t="str">
        <f t="shared" si="5"/>
        <v/>
      </c>
      <c r="K234" s="6" t="str">
        <f t="shared" ca="1" si="4"/>
        <v/>
      </c>
    </row>
    <row r="235" spans="1:11" ht="15" customHeight="1" x14ac:dyDescent="0.35">
      <c r="A235" t="str">
        <f t="shared" si="5"/>
        <v/>
      </c>
      <c r="K235" s="6" t="str">
        <f t="shared" ca="1" si="4"/>
        <v/>
      </c>
    </row>
    <row r="236" spans="1:11" ht="15" customHeight="1" x14ac:dyDescent="0.35">
      <c r="A236" t="str">
        <f t="shared" si="5"/>
        <v/>
      </c>
      <c r="K236" s="6" t="str">
        <f t="shared" ca="1" si="4"/>
        <v/>
      </c>
    </row>
    <row r="237" spans="1:11" ht="15" customHeight="1" x14ac:dyDescent="0.35">
      <c r="A237" t="str">
        <f t="shared" si="5"/>
        <v/>
      </c>
      <c r="K237" s="6" t="str">
        <f t="shared" ca="1" si="4"/>
        <v/>
      </c>
    </row>
    <row r="238" spans="1:11" ht="15" customHeight="1" x14ac:dyDescent="0.35">
      <c r="A238" t="str">
        <f t="shared" si="5"/>
        <v/>
      </c>
      <c r="K238" s="6" t="str">
        <f t="shared" ca="1" si="4"/>
        <v/>
      </c>
    </row>
    <row r="239" spans="1:11" ht="15" customHeight="1" x14ac:dyDescent="0.35">
      <c r="A239" t="str">
        <f t="shared" si="5"/>
        <v/>
      </c>
      <c r="K239" s="6" t="str">
        <f t="shared" ca="1" si="4"/>
        <v/>
      </c>
    </row>
    <row r="240" spans="1:11" ht="15" customHeight="1" x14ac:dyDescent="0.35">
      <c r="A240" t="str">
        <f t="shared" si="5"/>
        <v/>
      </c>
      <c r="K240" s="6" t="str">
        <f t="shared" ca="1" si="4"/>
        <v/>
      </c>
    </row>
    <row r="241" spans="1:11" ht="15" customHeight="1" x14ac:dyDescent="0.35">
      <c r="A241" t="str">
        <f t="shared" si="5"/>
        <v/>
      </c>
      <c r="K241" s="6" t="str">
        <f t="shared" ca="1" si="4"/>
        <v/>
      </c>
    </row>
    <row r="242" spans="1:11" ht="15" customHeight="1" x14ac:dyDescent="0.35">
      <c r="A242" t="str">
        <f t="shared" si="5"/>
        <v/>
      </c>
      <c r="K242" s="6" t="str">
        <f t="shared" ref="K242:K305" ca="1" si="6">IF(B242="","",TODAY())</f>
        <v/>
      </c>
    </row>
    <row r="243" spans="1:11" ht="15" customHeight="1" x14ac:dyDescent="0.35">
      <c r="A243" t="str">
        <f t="shared" ref="A243:A306" si="7">IF(B243="","","L"&amp;TEXT(ROW()-2,"000"))</f>
        <v/>
      </c>
      <c r="K243" s="6" t="str">
        <f t="shared" ca="1" si="6"/>
        <v/>
      </c>
    </row>
    <row r="244" spans="1:11" ht="15" customHeight="1" x14ac:dyDescent="0.35">
      <c r="A244" t="str">
        <f t="shared" si="7"/>
        <v/>
      </c>
      <c r="K244" s="6" t="str">
        <f t="shared" ca="1" si="6"/>
        <v/>
      </c>
    </row>
    <row r="245" spans="1:11" ht="15" customHeight="1" x14ac:dyDescent="0.35">
      <c r="A245" t="str">
        <f t="shared" si="7"/>
        <v/>
      </c>
      <c r="K245" s="6" t="str">
        <f t="shared" ca="1" si="6"/>
        <v/>
      </c>
    </row>
    <row r="246" spans="1:11" ht="15" customHeight="1" x14ac:dyDescent="0.35">
      <c r="A246" t="str">
        <f t="shared" si="7"/>
        <v/>
      </c>
      <c r="K246" s="6" t="str">
        <f t="shared" ca="1" si="6"/>
        <v/>
      </c>
    </row>
    <row r="247" spans="1:11" ht="15" customHeight="1" x14ac:dyDescent="0.35">
      <c r="A247" t="str">
        <f t="shared" si="7"/>
        <v/>
      </c>
      <c r="K247" s="6" t="str">
        <f t="shared" ca="1" si="6"/>
        <v/>
      </c>
    </row>
    <row r="248" spans="1:11" ht="15" customHeight="1" x14ac:dyDescent="0.35">
      <c r="A248" t="str">
        <f t="shared" si="7"/>
        <v/>
      </c>
      <c r="K248" s="6" t="str">
        <f t="shared" ca="1" si="6"/>
        <v/>
      </c>
    </row>
    <row r="249" spans="1:11" ht="15" customHeight="1" x14ac:dyDescent="0.35">
      <c r="A249" t="str">
        <f t="shared" si="7"/>
        <v/>
      </c>
      <c r="K249" s="6" t="str">
        <f t="shared" ca="1" si="6"/>
        <v/>
      </c>
    </row>
    <row r="250" spans="1:11" ht="15" customHeight="1" x14ac:dyDescent="0.35">
      <c r="A250" t="str">
        <f t="shared" si="7"/>
        <v/>
      </c>
      <c r="K250" s="6" t="str">
        <f t="shared" ca="1" si="6"/>
        <v/>
      </c>
    </row>
    <row r="251" spans="1:11" ht="15" customHeight="1" x14ac:dyDescent="0.35">
      <c r="A251" t="str">
        <f t="shared" si="7"/>
        <v/>
      </c>
      <c r="K251" s="6" t="str">
        <f t="shared" ca="1" si="6"/>
        <v/>
      </c>
    </row>
    <row r="252" spans="1:11" ht="15" customHeight="1" x14ac:dyDescent="0.35">
      <c r="A252" t="str">
        <f t="shared" si="7"/>
        <v/>
      </c>
      <c r="K252" s="6" t="str">
        <f t="shared" ca="1" si="6"/>
        <v/>
      </c>
    </row>
    <row r="253" spans="1:11" ht="15" customHeight="1" x14ac:dyDescent="0.35">
      <c r="A253" t="str">
        <f t="shared" si="7"/>
        <v/>
      </c>
      <c r="K253" s="6" t="str">
        <f t="shared" ca="1" si="6"/>
        <v/>
      </c>
    </row>
    <row r="254" spans="1:11" ht="15" customHeight="1" x14ac:dyDescent="0.35">
      <c r="A254" t="str">
        <f t="shared" si="7"/>
        <v/>
      </c>
      <c r="K254" s="6" t="str">
        <f t="shared" ca="1" si="6"/>
        <v/>
      </c>
    </row>
    <row r="255" spans="1:11" ht="15" customHeight="1" x14ac:dyDescent="0.35">
      <c r="A255" t="str">
        <f t="shared" si="7"/>
        <v/>
      </c>
      <c r="K255" s="6" t="str">
        <f t="shared" ca="1" si="6"/>
        <v/>
      </c>
    </row>
    <row r="256" spans="1:11" ht="15" customHeight="1" x14ac:dyDescent="0.35">
      <c r="A256" t="str">
        <f t="shared" si="7"/>
        <v/>
      </c>
      <c r="K256" s="6" t="str">
        <f t="shared" ca="1" si="6"/>
        <v/>
      </c>
    </row>
    <row r="257" spans="1:11" ht="15" customHeight="1" x14ac:dyDescent="0.35">
      <c r="A257" t="str">
        <f t="shared" si="7"/>
        <v/>
      </c>
      <c r="K257" s="6" t="str">
        <f t="shared" ca="1" si="6"/>
        <v/>
      </c>
    </row>
    <row r="258" spans="1:11" ht="15" customHeight="1" x14ac:dyDescent="0.35">
      <c r="A258" t="str">
        <f t="shared" si="7"/>
        <v/>
      </c>
      <c r="K258" s="6" t="str">
        <f t="shared" ca="1" si="6"/>
        <v/>
      </c>
    </row>
    <row r="259" spans="1:11" ht="15" customHeight="1" x14ac:dyDescent="0.35">
      <c r="A259" t="str">
        <f t="shared" si="7"/>
        <v/>
      </c>
      <c r="K259" s="6" t="str">
        <f t="shared" ca="1" si="6"/>
        <v/>
      </c>
    </row>
    <row r="260" spans="1:11" ht="15" customHeight="1" x14ac:dyDescent="0.35">
      <c r="A260" t="str">
        <f t="shared" si="7"/>
        <v/>
      </c>
      <c r="K260" s="6" t="str">
        <f t="shared" ca="1" si="6"/>
        <v/>
      </c>
    </row>
    <row r="261" spans="1:11" ht="15" customHeight="1" x14ac:dyDescent="0.35">
      <c r="A261" t="str">
        <f t="shared" si="7"/>
        <v/>
      </c>
      <c r="K261" s="6" t="str">
        <f t="shared" ca="1" si="6"/>
        <v/>
      </c>
    </row>
    <row r="262" spans="1:11" ht="15" customHeight="1" x14ac:dyDescent="0.35">
      <c r="A262" t="str">
        <f t="shared" si="7"/>
        <v/>
      </c>
      <c r="K262" s="6" t="str">
        <f t="shared" ca="1" si="6"/>
        <v/>
      </c>
    </row>
    <row r="263" spans="1:11" ht="15" customHeight="1" x14ac:dyDescent="0.35">
      <c r="A263" t="str">
        <f t="shared" si="7"/>
        <v/>
      </c>
      <c r="K263" s="6" t="str">
        <f t="shared" ca="1" si="6"/>
        <v/>
      </c>
    </row>
    <row r="264" spans="1:11" ht="15" customHeight="1" x14ac:dyDescent="0.35">
      <c r="A264" t="str">
        <f t="shared" si="7"/>
        <v/>
      </c>
      <c r="K264" s="6" t="str">
        <f t="shared" ca="1" si="6"/>
        <v/>
      </c>
    </row>
    <row r="265" spans="1:11" ht="15" customHeight="1" x14ac:dyDescent="0.35">
      <c r="A265" t="str">
        <f t="shared" si="7"/>
        <v/>
      </c>
      <c r="K265" s="6" t="str">
        <f t="shared" ca="1" si="6"/>
        <v/>
      </c>
    </row>
    <row r="266" spans="1:11" ht="15" customHeight="1" x14ac:dyDescent="0.35">
      <c r="A266" t="str">
        <f t="shared" si="7"/>
        <v/>
      </c>
      <c r="K266" s="6" t="str">
        <f t="shared" ca="1" si="6"/>
        <v/>
      </c>
    </row>
    <row r="267" spans="1:11" ht="15" customHeight="1" x14ac:dyDescent="0.35">
      <c r="A267" t="str">
        <f t="shared" si="7"/>
        <v/>
      </c>
      <c r="K267" s="6" t="str">
        <f t="shared" ca="1" si="6"/>
        <v/>
      </c>
    </row>
    <row r="268" spans="1:11" ht="15" customHeight="1" x14ac:dyDescent="0.35">
      <c r="A268" t="str">
        <f t="shared" si="7"/>
        <v/>
      </c>
      <c r="K268" s="6" t="str">
        <f t="shared" ca="1" si="6"/>
        <v/>
      </c>
    </row>
    <row r="269" spans="1:11" ht="15" customHeight="1" x14ac:dyDescent="0.35">
      <c r="A269" t="str">
        <f t="shared" si="7"/>
        <v/>
      </c>
      <c r="K269" s="6" t="str">
        <f t="shared" ca="1" si="6"/>
        <v/>
      </c>
    </row>
    <row r="270" spans="1:11" ht="15" customHeight="1" x14ac:dyDescent="0.35">
      <c r="A270" t="str">
        <f t="shared" si="7"/>
        <v/>
      </c>
      <c r="K270" s="6" t="str">
        <f t="shared" ca="1" si="6"/>
        <v/>
      </c>
    </row>
    <row r="271" spans="1:11" ht="15" customHeight="1" x14ac:dyDescent="0.35">
      <c r="A271" t="str">
        <f t="shared" si="7"/>
        <v/>
      </c>
      <c r="K271" s="6" t="str">
        <f t="shared" ca="1" si="6"/>
        <v/>
      </c>
    </row>
    <row r="272" spans="1:11" ht="15" customHeight="1" x14ac:dyDescent="0.35">
      <c r="A272" t="str">
        <f t="shared" si="7"/>
        <v/>
      </c>
      <c r="K272" s="6" t="str">
        <f t="shared" ca="1" si="6"/>
        <v/>
      </c>
    </row>
    <row r="273" spans="1:11" ht="15" customHeight="1" x14ac:dyDescent="0.35">
      <c r="A273" t="str">
        <f t="shared" si="7"/>
        <v/>
      </c>
      <c r="K273" s="6" t="str">
        <f t="shared" ca="1" si="6"/>
        <v/>
      </c>
    </row>
    <row r="274" spans="1:11" ht="15" customHeight="1" x14ac:dyDescent="0.35">
      <c r="A274" t="str">
        <f t="shared" si="7"/>
        <v/>
      </c>
      <c r="K274" s="6" t="str">
        <f t="shared" ca="1" si="6"/>
        <v/>
      </c>
    </row>
    <row r="275" spans="1:11" ht="15" customHeight="1" x14ac:dyDescent="0.35">
      <c r="A275" t="str">
        <f t="shared" si="7"/>
        <v/>
      </c>
      <c r="K275" s="6" t="str">
        <f t="shared" ca="1" si="6"/>
        <v/>
      </c>
    </row>
    <row r="276" spans="1:11" ht="15" customHeight="1" x14ac:dyDescent="0.35">
      <c r="A276" t="str">
        <f t="shared" si="7"/>
        <v/>
      </c>
      <c r="K276" s="6" t="str">
        <f t="shared" ca="1" si="6"/>
        <v/>
      </c>
    </row>
    <row r="277" spans="1:11" ht="15" customHeight="1" x14ac:dyDescent="0.35">
      <c r="A277" t="str">
        <f t="shared" si="7"/>
        <v/>
      </c>
      <c r="K277" s="6" t="str">
        <f t="shared" ca="1" si="6"/>
        <v/>
      </c>
    </row>
    <row r="278" spans="1:11" ht="15" customHeight="1" x14ac:dyDescent="0.35">
      <c r="A278" t="str">
        <f t="shared" si="7"/>
        <v/>
      </c>
      <c r="K278" s="6" t="str">
        <f t="shared" ca="1" si="6"/>
        <v/>
      </c>
    </row>
    <row r="279" spans="1:11" ht="15" customHeight="1" x14ac:dyDescent="0.35">
      <c r="A279" t="str">
        <f t="shared" si="7"/>
        <v/>
      </c>
      <c r="K279" s="6" t="str">
        <f t="shared" ca="1" si="6"/>
        <v/>
      </c>
    </row>
    <row r="280" spans="1:11" ht="15" customHeight="1" x14ac:dyDescent="0.35">
      <c r="A280" t="str">
        <f t="shared" si="7"/>
        <v/>
      </c>
      <c r="K280" s="6" t="str">
        <f t="shared" ca="1" si="6"/>
        <v/>
      </c>
    </row>
    <row r="281" spans="1:11" ht="15" customHeight="1" x14ac:dyDescent="0.35">
      <c r="A281" t="str">
        <f t="shared" si="7"/>
        <v/>
      </c>
      <c r="K281" s="6" t="str">
        <f t="shared" ca="1" si="6"/>
        <v/>
      </c>
    </row>
    <row r="282" spans="1:11" ht="15" customHeight="1" x14ac:dyDescent="0.35">
      <c r="A282" t="str">
        <f t="shared" si="7"/>
        <v/>
      </c>
      <c r="K282" s="6" t="str">
        <f t="shared" ca="1" si="6"/>
        <v/>
      </c>
    </row>
    <row r="283" spans="1:11" ht="15" customHeight="1" x14ac:dyDescent="0.35">
      <c r="A283" t="str">
        <f t="shared" si="7"/>
        <v/>
      </c>
      <c r="K283" s="6" t="str">
        <f t="shared" ca="1" si="6"/>
        <v/>
      </c>
    </row>
    <row r="284" spans="1:11" ht="15" customHeight="1" x14ac:dyDescent="0.35">
      <c r="A284" t="str">
        <f t="shared" si="7"/>
        <v/>
      </c>
      <c r="K284" s="6" t="str">
        <f t="shared" ca="1" si="6"/>
        <v/>
      </c>
    </row>
    <row r="285" spans="1:11" ht="15" customHeight="1" x14ac:dyDescent="0.35">
      <c r="A285" t="str">
        <f t="shared" si="7"/>
        <v/>
      </c>
      <c r="K285" s="6" t="str">
        <f t="shared" ca="1" si="6"/>
        <v/>
      </c>
    </row>
    <row r="286" spans="1:11" ht="15" customHeight="1" x14ac:dyDescent="0.35">
      <c r="A286" t="str">
        <f t="shared" si="7"/>
        <v/>
      </c>
      <c r="K286" s="6" t="str">
        <f t="shared" ca="1" si="6"/>
        <v/>
      </c>
    </row>
    <row r="287" spans="1:11" ht="15" customHeight="1" x14ac:dyDescent="0.35">
      <c r="A287" t="str">
        <f t="shared" si="7"/>
        <v/>
      </c>
      <c r="K287" s="6" t="str">
        <f t="shared" ca="1" si="6"/>
        <v/>
      </c>
    </row>
    <row r="288" spans="1:11" ht="15" customHeight="1" x14ac:dyDescent="0.35">
      <c r="A288" t="str">
        <f t="shared" si="7"/>
        <v/>
      </c>
      <c r="K288" s="6" t="str">
        <f t="shared" ca="1" si="6"/>
        <v/>
      </c>
    </row>
    <row r="289" spans="1:11" ht="15" customHeight="1" x14ac:dyDescent="0.35">
      <c r="A289" t="str">
        <f t="shared" si="7"/>
        <v/>
      </c>
      <c r="K289" s="6" t="str">
        <f t="shared" ca="1" si="6"/>
        <v/>
      </c>
    </row>
    <row r="290" spans="1:11" ht="15" customHeight="1" x14ac:dyDescent="0.35">
      <c r="A290" t="str">
        <f t="shared" si="7"/>
        <v/>
      </c>
      <c r="K290" s="6" t="str">
        <f t="shared" ca="1" si="6"/>
        <v/>
      </c>
    </row>
    <row r="291" spans="1:11" ht="15" customHeight="1" x14ac:dyDescent="0.35">
      <c r="A291" t="str">
        <f t="shared" si="7"/>
        <v/>
      </c>
      <c r="K291" s="6" t="str">
        <f t="shared" ca="1" si="6"/>
        <v/>
      </c>
    </row>
    <row r="292" spans="1:11" ht="15" customHeight="1" x14ac:dyDescent="0.35">
      <c r="A292" t="str">
        <f t="shared" si="7"/>
        <v/>
      </c>
      <c r="K292" s="6" t="str">
        <f t="shared" ca="1" si="6"/>
        <v/>
      </c>
    </row>
    <row r="293" spans="1:11" ht="15" customHeight="1" x14ac:dyDescent="0.35">
      <c r="A293" t="str">
        <f t="shared" si="7"/>
        <v/>
      </c>
      <c r="K293" s="6" t="str">
        <f t="shared" ca="1" si="6"/>
        <v/>
      </c>
    </row>
    <row r="294" spans="1:11" ht="15" customHeight="1" x14ac:dyDescent="0.35">
      <c r="A294" t="str">
        <f t="shared" si="7"/>
        <v/>
      </c>
      <c r="K294" s="6" t="str">
        <f t="shared" ca="1" si="6"/>
        <v/>
      </c>
    </row>
    <row r="295" spans="1:11" ht="15" customHeight="1" x14ac:dyDescent="0.35">
      <c r="A295" t="str">
        <f t="shared" si="7"/>
        <v/>
      </c>
      <c r="K295" s="6" t="str">
        <f t="shared" ca="1" si="6"/>
        <v/>
      </c>
    </row>
    <row r="296" spans="1:11" ht="15" customHeight="1" x14ac:dyDescent="0.35">
      <c r="A296" t="str">
        <f t="shared" si="7"/>
        <v/>
      </c>
      <c r="K296" s="6" t="str">
        <f t="shared" ca="1" si="6"/>
        <v/>
      </c>
    </row>
    <row r="297" spans="1:11" ht="15" customHeight="1" x14ac:dyDescent="0.35">
      <c r="A297" t="str">
        <f t="shared" si="7"/>
        <v/>
      </c>
      <c r="K297" s="6" t="str">
        <f t="shared" ca="1" si="6"/>
        <v/>
      </c>
    </row>
    <row r="298" spans="1:11" ht="15" customHeight="1" x14ac:dyDescent="0.35">
      <c r="A298" t="str">
        <f t="shared" si="7"/>
        <v/>
      </c>
      <c r="K298" s="6" t="str">
        <f t="shared" ca="1" si="6"/>
        <v/>
      </c>
    </row>
    <row r="299" spans="1:11" ht="15" customHeight="1" x14ac:dyDescent="0.35">
      <c r="A299" t="str">
        <f t="shared" si="7"/>
        <v/>
      </c>
      <c r="K299" s="6" t="str">
        <f t="shared" ca="1" si="6"/>
        <v/>
      </c>
    </row>
    <row r="300" spans="1:11" ht="15" customHeight="1" x14ac:dyDescent="0.35">
      <c r="A300" t="str">
        <f t="shared" si="7"/>
        <v/>
      </c>
      <c r="K300" s="6" t="str">
        <f t="shared" ca="1" si="6"/>
        <v/>
      </c>
    </row>
    <row r="301" spans="1:11" ht="15" customHeight="1" x14ac:dyDescent="0.35">
      <c r="A301" t="str">
        <f t="shared" si="7"/>
        <v/>
      </c>
      <c r="K301" s="6" t="str">
        <f t="shared" ca="1" si="6"/>
        <v/>
      </c>
    </row>
    <row r="302" spans="1:11" ht="15" customHeight="1" x14ac:dyDescent="0.35">
      <c r="A302" t="str">
        <f t="shared" si="7"/>
        <v/>
      </c>
      <c r="K302" s="6" t="str">
        <f t="shared" ca="1" si="6"/>
        <v/>
      </c>
    </row>
    <row r="303" spans="1:11" ht="15" customHeight="1" x14ac:dyDescent="0.35">
      <c r="A303" t="str">
        <f t="shared" si="7"/>
        <v/>
      </c>
      <c r="K303" s="6" t="str">
        <f t="shared" ca="1" si="6"/>
        <v/>
      </c>
    </row>
    <row r="304" spans="1:11" ht="15" customHeight="1" x14ac:dyDescent="0.35">
      <c r="A304" t="str">
        <f t="shared" si="7"/>
        <v/>
      </c>
      <c r="K304" s="6" t="str">
        <f t="shared" ca="1" si="6"/>
        <v/>
      </c>
    </row>
    <row r="305" spans="1:11" ht="15" customHeight="1" x14ac:dyDescent="0.35">
      <c r="A305" t="str">
        <f t="shared" si="7"/>
        <v/>
      </c>
      <c r="K305" s="6" t="str">
        <f t="shared" ca="1" si="6"/>
        <v/>
      </c>
    </row>
    <row r="306" spans="1:11" ht="15" customHeight="1" x14ac:dyDescent="0.35">
      <c r="A306" t="str">
        <f t="shared" si="7"/>
        <v/>
      </c>
      <c r="K306" s="6" t="str">
        <f t="shared" ref="K306:K369" ca="1" si="8">IF(B306="","",TODAY())</f>
        <v/>
      </c>
    </row>
    <row r="307" spans="1:11" ht="15" customHeight="1" x14ac:dyDescent="0.35">
      <c r="A307" t="str">
        <f t="shared" ref="A307:A370" si="9">IF(B307="","","L"&amp;TEXT(ROW()-2,"000"))</f>
        <v/>
      </c>
      <c r="K307" s="6" t="str">
        <f t="shared" ca="1" si="8"/>
        <v/>
      </c>
    </row>
    <row r="308" spans="1:11" ht="15" customHeight="1" x14ac:dyDescent="0.35">
      <c r="A308" t="str">
        <f t="shared" si="9"/>
        <v/>
      </c>
      <c r="K308" s="6" t="str">
        <f t="shared" ca="1" si="8"/>
        <v/>
      </c>
    </row>
    <row r="309" spans="1:11" ht="15" customHeight="1" x14ac:dyDescent="0.35">
      <c r="A309" t="str">
        <f t="shared" si="9"/>
        <v/>
      </c>
      <c r="K309" s="6" t="str">
        <f t="shared" ca="1" si="8"/>
        <v/>
      </c>
    </row>
    <row r="310" spans="1:11" ht="15" customHeight="1" x14ac:dyDescent="0.35">
      <c r="A310" t="str">
        <f t="shared" si="9"/>
        <v/>
      </c>
      <c r="K310" s="6" t="str">
        <f t="shared" ca="1" si="8"/>
        <v/>
      </c>
    </row>
    <row r="311" spans="1:11" ht="15" customHeight="1" x14ac:dyDescent="0.35">
      <c r="A311" t="str">
        <f t="shared" si="9"/>
        <v/>
      </c>
      <c r="K311" s="6" t="str">
        <f t="shared" ca="1" si="8"/>
        <v/>
      </c>
    </row>
    <row r="312" spans="1:11" ht="15" customHeight="1" x14ac:dyDescent="0.35">
      <c r="A312" t="str">
        <f t="shared" si="9"/>
        <v/>
      </c>
      <c r="K312" s="6" t="str">
        <f t="shared" ca="1" si="8"/>
        <v/>
      </c>
    </row>
    <row r="313" spans="1:11" ht="15" customHeight="1" x14ac:dyDescent="0.35">
      <c r="A313" t="str">
        <f t="shared" si="9"/>
        <v/>
      </c>
      <c r="K313" s="6" t="str">
        <f t="shared" ca="1" si="8"/>
        <v/>
      </c>
    </row>
    <row r="314" spans="1:11" ht="15" customHeight="1" x14ac:dyDescent="0.35">
      <c r="A314" t="str">
        <f t="shared" si="9"/>
        <v/>
      </c>
      <c r="K314" s="6" t="str">
        <f t="shared" ca="1" si="8"/>
        <v/>
      </c>
    </row>
    <row r="315" spans="1:11" ht="15" customHeight="1" x14ac:dyDescent="0.35">
      <c r="A315" t="str">
        <f t="shared" si="9"/>
        <v/>
      </c>
      <c r="K315" s="6" t="str">
        <f t="shared" ca="1" si="8"/>
        <v/>
      </c>
    </row>
    <row r="316" spans="1:11" ht="15" customHeight="1" x14ac:dyDescent="0.35">
      <c r="A316" t="str">
        <f t="shared" si="9"/>
        <v/>
      </c>
      <c r="K316" s="6" t="str">
        <f t="shared" ca="1" si="8"/>
        <v/>
      </c>
    </row>
    <row r="317" spans="1:11" ht="15" customHeight="1" x14ac:dyDescent="0.35">
      <c r="A317" t="str">
        <f t="shared" si="9"/>
        <v/>
      </c>
      <c r="K317" s="6" t="str">
        <f t="shared" ca="1" si="8"/>
        <v/>
      </c>
    </row>
    <row r="318" spans="1:11" ht="15" customHeight="1" x14ac:dyDescent="0.35">
      <c r="A318" t="str">
        <f t="shared" si="9"/>
        <v/>
      </c>
      <c r="K318" s="6" t="str">
        <f t="shared" ca="1" si="8"/>
        <v/>
      </c>
    </row>
    <row r="319" spans="1:11" ht="15" customHeight="1" x14ac:dyDescent="0.35">
      <c r="A319" t="str">
        <f t="shared" si="9"/>
        <v/>
      </c>
      <c r="K319" s="6" t="str">
        <f t="shared" ca="1" si="8"/>
        <v/>
      </c>
    </row>
    <row r="320" spans="1:11" ht="15" customHeight="1" x14ac:dyDescent="0.35">
      <c r="A320" t="str">
        <f t="shared" si="9"/>
        <v/>
      </c>
      <c r="K320" s="6" t="str">
        <f t="shared" ca="1" si="8"/>
        <v/>
      </c>
    </row>
    <row r="321" spans="1:11" ht="15" customHeight="1" x14ac:dyDescent="0.35">
      <c r="A321" t="str">
        <f t="shared" si="9"/>
        <v/>
      </c>
      <c r="K321" s="6" t="str">
        <f t="shared" ca="1" si="8"/>
        <v/>
      </c>
    </row>
    <row r="322" spans="1:11" ht="15" customHeight="1" x14ac:dyDescent="0.35">
      <c r="A322" t="str">
        <f t="shared" si="9"/>
        <v/>
      </c>
      <c r="K322" s="6" t="str">
        <f t="shared" ca="1" si="8"/>
        <v/>
      </c>
    </row>
    <row r="323" spans="1:11" ht="15" customHeight="1" x14ac:dyDescent="0.35">
      <c r="A323" t="str">
        <f t="shared" si="9"/>
        <v/>
      </c>
      <c r="K323" s="6" t="str">
        <f t="shared" ca="1" si="8"/>
        <v/>
      </c>
    </row>
    <row r="324" spans="1:11" ht="15" customHeight="1" x14ac:dyDescent="0.35">
      <c r="A324" t="str">
        <f t="shared" si="9"/>
        <v/>
      </c>
      <c r="K324" s="6" t="str">
        <f t="shared" ca="1" si="8"/>
        <v/>
      </c>
    </row>
    <row r="325" spans="1:11" ht="15" customHeight="1" x14ac:dyDescent="0.35">
      <c r="A325" t="str">
        <f t="shared" si="9"/>
        <v/>
      </c>
      <c r="K325" s="6" t="str">
        <f t="shared" ca="1" si="8"/>
        <v/>
      </c>
    </row>
    <row r="326" spans="1:11" ht="15" customHeight="1" x14ac:dyDescent="0.35">
      <c r="A326" t="str">
        <f t="shared" si="9"/>
        <v/>
      </c>
      <c r="K326" s="6" t="str">
        <f t="shared" ca="1" si="8"/>
        <v/>
      </c>
    </row>
    <row r="327" spans="1:11" ht="15" customHeight="1" x14ac:dyDescent="0.35">
      <c r="A327" t="str">
        <f t="shared" si="9"/>
        <v/>
      </c>
      <c r="K327" s="6" t="str">
        <f t="shared" ca="1" si="8"/>
        <v/>
      </c>
    </row>
    <row r="328" spans="1:11" ht="15" customHeight="1" x14ac:dyDescent="0.35">
      <c r="A328" t="str">
        <f t="shared" si="9"/>
        <v/>
      </c>
      <c r="K328" s="6" t="str">
        <f t="shared" ca="1" si="8"/>
        <v/>
      </c>
    </row>
    <row r="329" spans="1:11" ht="15" customHeight="1" x14ac:dyDescent="0.35">
      <c r="A329" t="str">
        <f t="shared" si="9"/>
        <v/>
      </c>
      <c r="K329" s="6" t="str">
        <f t="shared" ca="1" si="8"/>
        <v/>
      </c>
    </row>
    <row r="330" spans="1:11" ht="15" customHeight="1" x14ac:dyDescent="0.35">
      <c r="A330" t="str">
        <f t="shared" si="9"/>
        <v/>
      </c>
      <c r="K330" s="6" t="str">
        <f t="shared" ca="1" si="8"/>
        <v/>
      </c>
    </row>
    <row r="331" spans="1:11" ht="15" customHeight="1" x14ac:dyDescent="0.35">
      <c r="A331" t="str">
        <f t="shared" si="9"/>
        <v/>
      </c>
      <c r="K331" s="6" t="str">
        <f t="shared" ca="1" si="8"/>
        <v/>
      </c>
    </row>
    <row r="332" spans="1:11" ht="15" customHeight="1" x14ac:dyDescent="0.35">
      <c r="A332" t="str">
        <f t="shared" si="9"/>
        <v/>
      </c>
      <c r="K332" s="6" t="str">
        <f t="shared" ca="1" si="8"/>
        <v/>
      </c>
    </row>
    <row r="333" spans="1:11" ht="15" customHeight="1" x14ac:dyDescent="0.35">
      <c r="A333" t="str">
        <f t="shared" si="9"/>
        <v/>
      </c>
      <c r="K333" s="6" t="str">
        <f t="shared" ca="1" si="8"/>
        <v/>
      </c>
    </row>
    <row r="334" spans="1:11" ht="15" customHeight="1" x14ac:dyDescent="0.35">
      <c r="A334" t="str">
        <f t="shared" si="9"/>
        <v/>
      </c>
      <c r="K334" s="6" t="str">
        <f t="shared" ca="1" si="8"/>
        <v/>
      </c>
    </row>
    <row r="335" spans="1:11" ht="15" customHeight="1" x14ac:dyDescent="0.35">
      <c r="A335" t="str">
        <f t="shared" si="9"/>
        <v/>
      </c>
      <c r="K335" s="6" t="str">
        <f t="shared" ca="1" si="8"/>
        <v/>
      </c>
    </row>
    <row r="336" spans="1:11" ht="15" customHeight="1" x14ac:dyDescent="0.35">
      <c r="A336" t="str">
        <f t="shared" si="9"/>
        <v/>
      </c>
      <c r="K336" s="6" t="str">
        <f t="shared" ca="1" si="8"/>
        <v/>
      </c>
    </row>
    <row r="337" spans="1:11" ht="15" customHeight="1" x14ac:dyDescent="0.35">
      <c r="A337" t="str">
        <f t="shared" si="9"/>
        <v/>
      </c>
      <c r="K337" s="6" t="str">
        <f t="shared" ca="1" si="8"/>
        <v/>
      </c>
    </row>
    <row r="338" spans="1:11" ht="15" customHeight="1" x14ac:dyDescent="0.35">
      <c r="A338" t="str">
        <f t="shared" si="9"/>
        <v/>
      </c>
      <c r="K338" s="6" t="str">
        <f t="shared" ca="1" si="8"/>
        <v/>
      </c>
    </row>
    <row r="339" spans="1:11" ht="15" customHeight="1" x14ac:dyDescent="0.35">
      <c r="A339" t="str">
        <f t="shared" si="9"/>
        <v/>
      </c>
      <c r="K339" s="6" t="str">
        <f t="shared" ca="1" si="8"/>
        <v/>
      </c>
    </row>
    <row r="340" spans="1:11" ht="15" customHeight="1" x14ac:dyDescent="0.35">
      <c r="A340" t="str">
        <f t="shared" si="9"/>
        <v/>
      </c>
      <c r="K340" s="6" t="str">
        <f t="shared" ca="1" si="8"/>
        <v/>
      </c>
    </row>
    <row r="341" spans="1:11" ht="15" customHeight="1" x14ac:dyDescent="0.35">
      <c r="A341" t="str">
        <f t="shared" si="9"/>
        <v/>
      </c>
      <c r="K341" s="6" t="str">
        <f t="shared" ca="1" si="8"/>
        <v/>
      </c>
    </row>
    <row r="342" spans="1:11" ht="15" customHeight="1" x14ac:dyDescent="0.35">
      <c r="A342" t="str">
        <f t="shared" si="9"/>
        <v/>
      </c>
      <c r="K342" s="6" t="str">
        <f t="shared" ca="1" si="8"/>
        <v/>
      </c>
    </row>
    <row r="343" spans="1:11" ht="15" customHeight="1" x14ac:dyDescent="0.35">
      <c r="A343" t="str">
        <f t="shared" si="9"/>
        <v/>
      </c>
      <c r="K343" s="6" t="str">
        <f t="shared" ca="1" si="8"/>
        <v/>
      </c>
    </row>
    <row r="344" spans="1:11" ht="15" customHeight="1" x14ac:dyDescent="0.35">
      <c r="A344" t="str">
        <f t="shared" si="9"/>
        <v/>
      </c>
      <c r="K344" s="6" t="str">
        <f t="shared" ca="1" si="8"/>
        <v/>
      </c>
    </row>
    <row r="345" spans="1:11" ht="15" customHeight="1" x14ac:dyDescent="0.35">
      <c r="A345" t="str">
        <f t="shared" si="9"/>
        <v/>
      </c>
      <c r="K345" s="6" t="str">
        <f t="shared" ca="1" si="8"/>
        <v/>
      </c>
    </row>
    <row r="346" spans="1:11" ht="15" customHeight="1" x14ac:dyDescent="0.35">
      <c r="A346" t="str">
        <f t="shared" si="9"/>
        <v/>
      </c>
      <c r="K346" s="6" t="str">
        <f t="shared" ca="1" si="8"/>
        <v/>
      </c>
    </row>
    <row r="347" spans="1:11" ht="15" customHeight="1" x14ac:dyDescent="0.35">
      <c r="A347" t="str">
        <f t="shared" si="9"/>
        <v/>
      </c>
      <c r="K347" s="6" t="str">
        <f t="shared" ca="1" si="8"/>
        <v/>
      </c>
    </row>
    <row r="348" spans="1:11" ht="15" customHeight="1" x14ac:dyDescent="0.35">
      <c r="A348" t="str">
        <f t="shared" si="9"/>
        <v/>
      </c>
      <c r="K348" s="6" t="str">
        <f t="shared" ca="1" si="8"/>
        <v/>
      </c>
    </row>
    <row r="349" spans="1:11" ht="15" customHeight="1" x14ac:dyDescent="0.35">
      <c r="A349" t="str">
        <f t="shared" si="9"/>
        <v/>
      </c>
      <c r="K349" s="6" t="str">
        <f t="shared" ca="1" si="8"/>
        <v/>
      </c>
    </row>
    <row r="350" spans="1:11" ht="15" customHeight="1" x14ac:dyDescent="0.35">
      <c r="A350" t="str">
        <f t="shared" si="9"/>
        <v/>
      </c>
      <c r="K350" s="6" t="str">
        <f t="shared" ca="1" si="8"/>
        <v/>
      </c>
    </row>
    <row r="351" spans="1:11" ht="15" customHeight="1" x14ac:dyDescent="0.35">
      <c r="A351" t="str">
        <f t="shared" si="9"/>
        <v/>
      </c>
      <c r="K351" s="6" t="str">
        <f t="shared" ca="1" si="8"/>
        <v/>
      </c>
    </row>
    <row r="352" spans="1:11" ht="15" customHeight="1" x14ac:dyDescent="0.35">
      <c r="A352" t="str">
        <f t="shared" si="9"/>
        <v/>
      </c>
      <c r="K352" s="6" t="str">
        <f t="shared" ca="1" si="8"/>
        <v/>
      </c>
    </row>
    <row r="353" spans="1:11" ht="15" customHeight="1" x14ac:dyDescent="0.35">
      <c r="A353" t="str">
        <f t="shared" si="9"/>
        <v/>
      </c>
      <c r="K353" s="6" t="str">
        <f t="shared" ca="1" si="8"/>
        <v/>
      </c>
    </row>
    <row r="354" spans="1:11" ht="15" customHeight="1" x14ac:dyDescent="0.35">
      <c r="A354" t="str">
        <f t="shared" si="9"/>
        <v/>
      </c>
      <c r="K354" s="6" t="str">
        <f t="shared" ca="1" si="8"/>
        <v/>
      </c>
    </row>
    <row r="355" spans="1:11" ht="15" customHeight="1" x14ac:dyDescent="0.35">
      <c r="A355" t="str">
        <f t="shared" si="9"/>
        <v/>
      </c>
      <c r="K355" s="6" t="str">
        <f t="shared" ca="1" si="8"/>
        <v/>
      </c>
    </row>
    <row r="356" spans="1:11" ht="15" customHeight="1" x14ac:dyDescent="0.35">
      <c r="A356" t="str">
        <f t="shared" si="9"/>
        <v/>
      </c>
      <c r="K356" s="6" t="str">
        <f t="shared" ca="1" si="8"/>
        <v/>
      </c>
    </row>
    <row r="357" spans="1:11" ht="15" customHeight="1" x14ac:dyDescent="0.35">
      <c r="A357" t="str">
        <f t="shared" si="9"/>
        <v/>
      </c>
      <c r="K357" s="6" t="str">
        <f t="shared" ca="1" si="8"/>
        <v/>
      </c>
    </row>
    <row r="358" spans="1:11" ht="15" customHeight="1" x14ac:dyDescent="0.35">
      <c r="A358" t="str">
        <f t="shared" si="9"/>
        <v/>
      </c>
      <c r="K358" s="6" t="str">
        <f t="shared" ca="1" si="8"/>
        <v/>
      </c>
    </row>
    <row r="359" spans="1:11" ht="15" customHeight="1" x14ac:dyDescent="0.35">
      <c r="A359" t="str">
        <f t="shared" si="9"/>
        <v/>
      </c>
      <c r="K359" s="6" t="str">
        <f t="shared" ca="1" si="8"/>
        <v/>
      </c>
    </row>
    <row r="360" spans="1:11" ht="15" customHeight="1" x14ac:dyDescent="0.35">
      <c r="A360" t="str">
        <f t="shared" si="9"/>
        <v/>
      </c>
      <c r="K360" s="6" t="str">
        <f t="shared" ca="1" si="8"/>
        <v/>
      </c>
    </row>
    <row r="361" spans="1:11" ht="15" customHeight="1" x14ac:dyDescent="0.35">
      <c r="A361" t="str">
        <f t="shared" si="9"/>
        <v/>
      </c>
      <c r="K361" s="6" t="str">
        <f t="shared" ca="1" si="8"/>
        <v/>
      </c>
    </row>
    <row r="362" spans="1:11" ht="15" customHeight="1" x14ac:dyDescent="0.35">
      <c r="A362" t="str">
        <f t="shared" si="9"/>
        <v/>
      </c>
      <c r="K362" s="6" t="str">
        <f t="shared" ca="1" si="8"/>
        <v/>
      </c>
    </row>
    <row r="363" spans="1:11" ht="15" customHeight="1" x14ac:dyDescent="0.35">
      <c r="A363" t="str">
        <f t="shared" si="9"/>
        <v/>
      </c>
      <c r="K363" s="6" t="str">
        <f t="shared" ca="1" si="8"/>
        <v/>
      </c>
    </row>
    <row r="364" spans="1:11" ht="15" customHeight="1" x14ac:dyDescent="0.35">
      <c r="A364" t="str">
        <f t="shared" si="9"/>
        <v/>
      </c>
      <c r="K364" s="6" t="str">
        <f t="shared" ca="1" si="8"/>
        <v/>
      </c>
    </row>
    <row r="365" spans="1:11" ht="15" customHeight="1" x14ac:dyDescent="0.35">
      <c r="A365" t="str">
        <f t="shared" si="9"/>
        <v/>
      </c>
      <c r="K365" s="6" t="str">
        <f t="shared" ca="1" si="8"/>
        <v/>
      </c>
    </row>
    <row r="366" spans="1:11" ht="15" customHeight="1" x14ac:dyDescent="0.35">
      <c r="A366" t="str">
        <f t="shared" si="9"/>
        <v/>
      </c>
      <c r="K366" s="6" t="str">
        <f t="shared" ca="1" si="8"/>
        <v/>
      </c>
    </row>
    <row r="367" spans="1:11" ht="15" customHeight="1" x14ac:dyDescent="0.35">
      <c r="A367" t="str">
        <f t="shared" si="9"/>
        <v/>
      </c>
      <c r="K367" s="6" t="str">
        <f t="shared" ca="1" si="8"/>
        <v/>
      </c>
    </row>
    <row r="368" spans="1:11" ht="15" customHeight="1" x14ac:dyDescent="0.35">
      <c r="A368" t="str">
        <f t="shared" si="9"/>
        <v/>
      </c>
      <c r="K368" s="6" t="str">
        <f t="shared" ca="1" si="8"/>
        <v/>
      </c>
    </row>
    <row r="369" spans="1:11" ht="15" customHeight="1" x14ac:dyDescent="0.35">
      <c r="A369" t="str">
        <f t="shared" si="9"/>
        <v/>
      </c>
      <c r="K369" s="6" t="str">
        <f t="shared" ca="1" si="8"/>
        <v/>
      </c>
    </row>
    <row r="370" spans="1:11" ht="15" customHeight="1" x14ac:dyDescent="0.35">
      <c r="A370" t="str">
        <f t="shared" si="9"/>
        <v/>
      </c>
      <c r="K370" s="6" t="str">
        <f t="shared" ref="K370:K433" ca="1" si="10">IF(B370="","",TODAY())</f>
        <v/>
      </c>
    </row>
    <row r="371" spans="1:11" ht="15" customHeight="1" x14ac:dyDescent="0.35">
      <c r="A371" t="str">
        <f t="shared" ref="A371:A434" si="11">IF(B371="","","L"&amp;TEXT(ROW()-2,"000"))</f>
        <v/>
      </c>
      <c r="K371" s="6" t="str">
        <f t="shared" ca="1" si="10"/>
        <v/>
      </c>
    </row>
    <row r="372" spans="1:11" ht="15" customHeight="1" x14ac:dyDescent="0.35">
      <c r="A372" t="str">
        <f t="shared" si="11"/>
        <v/>
      </c>
      <c r="K372" s="6" t="str">
        <f t="shared" ca="1" si="10"/>
        <v/>
      </c>
    </row>
    <row r="373" spans="1:11" ht="15" customHeight="1" x14ac:dyDescent="0.35">
      <c r="A373" t="str">
        <f t="shared" si="11"/>
        <v/>
      </c>
      <c r="K373" s="6" t="str">
        <f t="shared" ca="1" si="10"/>
        <v/>
      </c>
    </row>
    <row r="374" spans="1:11" ht="15" customHeight="1" x14ac:dyDescent="0.35">
      <c r="A374" t="str">
        <f t="shared" si="11"/>
        <v/>
      </c>
      <c r="K374" s="6" t="str">
        <f t="shared" ca="1" si="10"/>
        <v/>
      </c>
    </row>
    <row r="375" spans="1:11" ht="15" customHeight="1" x14ac:dyDescent="0.35">
      <c r="A375" t="str">
        <f t="shared" si="11"/>
        <v/>
      </c>
      <c r="K375" s="6" t="str">
        <f t="shared" ca="1" si="10"/>
        <v/>
      </c>
    </row>
    <row r="376" spans="1:11" ht="15" customHeight="1" x14ac:dyDescent="0.35">
      <c r="A376" t="str">
        <f t="shared" si="11"/>
        <v/>
      </c>
      <c r="K376" s="6" t="str">
        <f t="shared" ca="1" si="10"/>
        <v/>
      </c>
    </row>
    <row r="377" spans="1:11" ht="15" customHeight="1" x14ac:dyDescent="0.35">
      <c r="A377" t="str">
        <f t="shared" si="11"/>
        <v/>
      </c>
      <c r="K377" s="6" t="str">
        <f t="shared" ca="1" si="10"/>
        <v/>
      </c>
    </row>
    <row r="378" spans="1:11" ht="15" customHeight="1" x14ac:dyDescent="0.35">
      <c r="A378" t="str">
        <f t="shared" si="11"/>
        <v/>
      </c>
      <c r="K378" s="6" t="str">
        <f t="shared" ca="1" si="10"/>
        <v/>
      </c>
    </row>
    <row r="379" spans="1:11" ht="15" customHeight="1" x14ac:dyDescent="0.35">
      <c r="A379" t="str">
        <f t="shared" si="11"/>
        <v/>
      </c>
      <c r="K379" s="6" t="str">
        <f t="shared" ca="1" si="10"/>
        <v/>
      </c>
    </row>
    <row r="380" spans="1:11" ht="15" customHeight="1" x14ac:dyDescent="0.35">
      <c r="A380" t="str">
        <f t="shared" si="11"/>
        <v/>
      </c>
      <c r="K380" s="6" t="str">
        <f t="shared" ca="1" si="10"/>
        <v/>
      </c>
    </row>
    <row r="381" spans="1:11" ht="15" customHeight="1" x14ac:dyDescent="0.35">
      <c r="A381" t="str">
        <f t="shared" si="11"/>
        <v/>
      </c>
      <c r="K381" s="6" t="str">
        <f t="shared" ca="1" si="10"/>
        <v/>
      </c>
    </row>
    <row r="382" spans="1:11" ht="15" customHeight="1" x14ac:dyDescent="0.35">
      <c r="A382" t="str">
        <f t="shared" si="11"/>
        <v/>
      </c>
      <c r="K382" s="6" t="str">
        <f t="shared" ca="1" si="10"/>
        <v/>
      </c>
    </row>
    <row r="383" spans="1:11" ht="15" customHeight="1" x14ac:dyDescent="0.35">
      <c r="A383" t="str">
        <f t="shared" si="11"/>
        <v/>
      </c>
      <c r="K383" s="6" t="str">
        <f t="shared" ca="1" si="10"/>
        <v/>
      </c>
    </row>
    <row r="384" spans="1:11" ht="15" customHeight="1" x14ac:dyDescent="0.35">
      <c r="A384" t="str">
        <f t="shared" si="11"/>
        <v/>
      </c>
      <c r="K384" s="6" t="str">
        <f t="shared" ca="1" si="10"/>
        <v/>
      </c>
    </row>
    <row r="385" spans="1:11" ht="15" customHeight="1" x14ac:dyDescent="0.35">
      <c r="A385" t="str">
        <f t="shared" si="11"/>
        <v/>
      </c>
      <c r="K385" s="6" t="str">
        <f t="shared" ca="1" si="10"/>
        <v/>
      </c>
    </row>
    <row r="386" spans="1:11" ht="15" customHeight="1" x14ac:dyDescent="0.35">
      <c r="A386" t="str">
        <f t="shared" si="11"/>
        <v/>
      </c>
      <c r="K386" s="6" t="str">
        <f t="shared" ca="1" si="10"/>
        <v/>
      </c>
    </row>
    <row r="387" spans="1:11" ht="15" customHeight="1" x14ac:dyDescent="0.35">
      <c r="A387" t="str">
        <f t="shared" si="11"/>
        <v/>
      </c>
      <c r="K387" s="6" t="str">
        <f t="shared" ca="1" si="10"/>
        <v/>
      </c>
    </row>
    <row r="388" spans="1:11" ht="15" customHeight="1" x14ac:dyDescent="0.35">
      <c r="A388" t="str">
        <f t="shared" si="11"/>
        <v/>
      </c>
      <c r="K388" s="6" t="str">
        <f t="shared" ca="1" si="10"/>
        <v/>
      </c>
    </row>
    <row r="389" spans="1:11" ht="15" customHeight="1" x14ac:dyDescent="0.35">
      <c r="A389" t="str">
        <f t="shared" si="11"/>
        <v/>
      </c>
      <c r="K389" s="6" t="str">
        <f t="shared" ca="1" si="10"/>
        <v/>
      </c>
    </row>
    <row r="390" spans="1:11" ht="15" customHeight="1" x14ac:dyDescent="0.35">
      <c r="A390" t="str">
        <f t="shared" si="11"/>
        <v/>
      </c>
      <c r="K390" s="6" t="str">
        <f t="shared" ca="1" si="10"/>
        <v/>
      </c>
    </row>
    <row r="391" spans="1:11" ht="15" customHeight="1" x14ac:dyDescent="0.35">
      <c r="A391" t="str">
        <f t="shared" si="11"/>
        <v/>
      </c>
      <c r="K391" s="6" t="str">
        <f t="shared" ca="1" si="10"/>
        <v/>
      </c>
    </row>
    <row r="392" spans="1:11" ht="15" customHeight="1" x14ac:dyDescent="0.35">
      <c r="A392" t="str">
        <f t="shared" si="11"/>
        <v/>
      </c>
      <c r="K392" s="6" t="str">
        <f t="shared" ca="1" si="10"/>
        <v/>
      </c>
    </row>
    <row r="393" spans="1:11" ht="15" customHeight="1" x14ac:dyDescent="0.35">
      <c r="A393" t="str">
        <f t="shared" si="11"/>
        <v/>
      </c>
      <c r="K393" s="6" t="str">
        <f t="shared" ca="1" si="10"/>
        <v/>
      </c>
    </row>
    <row r="394" spans="1:11" ht="15" customHeight="1" x14ac:dyDescent="0.35">
      <c r="A394" t="str">
        <f t="shared" si="11"/>
        <v/>
      </c>
      <c r="K394" s="6" t="str">
        <f t="shared" ca="1" si="10"/>
        <v/>
      </c>
    </row>
    <row r="395" spans="1:11" ht="15" customHeight="1" x14ac:dyDescent="0.35">
      <c r="A395" t="str">
        <f t="shared" si="11"/>
        <v/>
      </c>
      <c r="K395" s="6" t="str">
        <f t="shared" ca="1" si="10"/>
        <v/>
      </c>
    </row>
    <row r="396" spans="1:11" ht="15" customHeight="1" x14ac:dyDescent="0.35">
      <c r="A396" t="str">
        <f t="shared" si="11"/>
        <v/>
      </c>
      <c r="K396" s="6" t="str">
        <f t="shared" ca="1" si="10"/>
        <v/>
      </c>
    </row>
    <row r="397" spans="1:11" ht="15" customHeight="1" x14ac:dyDescent="0.35">
      <c r="A397" t="str">
        <f t="shared" si="11"/>
        <v/>
      </c>
      <c r="K397" s="6" t="str">
        <f t="shared" ca="1" si="10"/>
        <v/>
      </c>
    </row>
    <row r="398" spans="1:11" ht="15" customHeight="1" x14ac:dyDescent="0.35">
      <c r="A398" t="str">
        <f t="shared" si="11"/>
        <v/>
      </c>
      <c r="K398" s="6" t="str">
        <f t="shared" ca="1" si="10"/>
        <v/>
      </c>
    </row>
    <row r="399" spans="1:11" ht="15" customHeight="1" x14ac:dyDescent="0.35">
      <c r="A399" t="str">
        <f t="shared" si="11"/>
        <v/>
      </c>
      <c r="K399" s="6" t="str">
        <f t="shared" ca="1" si="10"/>
        <v/>
      </c>
    </row>
    <row r="400" spans="1:11" ht="15" customHeight="1" x14ac:dyDescent="0.35">
      <c r="A400" t="str">
        <f t="shared" si="11"/>
        <v/>
      </c>
      <c r="K400" s="6" t="str">
        <f t="shared" ca="1" si="10"/>
        <v/>
      </c>
    </row>
    <row r="401" spans="1:11" ht="15" customHeight="1" x14ac:dyDescent="0.35">
      <c r="A401" t="str">
        <f t="shared" si="11"/>
        <v/>
      </c>
      <c r="K401" s="6" t="str">
        <f t="shared" ca="1" si="10"/>
        <v/>
      </c>
    </row>
    <row r="402" spans="1:11" ht="15" customHeight="1" x14ac:dyDescent="0.35">
      <c r="A402" t="str">
        <f t="shared" si="11"/>
        <v/>
      </c>
      <c r="K402" s="6" t="str">
        <f t="shared" ca="1" si="10"/>
        <v/>
      </c>
    </row>
    <row r="403" spans="1:11" ht="15" customHeight="1" x14ac:dyDescent="0.35">
      <c r="A403" t="str">
        <f t="shared" si="11"/>
        <v/>
      </c>
      <c r="K403" s="6" t="str">
        <f t="shared" ca="1" si="10"/>
        <v/>
      </c>
    </row>
    <row r="404" spans="1:11" ht="15" customHeight="1" x14ac:dyDescent="0.35">
      <c r="A404" t="str">
        <f t="shared" si="11"/>
        <v/>
      </c>
      <c r="K404" s="6" t="str">
        <f t="shared" ca="1" si="10"/>
        <v/>
      </c>
    </row>
    <row r="405" spans="1:11" ht="15" customHeight="1" x14ac:dyDescent="0.35">
      <c r="A405" t="str">
        <f t="shared" si="11"/>
        <v/>
      </c>
      <c r="K405" s="6" t="str">
        <f t="shared" ca="1" si="10"/>
        <v/>
      </c>
    </row>
    <row r="406" spans="1:11" ht="15" customHeight="1" x14ac:dyDescent="0.35">
      <c r="A406" t="str">
        <f t="shared" si="11"/>
        <v/>
      </c>
      <c r="K406" s="6" t="str">
        <f t="shared" ca="1" si="10"/>
        <v/>
      </c>
    </row>
    <row r="407" spans="1:11" ht="15" customHeight="1" x14ac:dyDescent="0.35">
      <c r="A407" t="str">
        <f t="shared" si="11"/>
        <v/>
      </c>
      <c r="K407" s="6" t="str">
        <f t="shared" ca="1" si="10"/>
        <v/>
      </c>
    </row>
    <row r="408" spans="1:11" ht="15" customHeight="1" x14ac:dyDescent="0.35">
      <c r="A408" t="str">
        <f t="shared" si="11"/>
        <v/>
      </c>
      <c r="K408" s="6" t="str">
        <f t="shared" ca="1" si="10"/>
        <v/>
      </c>
    </row>
    <row r="409" spans="1:11" ht="15" customHeight="1" x14ac:dyDescent="0.35">
      <c r="A409" t="str">
        <f t="shared" si="11"/>
        <v/>
      </c>
      <c r="K409" s="6" t="str">
        <f t="shared" ca="1" si="10"/>
        <v/>
      </c>
    </row>
    <row r="410" spans="1:11" ht="15" customHeight="1" x14ac:dyDescent="0.35">
      <c r="A410" t="str">
        <f t="shared" si="11"/>
        <v/>
      </c>
      <c r="K410" s="6" t="str">
        <f t="shared" ca="1" si="10"/>
        <v/>
      </c>
    </row>
    <row r="411" spans="1:11" ht="15" customHeight="1" x14ac:dyDescent="0.35">
      <c r="A411" t="str">
        <f t="shared" si="11"/>
        <v/>
      </c>
      <c r="K411" s="6" t="str">
        <f t="shared" ca="1" si="10"/>
        <v/>
      </c>
    </row>
    <row r="412" spans="1:11" ht="15" customHeight="1" x14ac:dyDescent="0.35">
      <c r="A412" t="str">
        <f t="shared" si="11"/>
        <v/>
      </c>
      <c r="K412" s="6" t="str">
        <f t="shared" ca="1" si="10"/>
        <v/>
      </c>
    </row>
    <row r="413" spans="1:11" ht="15" customHeight="1" x14ac:dyDescent="0.35">
      <c r="A413" t="str">
        <f t="shared" si="11"/>
        <v/>
      </c>
      <c r="K413" s="6" t="str">
        <f t="shared" ca="1" si="10"/>
        <v/>
      </c>
    </row>
    <row r="414" spans="1:11" ht="15" customHeight="1" x14ac:dyDescent="0.35">
      <c r="A414" t="str">
        <f t="shared" si="11"/>
        <v/>
      </c>
      <c r="K414" s="6" t="str">
        <f t="shared" ca="1" si="10"/>
        <v/>
      </c>
    </row>
    <row r="415" spans="1:11" ht="15" customHeight="1" x14ac:dyDescent="0.35">
      <c r="A415" t="str">
        <f t="shared" si="11"/>
        <v/>
      </c>
      <c r="K415" s="6" t="str">
        <f t="shared" ca="1" si="10"/>
        <v/>
      </c>
    </row>
    <row r="416" spans="1:11" ht="15" customHeight="1" x14ac:dyDescent="0.35">
      <c r="A416" t="str">
        <f t="shared" si="11"/>
        <v/>
      </c>
      <c r="K416" s="6" t="str">
        <f t="shared" ca="1" si="10"/>
        <v/>
      </c>
    </row>
    <row r="417" spans="1:11" ht="15" customHeight="1" x14ac:dyDescent="0.35">
      <c r="A417" t="str">
        <f t="shared" si="11"/>
        <v/>
      </c>
      <c r="K417" s="6" t="str">
        <f t="shared" ca="1" si="10"/>
        <v/>
      </c>
    </row>
    <row r="418" spans="1:11" ht="15" customHeight="1" x14ac:dyDescent="0.35">
      <c r="A418" t="str">
        <f t="shared" si="11"/>
        <v/>
      </c>
      <c r="K418" s="6" t="str">
        <f t="shared" ca="1" si="10"/>
        <v/>
      </c>
    </row>
    <row r="419" spans="1:11" ht="15" customHeight="1" x14ac:dyDescent="0.35">
      <c r="A419" t="str">
        <f t="shared" si="11"/>
        <v/>
      </c>
      <c r="K419" s="6" t="str">
        <f t="shared" ca="1" si="10"/>
        <v/>
      </c>
    </row>
    <row r="420" spans="1:11" ht="15" customHeight="1" x14ac:dyDescent="0.35">
      <c r="A420" t="str">
        <f t="shared" si="11"/>
        <v/>
      </c>
      <c r="K420" s="6" t="str">
        <f t="shared" ca="1" si="10"/>
        <v/>
      </c>
    </row>
    <row r="421" spans="1:11" ht="15" customHeight="1" x14ac:dyDescent="0.35">
      <c r="A421" t="str">
        <f t="shared" si="11"/>
        <v/>
      </c>
      <c r="K421" s="6" t="str">
        <f t="shared" ca="1" si="10"/>
        <v/>
      </c>
    </row>
    <row r="422" spans="1:11" ht="15" customHeight="1" x14ac:dyDescent="0.35">
      <c r="A422" t="str">
        <f t="shared" si="11"/>
        <v/>
      </c>
      <c r="K422" s="6" t="str">
        <f t="shared" ca="1" si="10"/>
        <v/>
      </c>
    </row>
    <row r="423" spans="1:11" ht="15" customHeight="1" x14ac:dyDescent="0.35">
      <c r="A423" t="str">
        <f t="shared" si="11"/>
        <v/>
      </c>
      <c r="K423" s="6" t="str">
        <f t="shared" ca="1" si="10"/>
        <v/>
      </c>
    </row>
    <row r="424" spans="1:11" ht="15" customHeight="1" x14ac:dyDescent="0.35">
      <c r="A424" t="str">
        <f t="shared" si="11"/>
        <v/>
      </c>
      <c r="K424" s="6" t="str">
        <f t="shared" ca="1" si="10"/>
        <v/>
      </c>
    </row>
    <row r="425" spans="1:11" ht="15" customHeight="1" x14ac:dyDescent="0.35">
      <c r="A425" t="str">
        <f t="shared" si="11"/>
        <v/>
      </c>
      <c r="K425" s="6" t="str">
        <f t="shared" ca="1" si="10"/>
        <v/>
      </c>
    </row>
    <row r="426" spans="1:11" ht="15" customHeight="1" x14ac:dyDescent="0.35">
      <c r="A426" t="str">
        <f t="shared" si="11"/>
        <v/>
      </c>
      <c r="K426" s="6" t="str">
        <f t="shared" ca="1" si="10"/>
        <v/>
      </c>
    </row>
    <row r="427" spans="1:11" ht="15" customHeight="1" x14ac:dyDescent="0.35">
      <c r="A427" t="str">
        <f t="shared" si="11"/>
        <v/>
      </c>
      <c r="K427" s="6" t="str">
        <f t="shared" ca="1" si="10"/>
        <v/>
      </c>
    </row>
    <row r="428" spans="1:11" ht="15" customHeight="1" x14ac:dyDescent="0.35">
      <c r="A428" t="str">
        <f t="shared" si="11"/>
        <v/>
      </c>
      <c r="K428" s="6" t="str">
        <f t="shared" ca="1" si="10"/>
        <v/>
      </c>
    </row>
    <row r="429" spans="1:11" ht="15" customHeight="1" x14ac:dyDescent="0.35">
      <c r="A429" t="str">
        <f t="shared" si="11"/>
        <v/>
      </c>
      <c r="K429" s="6" t="str">
        <f t="shared" ca="1" si="10"/>
        <v/>
      </c>
    </row>
    <row r="430" spans="1:11" ht="15" customHeight="1" x14ac:dyDescent="0.35">
      <c r="A430" t="str">
        <f t="shared" si="11"/>
        <v/>
      </c>
      <c r="K430" s="6" t="str">
        <f t="shared" ca="1" si="10"/>
        <v/>
      </c>
    </row>
    <row r="431" spans="1:11" ht="15" customHeight="1" x14ac:dyDescent="0.35">
      <c r="A431" t="str">
        <f t="shared" si="11"/>
        <v/>
      </c>
      <c r="K431" s="6" t="str">
        <f t="shared" ca="1" si="10"/>
        <v/>
      </c>
    </row>
    <row r="432" spans="1:11" ht="15" customHeight="1" x14ac:dyDescent="0.35">
      <c r="A432" t="str">
        <f t="shared" si="11"/>
        <v/>
      </c>
      <c r="K432" s="6" t="str">
        <f t="shared" ca="1" si="10"/>
        <v/>
      </c>
    </row>
    <row r="433" spans="1:11" ht="15" customHeight="1" x14ac:dyDescent="0.35">
      <c r="A433" t="str">
        <f t="shared" si="11"/>
        <v/>
      </c>
      <c r="K433" s="6" t="str">
        <f t="shared" ca="1" si="10"/>
        <v/>
      </c>
    </row>
    <row r="434" spans="1:11" ht="15" customHeight="1" x14ac:dyDescent="0.35">
      <c r="A434" t="str">
        <f t="shared" si="11"/>
        <v/>
      </c>
      <c r="K434" s="6" t="str">
        <f t="shared" ref="K434:K502" ca="1" si="12">IF(B434="","",TODAY())</f>
        <v/>
      </c>
    </row>
    <row r="435" spans="1:11" ht="15" customHeight="1" x14ac:dyDescent="0.35">
      <c r="A435" t="str">
        <f t="shared" ref="A435:A498" si="13">IF(B435="","","L"&amp;TEXT(ROW()-2,"000"))</f>
        <v/>
      </c>
      <c r="K435" s="6" t="str">
        <f t="shared" ca="1" si="12"/>
        <v/>
      </c>
    </row>
    <row r="436" spans="1:11" ht="15" customHeight="1" x14ac:dyDescent="0.35">
      <c r="A436" t="str">
        <f t="shared" si="13"/>
        <v/>
      </c>
      <c r="K436" s="6" t="str">
        <f t="shared" ca="1" si="12"/>
        <v/>
      </c>
    </row>
    <row r="437" spans="1:11" ht="15" customHeight="1" x14ac:dyDescent="0.35">
      <c r="A437" t="str">
        <f t="shared" si="13"/>
        <v/>
      </c>
      <c r="K437" s="6" t="str">
        <f t="shared" ca="1" si="12"/>
        <v/>
      </c>
    </row>
    <row r="438" spans="1:11" ht="15" customHeight="1" x14ac:dyDescent="0.35">
      <c r="A438" t="str">
        <f t="shared" si="13"/>
        <v/>
      </c>
      <c r="K438" s="6" t="str">
        <f t="shared" ca="1" si="12"/>
        <v/>
      </c>
    </row>
    <row r="439" spans="1:11" ht="15" customHeight="1" x14ac:dyDescent="0.35">
      <c r="A439" t="str">
        <f t="shared" si="13"/>
        <v/>
      </c>
      <c r="K439" s="6" t="str">
        <f t="shared" ca="1" si="12"/>
        <v/>
      </c>
    </row>
    <row r="440" spans="1:11" ht="15" customHeight="1" x14ac:dyDescent="0.35">
      <c r="A440" t="str">
        <f t="shared" si="13"/>
        <v/>
      </c>
      <c r="K440" s="6" t="str">
        <f t="shared" ca="1" si="12"/>
        <v/>
      </c>
    </row>
    <row r="441" spans="1:11" ht="15" customHeight="1" x14ac:dyDescent="0.35">
      <c r="A441" t="str">
        <f t="shared" si="13"/>
        <v/>
      </c>
      <c r="K441" s="6" t="str">
        <f t="shared" ca="1" si="12"/>
        <v/>
      </c>
    </row>
    <row r="442" spans="1:11" ht="15" customHeight="1" x14ac:dyDescent="0.35">
      <c r="A442" t="str">
        <f t="shared" si="13"/>
        <v/>
      </c>
      <c r="K442" s="6" t="str">
        <f t="shared" ca="1" si="12"/>
        <v/>
      </c>
    </row>
    <row r="443" spans="1:11" ht="15" customHeight="1" x14ac:dyDescent="0.35">
      <c r="A443" t="str">
        <f t="shared" si="13"/>
        <v/>
      </c>
      <c r="K443" s="6" t="str">
        <f t="shared" ca="1" si="12"/>
        <v/>
      </c>
    </row>
    <row r="444" spans="1:11" ht="15" customHeight="1" x14ac:dyDescent="0.35">
      <c r="A444" t="str">
        <f t="shared" si="13"/>
        <v/>
      </c>
      <c r="K444" s="6" t="str">
        <f t="shared" ca="1" si="12"/>
        <v/>
      </c>
    </row>
    <row r="445" spans="1:11" ht="15" customHeight="1" x14ac:dyDescent="0.35">
      <c r="A445" t="str">
        <f t="shared" si="13"/>
        <v/>
      </c>
      <c r="K445" s="6" t="str">
        <f t="shared" ca="1" si="12"/>
        <v/>
      </c>
    </row>
    <row r="446" spans="1:11" ht="15" customHeight="1" x14ac:dyDescent="0.35">
      <c r="A446" t="str">
        <f t="shared" si="13"/>
        <v/>
      </c>
      <c r="K446" s="6" t="str">
        <f t="shared" ca="1" si="12"/>
        <v/>
      </c>
    </row>
    <row r="447" spans="1:11" ht="15" customHeight="1" x14ac:dyDescent="0.35">
      <c r="A447" t="str">
        <f t="shared" si="13"/>
        <v/>
      </c>
      <c r="K447" s="6" t="str">
        <f t="shared" ca="1" si="12"/>
        <v/>
      </c>
    </row>
    <row r="448" spans="1:11" ht="15" customHeight="1" x14ac:dyDescent="0.35">
      <c r="A448" t="str">
        <f t="shared" si="13"/>
        <v/>
      </c>
      <c r="K448" s="6" t="str">
        <f t="shared" ca="1" si="12"/>
        <v/>
      </c>
    </row>
    <row r="449" spans="1:11" ht="15" customHeight="1" x14ac:dyDescent="0.35">
      <c r="A449" t="str">
        <f t="shared" si="13"/>
        <v/>
      </c>
      <c r="K449" s="6" t="str">
        <f t="shared" ca="1" si="12"/>
        <v/>
      </c>
    </row>
    <row r="450" spans="1:11" ht="15" customHeight="1" x14ac:dyDescent="0.35">
      <c r="A450" t="str">
        <f t="shared" si="13"/>
        <v/>
      </c>
      <c r="K450" s="6" t="str">
        <f t="shared" ca="1" si="12"/>
        <v/>
      </c>
    </row>
    <row r="451" spans="1:11" ht="15" customHeight="1" x14ac:dyDescent="0.35">
      <c r="A451" t="str">
        <f t="shared" si="13"/>
        <v/>
      </c>
      <c r="K451" s="6" t="str">
        <f t="shared" ca="1" si="12"/>
        <v/>
      </c>
    </row>
    <row r="452" spans="1:11" ht="15" customHeight="1" x14ac:dyDescent="0.35">
      <c r="A452" t="str">
        <f t="shared" si="13"/>
        <v/>
      </c>
      <c r="K452" s="6" t="str">
        <f t="shared" ca="1" si="12"/>
        <v/>
      </c>
    </row>
    <row r="453" spans="1:11" ht="15" customHeight="1" x14ac:dyDescent="0.35">
      <c r="A453" t="str">
        <f t="shared" si="13"/>
        <v/>
      </c>
      <c r="K453" s="6" t="str">
        <f t="shared" ca="1" si="12"/>
        <v/>
      </c>
    </row>
    <row r="454" spans="1:11" ht="15" customHeight="1" x14ac:dyDescent="0.35">
      <c r="A454" t="str">
        <f t="shared" si="13"/>
        <v/>
      </c>
      <c r="K454" s="6" t="str">
        <f t="shared" ca="1" si="12"/>
        <v/>
      </c>
    </row>
    <row r="455" spans="1:11" ht="15" customHeight="1" x14ac:dyDescent="0.35">
      <c r="A455" t="str">
        <f t="shared" si="13"/>
        <v/>
      </c>
      <c r="K455" s="6" t="str">
        <f t="shared" ca="1" si="12"/>
        <v/>
      </c>
    </row>
    <row r="456" spans="1:11" ht="15" customHeight="1" x14ac:dyDescent="0.35">
      <c r="A456" t="str">
        <f t="shared" si="13"/>
        <v/>
      </c>
      <c r="K456" s="6" t="str">
        <f t="shared" ca="1" si="12"/>
        <v/>
      </c>
    </row>
    <row r="457" spans="1:11" ht="15" customHeight="1" x14ac:dyDescent="0.35">
      <c r="A457" t="str">
        <f t="shared" si="13"/>
        <v/>
      </c>
      <c r="K457" s="6" t="str">
        <f t="shared" ca="1" si="12"/>
        <v/>
      </c>
    </row>
    <row r="458" spans="1:11" ht="15" customHeight="1" x14ac:dyDescent="0.35">
      <c r="A458" t="str">
        <f t="shared" si="13"/>
        <v/>
      </c>
      <c r="K458" s="6" t="str">
        <f t="shared" ca="1" si="12"/>
        <v/>
      </c>
    </row>
    <row r="459" spans="1:11" ht="15" customHeight="1" x14ac:dyDescent="0.35">
      <c r="A459" t="str">
        <f t="shared" si="13"/>
        <v/>
      </c>
      <c r="K459" s="6" t="str">
        <f t="shared" ca="1" si="12"/>
        <v/>
      </c>
    </row>
    <row r="460" spans="1:11" ht="15" customHeight="1" x14ac:dyDescent="0.35">
      <c r="A460" t="str">
        <f t="shared" si="13"/>
        <v/>
      </c>
      <c r="K460" s="6" t="str">
        <f t="shared" ca="1" si="12"/>
        <v/>
      </c>
    </row>
    <row r="461" spans="1:11" ht="15" customHeight="1" x14ac:dyDescent="0.35">
      <c r="A461" t="str">
        <f t="shared" si="13"/>
        <v/>
      </c>
      <c r="K461" s="6" t="str">
        <f t="shared" ca="1" si="12"/>
        <v/>
      </c>
    </row>
    <row r="462" spans="1:11" ht="15" customHeight="1" x14ac:dyDescent="0.35">
      <c r="A462" t="str">
        <f t="shared" si="13"/>
        <v/>
      </c>
      <c r="K462" s="6" t="str">
        <f t="shared" ca="1" si="12"/>
        <v/>
      </c>
    </row>
    <row r="463" spans="1:11" ht="15" customHeight="1" x14ac:dyDescent="0.35">
      <c r="A463" t="str">
        <f t="shared" si="13"/>
        <v/>
      </c>
      <c r="K463" s="6" t="str">
        <f t="shared" ca="1" si="12"/>
        <v/>
      </c>
    </row>
    <row r="464" spans="1:11" ht="15" customHeight="1" x14ac:dyDescent="0.35">
      <c r="A464" t="str">
        <f t="shared" si="13"/>
        <v/>
      </c>
      <c r="K464" s="6" t="str">
        <f t="shared" ca="1" si="12"/>
        <v/>
      </c>
    </row>
    <row r="465" spans="1:11" ht="15" customHeight="1" x14ac:dyDescent="0.35">
      <c r="A465" t="str">
        <f t="shared" si="13"/>
        <v/>
      </c>
      <c r="K465" s="6" t="str">
        <f t="shared" ca="1" si="12"/>
        <v/>
      </c>
    </row>
    <row r="466" spans="1:11" ht="15" customHeight="1" x14ac:dyDescent="0.35">
      <c r="A466" t="str">
        <f t="shared" si="13"/>
        <v/>
      </c>
      <c r="K466" s="6" t="str">
        <f t="shared" ca="1" si="12"/>
        <v/>
      </c>
    </row>
    <row r="467" spans="1:11" ht="15" customHeight="1" x14ac:dyDescent="0.35">
      <c r="A467" t="str">
        <f t="shared" si="13"/>
        <v/>
      </c>
      <c r="K467" s="6" t="str">
        <f t="shared" ca="1" si="12"/>
        <v/>
      </c>
    </row>
    <row r="468" spans="1:11" ht="15" customHeight="1" x14ac:dyDescent="0.35">
      <c r="A468" t="str">
        <f t="shared" si="13"/>
        <v/>
      </c>
      <c r="K468" s="6" t="str">
        <f t="shared" ca="1" si="12"/>
        <v/>
      </c>
    </row>
    <row r="469" spans="1:11" ht="15" customHeight="1" x14ac:dyDescent="0.35">
      <c r="A469" t="str">
        <f t="shared" si="13"/>
        <v/>
      </c>
      <c r="K469" s="6" t="str">
        <f t="shared" ca="1" si="12"/>
        <v/>
      </c>
    </row>
    <row r="470" spans="1:11" ht="15" customHeight="1" x14ac:dyDescent="0.35">
      <c r="A470" t="str">
        <f t="shared" si="13"/>
        <v/>
      </c>
      <c r="K470" s="6" t="str">
        <f t="shared" ca="1" si="12"/>
        <v/>
      </c>
    </row>
    <row r="471" spans="1:11" ht="15" customHeight="1" x14ac:dyDescent="0.35">
      <c r="A471" t="str">
        <f t="shared" si="13"/>
        <v/>
      </c>
      <c r="K471" s="6" t="str">
        <f t="shared" ca="1" si="12"/>
        <v/>
      </c>
    </row>
    <row r="472" spans="1:11" ht="15" customHeight="1" x14ac:dyDescent="0.35">
      <c r="A472" t="str">
        <f t="shared" si="13"/>
        <v/>
      </c>
      <c r="K472" s="6" t="str">
        <f t="shared" ca="1" si="12"/>
        <v/>
      </c>
    </row>
    <row r="473" spans="1:11" ht="15" customHeight="1" x14ac:dyDescent="0.35">
      <c r="A473" t="str">
        <f t="shared" si="13"/>
        <v/>
      </c>
      <c r="K473" s="6" t="str">
        <f t="shared" ca="1" si="12"/>
        <v/>
      </c>
    </row>
    <row r="474" spans="1:11" ht="15" customHeight="1" x14ac:dyDescent="0.35">
      <c r="A474" t="str">
        <f t="shared" si="13"/>
        <v/>
      </c>
      <c r="K474" s="6" t="str">
        <f t="shared" ca="1" si="12"/>
        <v/>
      </c>
    </row>
    <row r="475" spans="1:11" ht="15" customHeight="1" x14ac:dyDescent="0.35">
      <c r="A475" t="str">
        <f t="shared" si="13"/>
        <v/>
      </c>
      <c r="K475" s="6" t="str">
        <f t="shared" ca="1" si="12"/>
        <v/>
      </c>
    </row>
    <row r="476" spans="1:11" ht="15" customHeight="1" x14ac:dyDescent="0.35">
      <c r="A476" t="str">
        <f t="shared" si="13"/>
        <v/>
      </c>
      <c r="K476" s="6" t="str">
        <f t="shared" ca="1" si="12"/>
        <v/>
      </c>
    </row>
    <row r="477" spans="1:11" ht="15" customHeight="1" x14ac:dyDescent="0.35">
      <c r="A477" t="str">
        <f t="shared" si="13"/>
        <v/>
      </c>
      <c r="K477" s="6" t="str">
        <f t="shared" ca="1" si="12"/>
        <v/>
      </c>
    </row>
    <row r="478" spans="1:11" ht="15" customHeight="1" x14ac:dyDescent="0.35">
      <c r="A478" t="str">
        <f t="shared" si="13"/>
        <v/>
      </c>
      <c r="K478" s="6" t="str">
        <f t="shared" ca="1" si="12"/>
        <v/>
      </c>
    </row>
    <row r="479" spans="1:11" ht="15" customHeight="1" x14ac:dyDescent="0.35">
      <c r="A479" t="str">
        <f t="shared" si="13"/>
        <v/>
      </c>
      <c r="K479" s="6" t="str">
        <f t="shared" ca="1" si="12"/>
        <v/>
      </c>
    </row>
    <row r="480" spans="1:11" ht="15" customHeight="1" x14ac:dyDescent="0.35">
      <c r="A480" t="str">
        <f t="shared" si="13"/>
        <v/>
      </c>
      <c r="K480" s="6" t="str">
        <f t="shared" ca="1" si="12"/>
        <v/>
      </c>
    </row>
    <row r="481" spans="1:11" ht="15" customHeight="1" x14ac:dyDescent="0.35">
      <c r="A481" t="str">
        <f t="shared" si="13"/>
        <v/>
      </c>
      <c r="K481" s="6" t="str">
        <f t="shared" ca="1" si="12"/>
        <v/>
      </c>
    </row>
    <row r="482" spans="1:11" ht="15" customHeight="1" x14ac:dyDescent="0.35">
      <c r="A482" t="str">
        <f t="shared" si="13"/>
        <v/>
      </c>
      <c r="K482" s="6" t="str">
        <f t="shared" ca="1" si="12"/>
        <v/>
      </c>
    </row>
    <row r="483" spans="1:11" ht="15" customHeight="1" x14ac:dyDescent="0.35">
      <c r="A483" t="str">
        <f t="shared" si="13"/>
        <v/>
      </c>
      <c r="K483" s="6" t="str">
        <f t="shared" ca="1" si="12"/>
        <v/>
      </c>
    </row>
    <row r="484" spans="1:11" ht="15" customHeight="1" x14ac:dyDescent="0.35">
      <c r="A484" t="str">
        <f t="shared" si="13"/>
        <v/>
      </c>
      <c r="K484" s="6" t="str">
        <f t="shared" ca="1" si="12"/>
        <v/>
      </c>
    </row>
    <row r="485" spans="1:11" ht="15" customHeight="1" x14ac:dyDescent="0.35">
      <c r="A485" t="str">
        <f t="shared" si="13"/>
        <v/>
      </c>
      <c r="K485" s="6" t="str">
        <f t="shared" ca="1" si="12"/>
        <v/>
      </c>
    </row>
    <row r="486" spans="1:11" ht="15" customHeight="1" x14ac:dyDescent="0.35">
      <c r="A486" t="str">
        <f t="shared" si="13"/>
        <v/>
      </c>
      <c r="K486" s="6" t="str">
        <f t="shared" ca="1" si="12"/>
        <v/>
      </c>
    </row>
    <row r="487" spans="1:11" ht="15" customHeight="1" x14ac:dyDescent="0.35">
      <c r="A487" t="str">
        <f t="shared" si="13"/>
        <v/>
      </c>
      <c r="K487" s="6" t="str">
        <f t="shared" ca="1" si="12"/>
        <v/>
      </c>
    </row>
    <row r="488" spans="1:11" ht="15" customHeight="1" x14ac:dyDescent="0.35">
      <c r="A488" t="str">
        <f t="shared" si="13"/>
        <v/>
      </c>
      <c r="K488" s="6" t="str">
        <f t="shared" ca="1" si="12"/>
        <v/>
      </c>
    </row>
    <row r="489" spans="1:11" ht="15" customHeight="1" x14ac:dyDescent="0.35">
      <c r="A489" t="str">
        <f t="shared" si="13"/>
        <v/>
      </c>
      <c r="K489" s="6" t="str">
        <f t="shared" ca="1" si="12"/>
        <v/>
      </c>
    </row>
    <row r="490" spans="1:11" ht="15" customHeight="1" x14ac:dyDescent="0.35">
      <c r="A490" t="str">
        <f t="shared" si="13"/>
        <v/>
      </c>
      <c r="K490" s="6" t="str">
        <f t="shared" ca="1" si="12"/>
        <v/>
      </c>
    </row>
    <row r="491" spans="1:11" ht="15" customHeight="1" x14ac:dyDescent="0.35">
      <c r="A491" t="str">
        <f t="shared" si="13"/>
        <v/>
      </c>
      <c r="K491" s="6" t="str">
        <f t="shared" ca="1" si="12"/>
        <v/>
      </c>
    </row>
    <row r="492" spans="1:11" ht="15" customHeight="1" x14ac:dyDescent="0.35">
      <c r="A492" t="str">
        <f t="shared" si="13"/>
        <v/>
      </c>
      <c r="K492" s="6" t="str">
        <f t="shared" ca="1" si="12"/>
        <v/>
      </c>
    </row>
    <row r="493" spans="1:11" ht="15" customHeight="1" x14ac:dyDescent="0.35">
      <c r="A493" t="str">
        <f t="shared" si="13"/>
        <v/>
      </c>
      <c r="K493" s="6" t="str">
        <f t="shared" ca="1" si="12"/>
        <v/>
      </c>
    </row>
    <row r="494" spans="1:11" ht="15" customHeight="1" x14ac:dyDescent="0.35">
      <c r="A494" t="str">
        <f t="shared" si="13"/>
        <v/>
      </c>
      <c r="K494" s="6" t="str">
        <f t="shared" ca="1" si="12"/>
        <v/>
      </c>
    </row>
    <row r="495" spans="1:11" ht="15" customHeight="1" x14ac:dyDescent="0.35">
      <c r="A495" t="str">
        <f t="shared" si="13"/>
        <v/>
      </c>
      <c r="K495" s="6" t="str">
        <f t="shared" ca="1" si="12"/>
        <v/>
      </c>
    </row>
    <row r="496" spans="1:11" ht="15" customHeight="1" x14ac:dyDescent="0.35">
      <c r="A496" t="str">
        <f t="shared" si="13"/>
        <v/>
      </c>
      <c r="K496" s="6" t="str">
        <f t="shared" ca="1" si="12"/>
        <v/>
      </c>
    </row>
    <row r="497" spans="1:11" ht="15" customHeight="1" x14ac:dyDescent="0.35">
      <c r="A497" t="str">
        <f t="shared" si="13"/>
        <v/>
      </c>
      <c r="K497" s="6" t="str">
        <f t="shared" ca="1" si="12"/>
        <v/>
      </c>
    </row>
    <row r="498" spans="1:11" ht="15" customHeight="1" x14ac:dyDescent="0.35">
      <c r="A498" t="str">
        <f t="shared" si="13"/>
        <v/>
      </c>
      <c r="K498" s="6" t="str">
        <f t="shared" ca="1" si="12"/>
        <v/>
      </c>
    </row>
    <row r="499" spans="1:11" ht="15" customHeight="1" x14ac:dyDescent="0.35">
      <c r="A499" t="str">
        <f t="shared" ref="A499:A562" si="14">IF(B499="","","L"&amp;TEXT(ROW()-2,"000"))</f>
        <v/>
      </c>
      <c r="K499" s="6" t="str">
        <f t="shared" ca="1" si="12"/>
        <v/>
      </c>
    </row>
    <row r="500" spans="1:11" ht="15" customHeight="1" x14ac:dyDescent="0.35">
      <c r="A500" t="str">
        <f t="shared" si="14"/>
        <v/>
      </c>
      <c r="K500" s="6" t="str">
        <f t="shared" ca="1" si="12"/>
        <v/>
      </c>
    </row>
    <row r="501" spans="1:11" ht="15" customHeight="1" x14ac:dyDescent="0.35">
      <c r="A501" t="str">
        <f t="shared" si="14"/>
        <v/>
      </c>
      <c r="K501" s="6" t="str">
        <f t="shared" ca="1" si="12"/>
        <v/>
      </c>
    </row>
    <row r="502" spans="1:11" ht="15" customHeight="1" x14ac:dyDescent="0.35">
      <c r="A502" t="str">
        <f t="shared" si="14"/>
        <v/>
      </c>
      <c r="K502" s="6" t="str">
        <f t="shared" ca="1" si="12"/>
        <v/>
      </c>
    </row>
  </sheetData>
  <mergeCells count="1">
    <mergeCell ref="A2:K2"/>
  </mergeCells>
  <conditionalFormatting sqref="A3:K502">
    <cfRule type="expression" dxfId="22" priority="2">
      <formula>$I3="Lead Generation"</formula>
    </cfRule>
    <cfRule type="expression" dxfId="21" priority="3">
      <formula>$I3="Lead Qualification"</formula>
    </cfRule>
    <cfRule type="expression" dxfId="20" priority="4">
      <formula>$I3="Assign"</formula>
    </cfRule>
    <cfRule type="expression" dxfId="19" priority="5">
      <formula>$I3="First Contact"</formula>
    </cfRule>
    <cfRule type="expression" dxfId="18" priority="6">
      <formula>$I3="Discovery Meeting"</formula>
    </cfRule>
    <cfRule type="expression" dxfId="17" priority="7">
      <formula>$I3="Approach or Demo"</formula>
    </cfRule>
    <cfRule type="expression" dxfId="16" priority="8">
      <formula>$I3="Converted"</formula>
    </cfRule>
  </conditionalFormatting>
  <dataValidations count="5">
    <dataValidation type="list" allowBlank="1" showErrorMessage="1" sqref="E3:E502">
      <formula1>ServicePillar</formula1>
      <formula2>0</formula2>
    </dataValidation>
    <dataValidation type="list" allowBlank="1" showErrorMessage="1" sqref="F3:F502">
      <formula1>INDIRECT(SUBSTITUTE(E3," ","_"))</formula1>
      <formula2>0</formula2>
    </dataValidation>
    <dataValidation type="list" allowBlank="1" showErrorMessage="1" sqref="G3:G502">
      <formula1>AssignedTo</formula1>
      <formula2>0</formula2>
    </dataValidation>
    <dataValidation type="list" allowBlank="1" showErrorMessage="1" sqref="H3:H502">
      <formula1>LeadSource</formula1>
      <formula2>0</formula2>
    </dataValidation>
    <dataValidation type="list" allowBlank="1" showErrorMessage="1" sqref="I3:I5 I8:I502">
      <formula1>LeadStatus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3F60"/>
  </sheetPr>
  <dimension ref="A1:K502"/>
  <sheetViews>
    <sheetView zoomScaleNormal="100" workbookViewId="0">
      <pane ySplit="2" topLeftCell="A3" activePane="bottomLeft" state="frozen"/>
      <selection pane="bottomLeft" activeCell="F3" sqref="F3"/>
    </sheetView>
  </sheetViews>
  <sheetFormatPr defaultColWidth="8.7265625" defaultRowHeight="14.5" x14ac:dyDescent="0.35"/>
  <cols>
    <col min="1" max="1" width="16" customWidth="1"/>
    <col min="2" max="3" width="24" customWidth="1"/>
    <col min="4" max="7" width="18" customWidth="1"/>
    <col min="8" max="9" width="22" customWidth="1"/>
    <col min="10" max="10" width="32" customWidth="1"/>
    <col min="11" max="11" width="25.7265625" bestFit="1" customWidth="1"/>
  </cols>
  <sheetData>
    <row r="1" spans="1:11" ht="42" customHeight="1" x14ac:dyDescent="0.35">
      <c r="A1" s="7" t="s">
        <v>333</v>
      </c>
      <c r="B1" s="7" t="s">
        <v>92</v>
      </c>
      <c r="C1" s="7" t="s">
        <v>93</v>
      </c>
      <c r="D1" s="7" t="s">
        <v>94</v>
      </c>
      <c r="E1" s="7" t="s">
        <v>334</v>
      </c>
      <c r="F1" s="7" t="s">
        <v>335</v>
      </c>
      <c r="G1" s="7" t="s">
        <v>336</v>
      </c>
      <c r="H1" s="7" t="s">
        <v>337</v>
      </c>
      <c r="I1" s="7" t="s">
        <v>11</v>
      </c>
      <c r="J1" s="7" t="s">
        <v>97</v>
      </c>
      <c r="K1" s="8" t="s">
        <v>338</v>
      </c>
    </row>
    <row r="2" spans="1:11" ht="19.5" customHeight="1" x14ac:dyDescent="0.35">
      <c r="A2" s="38" t="s">
        <v>339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5" customHeight="1" x14ac:dyDescent="0.35">
      <c r="A3" t="str">
        <f t="array" ref="A3">IFERROR(INDEX(Enquiry!$A:$A,
  SMALL(IF(Enquiry!$I$3:$I$502="Converted",
    ROW(Enquiry!$I$3:$I$502)),1)
),"")</f>
        <v>L001</v>
      </c>
      <c r="B3" t="s">
        <v>101</v>
      </c>
      <c r="C3" t="s">
        <v>102</v>
      </c>
      <c r="D3" t="s">
        <v>18</v>
      </c>
      <c r="E3" s="9">
        <v>600000</v>
      </c>
      <c r="F3" s="9">
        <v>600000</v>
      </c>
      <c r="G3" s="6">
        <v>45919</v>
      </c>
      <c r="H3" t="s">
        <v>56</v>
      </c>
      <c r="I3" t="s">
        <v>47</v>
      </c>
      <c r="J3" s="31" t="s">
        <v>340</v>
      </c>
      <c r="K3" s="10" t="s">
        <v>341</v>
      </c>
    </row>
    <row r="4" spans="1:11" ht="15" customHeight="1" x14ac:dyDescent="0.35">
      <c r="A4" t="s">
        <v>104</v>
      </c>
      <c r="B4" t="s">
        <v>106</v>
      </c>
      <c r="C4" t="s">
        <v>107</v>
      </c>
      <c r="D4" t="s">
        <v>17</v>
      </c>
      <c r="E4" s="9">
        <v>4800000</v>
      </c>
      <c r="F4" s="9">
        <v>3600000</v>
      </c>
      <c r="G4" s="6">
        <v>45899</v>
      </c>
      <c r="H4" t="s">
        <v>78</v>
      </c>
      <c r="I4" t="s">
        <v>75</v>
      </c>
      <c r="J4" t="s">
        <v>342</v>
      </c>
      <c r="K4" s="10" t="s">
        <v>343</v>
      </c>
    </row>
    <row r="5" spans="1:11" ht="15" customHeight="1" x14ac:dyDescent="0.35">
      <c r="A5" t="s">
        <v>110</v>
      </c>
      <c r="B5" t="s">
        <v>112</v>
      </c>
      <c r="C5" t="s">
        <v>113</v>
      </c>
      <c r="D5" t="s">
        <v>15</v>
      </c>
      <c r="E5" s="9">
        <v>1700000</v>
      </c>
      <c r="F5" s="9">
        <v>1400000</v>
      </c>
      <c r="G5" s="6">
        <v>45899</v>
      </c>
      <c r="H5" t="s">
        <v>78</v>
      </c>
      <c r="I5" t="s">
        <v>114</v>
      </c>
      <c r="J5" t="s">
        <v>344</v>
      </c>
      <c r="K5" s="10" t="s">
        <v>343</v>
      </c>
    </row>
    <row r="6" spans="1:11" ht="15" customHeight="1" x14ac:dyDescent="0.35">
      <c r="A6" t="s">
        <v>124</v>
      </c>
      <c r="B6" t="s">
        <v>126</v>
      </c>
      <c r="C6" t="s">
        <v>127</v>
      </c>
      <c r="D6" t="s">
        <v>15</v>
      </c>
      <c r="E6" s="9">
        <v>1423740</v>
      </c>
      <c r="F6" s="9">
        <v>1200000</v>
      </c>
      <c r="G6" s="6">
        <v>45915</v>
      </c>
      <c r="H6" t="s">
        <v>71</v>
      </c>
      <c r="I6" t="s">
        <v>114</v>
      </c>
      <c r="J6" t="s">
        <v>345</v>
      </c>
      <c r="K6" s="10" t="s">
        <v>343</v>
      </c>
    </row>
    <row r="7" spans="1:11" ht="15" customHeight="1" x14ac:dyDescent="0.35">
      <c r="A7" t="s">
        <v>100</v>
      </c>
      <c r="B7" t="s">
        <v>101</v>
      </c>
      <c r="C7" t="s">
        <v>102</v>
      </c>
      <c r="D7" t="s">
        <v>18</v>
      </c>
      <c r="E7" s="9">
        <v>600000</v>
      </c>
      <c r="F7" s="9">
        <v>600000</v>
      </c>
      <c r="G7" s="6">
        <v>45919</v>
      </c>
      <c r="H7" t="s">
        <v>56</v>
      </c>
      <c r="I7" t="s">
        <v>47</v>
      </c>
      <c r="J7" t="s">
        <v>346</v>
      </c>
      <c r="K7" s="10" t="s">
        <v>341</v>
      </c>
    </row>
    <row r="8" spans="1:11" ht="15" customHeight="1" x14ac:dyDescent="0.35">
      <c r="A8" t="s">
        <v>133</v>
      </c>
      <c r="B8" t="s">
        <v>135</v>
      </c>
      <c r="C8" t="s">
        <v>136</v>
      </c>
      <c r="D8" t="s">
        <v>18</v>
      </c>
      <c r="E8" s="9">
        <v>1200000</v>
      </c>
      <c r="F8" s="9">
        <v>1100000</v>
      </c>
      <c r="G8" s="6">
        <v>45747</v>
      </c>
      <c r="H8" t="s">
        <v>56</v>
      </c>
      <c r="I8" t="s">
        <v>29</v>
      </c>
      <c r="J8" t="s">
        <v>347</v>
      </c>
      <c r="K8" s="10" t="s">
        <v>341</v>
      </c>
    </row>
    <row r="9" spans="1:11" ht="15" customHeight="1" x14ac:dyDescent="0.35">
      <c r="A9" t="s">
        <v>138</v>
      </c>
      <c r="B9" t="s">
        <v>140</v>
      </c>
      <c r="C9" t="s">
        <v>141</v>
      </c>
      <c r="D9" t="s">
        <v>17</v>
      </c>
      <c r="E9" s="9">
        <v>4200000</v>
      </c>
      <c r="F9" s="9">
        <v>3800000</v>
      </c>
      <c r="G9" s="6">
        <v>45777</v>
      </c>
      <c r="H9" t="s">
        <v>56</v>
      </c>
      <c r="I9" t="s">
        <v>75</v>
      </c>
      <c r="J9" t="s">
        <v>348</v>
      </c>
      <c r="K9" s="10" t="s">
        <v>341</v>
      </c>
    </row>
    <row r="10" spans="1:11" ht="15" customHeight="1" x14ac:dyDescent="0.35">
      <c r="A10" t="s">
        <v>143</v>
      </c>
      <c r="B10" t="s">
        <v>145</v>
      </c>
      <c r="C10" t="s">
        <v>146</v>
      </c>
      <c r="D10" t="s">
        <v>19</v>
      </c>
      <c r="E10" s="9">
        <v>850000</v>
      </c>
      <c r="F10" s="9">
        <v>800000</v>
      </c>
      <c r="G10" s="6">
        <v>45792</v>
      </c>
      <c r="H10" t="s">
        <v>56</v>
      </c>
      <c r="I10" t="s">
        <v>64</v>
      </c>
      <c r="J10" t="s">
        <v>349</v>
      </c>
      <c r="K10" s="10" t="s">
        <v>341</v>
      </c>
    </row>
    <row r="11" spans="1:11" ht="15" customHeight="1" x14ac:dyDescent="0.35">
      <c r="A11" t="s">
        <v>148</v>
      </c>
      <c r="B11" t="s">
        <v>150</v>
      </c>
      <c r="C11" t="s">
        <v>151</v>
      </c>
      <c r="D11" t="s">
        <v>15</v>
      </c>
      <c r="E11" s="9">
        <v>2500000</v>
      </c>
      <c r="F11" s="9">
        <v>2200000</v>
      </c>
      <c r="G11" s="6">
        <v>45838</v>
      </c>
      <c r="H11" t="s">
        <v>56</v>
      </c>
      <c r="I11" t="s">
        <v>114</v>
      </c>
      <c r="J11" t="s">
        <v>350</v>
      </c>
      <c r="K11" s="10" t="s">
        <v>341</v>
      </c>
    </row>
    <row r="12" spans="1:11" ht="15" customHeight="1" x14ac:dyDescent="0.35">
      <c r="A12" t="s">
        <v>153</v>
      </c>
      <c r="B12" t="s">
        <v>155</v>
      </c>
      <c r="C12" t="s">
        <v>156</v>
      </c>
      <c r="D12" t="s">
        <v>16</v>
      </c>
      <c r="E12" s="9">
        <v>950000</v>
      </c>
      <c r="F12" s="9">
        <v>900000</v>
      </c>
      <c r="G12" s="6">
        <v>45853</v>
      </c>
      <c r="H12" t="s">
        <v>56</v>
      </c>
      <c r="I12" t="s">
        <v>87</v>
      </c>
      <c r="J12" t="s">
        <v>351</v>
      </c>
      <c r="K12" s="10" t="s">
        <v>341</v>
      </c>
    </row>
    <row r="13" spans="1:11" ht="15" customHeight="1" x14ac:dyDescent="0.35">
      <c r="A13" t="s">
        <v>158</v>
      </c>
      <c r="B13" t="s">
        <v>160</v>
      </c>
      <c r="C13" t="s">
        <v>161</v>
      </c>
      <c r="D13" t="s">
        <v>17</v>
      </c>
      <c r="E13" s="9">
        <v>3200000</v>
      </c>
      <c r="F13" s="9">
        <v>2900000</v>
      </c>
      <c r="G13" s="6">
        <v>45869</v>
      </c>
      <c r="H13" t="s">
        <v>56</v>
      </c>
      <c r="I13" t="s">
        <v>81</v>
      </c>
      <c r="J13" t="s">
        <v>352</v>
      </c>
      <c r="K13" s="10" t="s">
        <v>341</v>
      </c>
    </row>
    <row r="14" spans="1:11" ht="15" customHeight="1" x14ac:dyDescent="0.35">
      <c r="A14" t="s">
        <v>163</v>
      </c>
      <c r="B14" t="s">
        <v>165</v>
      </c>
      <c r="C14" t="s">
        <v>166</v>
      </c>
      <c r="D14" t="s">
        <v>15</v>
      </c>
      <c r="E14" s="9">
        <v>1800000</v>
      </c>
      <c r="F14" s="9">
        <v>1600000</v>
      </c>
      <c r="G14" s="6">
        <v>45900</v>
      </c>
      <c r="H14" t="s">
        <v>56</v>
      </c>
      <c r="I14" t="s">
        <v>114</v>
      </c>
      <c r="J14" t="s">
        <v>353</v>
      </c>
      <c r="K14" s="10" t="s">
        <v>341</v>
      </c>
    </row>
    <row r="15" spans="1:11" ht="15" customHeight="1" x14ac:dyDescent="0.35">
      <c r="A15" t="s">
        <v>168</v>
      </c>
      <c r="B15" t="s">
        <v>170</v>
      </c>
      <c r="C15" t="s">
        <v>171</v>
      </c>
      <c r="D15" t="s">
        <v>13</v>
      </c>
      <c r="E15" s="9">
        <v>600000</v>
      </c>
      <c r="F15" s="9">
        <v>600000</v>
      </c>
      <c r="G15" s="6">
        <v>45930</v>
      </c>
      <c r="H15" t="s">
        <v>56</v>
      </c>
      <c r="I15" t="s">
        <v>84</v>
      </c>
      <c r="J15" t="s">
        <v>354</v>
      </c>
      <c r="K15" s="10" t="s">
        <v>341</v>
      </c>
    </row>
    <row r="16" spans="1:11" ht="15" customHeight="1" x14ac:dyDescent="0.35">
      <c r="A16" t="s">
        <v>173</v>
      </c>
      <c r="B16" t="s">
        <v>175</v>
      </c>
      <c r="C16" t="s">
        <v>176</v>
      </c>
      <c r="D16" t="s">
        <v>16</v>
      </c>
      <c r="E16" s="9">
        <v>750000</v>
      </c>
      <c r="F16" s="9">
        <v>720000</v>
      </c>
      <c r="G16" s="6">
        <v>45945</v>
      </c>
      <c r="H16" t="s">
        <v>56</v>
      </c>
      <c r="I16" t="s">
        <v>47</v>
      </c>
      <c r="J16" t="s">
        <v>355</v>
      </c>
      <c r="K16" s="10" t="s">
        <v>341</v>
      </c>
    </row>
    <row r="17" spans="1:11" ht="15" customHeight="1" x14ac:dyDescent="0.35">
      <c r="A17" t="s">
        <v>178</v>
      </c>
      <c r="B17" t="s">
        <v>180</v>
      </c>
      <c r="C17" t="s">
        <v>181</v>
      </c>
      <c r="D17" t="s">
        <v>18</v>
      </c>
      <c r="E17" s="9">
        <v>1500000</v>
      </c>
      <c r="F17" s="9">
        <v>1400000</v>
      </c>
      <c r="G17" s="6">
        <v>45961</v>
      </c>
      <c r="H17" t="s">
        <v>56</v>
      </c>
      <c r="I17" t="s">
        <v>29</v>
      </c>
      <c r="J17" t="s">
        <v>356</v>
      </c>
      <c r="K17" s="10" t="s">
        <v>341</v>
      </c>
    </row>
    <row r="18" spans="1:11" ht="15" customHeight="1" x14ac:dyDescent="0.35">
      <c r="A18" t="s">
        <v>188</v>
      </c>
      <c r="B18" t="s">
        <v>190</v>
      </c>
      <c r="C18" t="s">
        <v>191</v>
      </c>
      <c r="D18" t="s">
        <v>17</v>
      </c>
      <c r="E18" s="9">
        <v>2800000</v>
      </c>
      <c r="F18" s="9">
        <v>2500000</v>
      </c>
      <c r="G18" s="6">
        <v>45991</v>
      </c>
      <c r="H18" t="s">
        <v>56</v>
      </c>
      <c r="I18" t="s">
        <v>75</v>
      </c>
      <c r="J18" t="s">
        <v>357</v>
      </c>
      <c r="K18" s="10" t="s">
        <v>341</v>
      </c>
    </row>
    <row r="19" spans="1:11" ht="15" customHeight="1" x14ac:dyDescent="0.35">
      <c r="A19" t="s">
        <v>193</v>
      </c>
      <c r="B19" t="s">
        <v>195</v>
      </c>
      <c r="C19" t="s">
        <v>196</v>
      </c>
      <c r="D19" t="s">
        <v>19</v>
      </c>
      <c r="E19" s="9">
        <v>1100000</v>
      </c>
      <c r="F19" s="9">
        <v>1000000</v>
      </c>
      <c r="G19" s="6">
        <v>46006</v>
      </c>
      <c r="H19" t="s">
        <v>56</v>
      </c>
      <c r="I19" t="s">
        <v>64</v>
      </c>
      <c r="J19" t="s">
        <v>358</v>
      </c>
      <c r="K19" s="10" t="s">
        <v>341</v>
      </c>
    </row>
    <row r="20" spans="1:11" ht="15" customHeight="1" x14ac:dyDescent="0.35">
      <c r="A20" t="s">
        <v>198</v>
      </c>
      <c r="B20" t="s">
        <v>200</v>
      </c>
      <c r="C20" t="s">
        <v>201</v>
      </c>
      <c r="D20" t="s">
        <v>13</v>
      </c>
      <c r="E20" s="9">
        <v>500000</v>
      </c>
      <c r="F20" s="9">
        <v>480000</v>
      </c>
      <c r="G20" s="6">
        <v>46022</v>
      </c>
      <c r="H20" t="s">
        <v>56</v>
      </c>
      <c r="I20" t="s">
        <v>84</v>
      </c>
      <c r="J20" t="s">
        <v>359</v>
      </c>
      <c r="K20" s="10" t="s">
        <v>341</v>
      </c>
    </row>
    <row r="21" spans="1:11" ht="15" customHeight="1" x14ac:dyDescent="0.35">
      <c r="A21" t="s">
        <v>203</v>
      </c>
      <c r="B21" t="s">
        <v>205</v>
      </c>
      <c r="C21" t="s">
        <v>206</v>
      </c>
      <c r="D21" t="s">
        <v>15</v>
      </c>
      <c r="E21" s="9">
        <v>1600000</v>
      </c>
      <c r="F21" s="9">
        <v>1500000</v>
      </c>
      <c r="G21" s="6">
        <v>46053</v>
      </c>
      <c r="H21" t="s">
        <v>56</v>
      </c>
      <c r="I21" t="s">
        <v>29</v>
      </c>
      <c r="J21" t="s">
        <v>360</v>
      </c>
      <c r="K21" s="10" t="s">
        <v>341</v>
      </c>
    </row>
    <row r="22" spans="1:11" ht="15" customHeight="1" x14ac:dyDescent="0.35">
      <c r="A22" t="s">
        <v>218</v>
      </c>
      <c r="B22" t="s">
        <v>220</v>
      </c>
      <c r="C22" t="s">
        <v>221</v>
      </c>
      <c r="D22" t="s">
        <v>16</v>
      </c>
      <c r="E22" s="9">
        <v>3500000</v>
      </c>
      <c r="F22" s="9">
        <v>3200000</v>
      </c>
      <c r="G22" s="6">
        <v>46081</v>
      </c>
      <c r="H22" t="s">
        <v>56</v>
      </c>
      <c r="I22" t="s">
        <v>75</v>
      </c>
      <c r="J22" t="s">
        <v>361</v>
      </c>
      <c r="K22" s="10" t="s">
        <v>341</v>
      </c>
    </row>
    <row r="23" spans="1:11" ht="15" customHeight="1" x14ac:dyDescent="0.35">
      <c r="A23" t="s">
        <v>223</v>
      </c>
      <c r="B23" t="s">
        <v>225</v>
      </c>
      <c r="C23" t="s">
        <v>226</v>
      </c>
      <c r="D23" t="s">
        <v>19</v>
      </c>
      <c r="E23" s="9">
        <v>900000</v>
      </c>
      <c r="F23" s="9">
        <v>850000</v>
      </c>
      <c r="G23" s="6">
        <v>46112</v>
      </c>
      <c r="H23" t="s">
        <v>56</v>
      </c>
      <c r="I23" t="s">
        <v>64</v>
      </c>
      <c r="J23" t="s">
        <v>362</v>
      </c>
      <c r="K23" s="10" t="s">
        <v>341</v>
      </c>
    </row>
    <row r="24" spans="1:11" ht="15" customHeight="1" x14ac:dyDescent="0.35">
      <c r="A24" t="s">
        <v>228</v>
      </c>
      <c r="B24" t="s">
        <v>230</v>
      </c>
      <c r="C24" t="s">
        <v>231</v>
      </c>
      <c r="D24" t="s">
        <v>13</v>
      </c>
      <c r="E24" s="9">
        <v>700000</v>
      </c>
      <c r="F24" s="9">
        <v>680000</v>
      </c>
      <c r="G24" s="6">
        <v>46112</v>
      </c>
      <c r="H24" t="s">
        <v>56</v>
      </c>
      <c r="I24" t="s">
        <v>87</v>
      </c>
      <c r="J24" t="s">
        <v>363</v>
      </c>
      <c r="K24" s="10" t="s">
        <v>341</v>
      </c>
    </row>
    <row r="25" spans="1:11" ht="15" customHeight="1" x14ac:dyDescent="0.35">
      <c r="A25" t="s">
        <v>183</v>
      </c>
      <c r="B25" t="s">
        <v>185</v>
      </c>
      <c r="C25" t="s">
        <v>186</v>
      </c>
      <c r="D25" t="s">
        <v>15</v>
      </c>
      <c r="E25" s="9">
        <v>450000</v>
      </c>
      <c r="F25" s="9">
        <v>320000</v>
      </c>
      <c r="G25" s="6">
        <v>45930</v>
      </c>
      <c r="H25" t="s">
        <v>71</v>
      </c>
      <c r="I25" t="s">
        <v>114</v>
      </c>
      <c r="J25" t="s">
        <v>364</v>
      </c>
      <c r="K25" s="10" t="s">
        <v>343</v>
      </c>
    </row>
    <row r="26" spans="1:11" ht="15" customHeight="1" x14ac:dyDescent="0.35">
      <c r="A26" t="s">
        <v>208</v>
      </c>
      <c r="B26" t="s">
        <v>210</v>
      </c>
      <c r="C26" t="s">
        <v>211</v>
      </c>
      <c r="D26" t="s">
        <v>18</v>
      </c>
      <c r="E26" s="9">
        <v>380000</v>
      </c>
      <c r="F26" s="9">
        <v>380000</v>
      </c>
      <c r="G26" s="6">
        <v>45915</v>
      </c>
      <c r="H26" t="s">
        <v>78</v>
      </c>
      <c r="I26" t="s">
        <v>81</v>
      </c>
      <c r="J26" t="s">
        <v>365</v>
      </c>
      <c r="K26" s="10" t="s">
        <v>343</v>
      </c>
    </row>
    <row r="27" spans="1:11" ht="15" customHeight="1" x14ac:dyDescent="0.35">
      <c r="A27" t="s">
        <v>213</v>
      </c>
      <c r="B27" t="s">
        <v>215</v>
      </c>
      <c r="C27" t="s">
        <v>216</v>
      </c>
      <c r="D27" t="s">
        <v>17</v>
      </c>
      <c r="E27" s="9">
        <v>2600000</v>
      </c>
      <c r="F27" s="9">
        <v>2400000</v>
      </c>
      <c r="G27" s="6">
        <v>46112</v>
      </c>
      <c r="H27" t="s">
        <v>39</v>
      </c>
      <c r="I27" t="s">
        <v>87</v>
      </c>
      <c r="J27" t="s">
        <v>366</v>
      </c>
      <c r="K27" s="10" t="s">
        <v>343</v>
      </c>
    </row>
    <row r="28" spans="1:11" ht="15" customHeight="1" x14ac:dyDescent="0.35">
      <c r="A28" t="s">
        <v>288</v>
      </c>
      <c r="B28" t="s">
        <v>290</v>
      </c>
      <c r="C28" t="s">
        <v>291</v>
      </c>
      <c r="D28" t="s">
        <v>13</v>
      </c>
      <c r="E28" s="9">
        <v>1300000</v>
      </c>
      <c r="F28" s="9">
        <v>1200000</v>
      </c>
      <c r="G28" s="6">
        <v>46112</v>
      </c>
      <c r="H28" t="s">
        <v>56</v>
      </c>
      <c r="I28" t="s">
        <v>29</v>
      </c>
      <c r="J28" t="s">
        <v>367</v>
      </c>
      <c r="K28" s="10" t="s">
        <v>341</v>
      </c>
    </row>
    <row r="29" spans="1:11" ht="15" customHeight="1" x14ac:dyDescent="0.35">
      <c r="A29" t="s">
        <v>293</v>
      </c>
      <c r="B29" t="s">
        <v>295</v>
      </c>
      <c r="C29" t="s">
        <v>296</v>
      </c>
      <c r="D29" t="s">
        <v>19</v>
      </c>
      <c r="E29" s="9">
        <v>550000</v>
      </c>
      <c r="F29" s="9">
        <v>520000</v>
      </c>
      <c r="G29" s="6">
        <v>46112</v>
      </c>
      <c r="H29" t="s">
        <v>56</v>
      </c>
      <c r="I29" t="s">
        <v>84</v>
      </c>
      <c r="J29" t="s">
        <v>368</v>
      </c>
      <c r="K29" s="10" t="s">
        <v>341</v>
      </c>
    </row>
    <row r="30" spans="1:11" ht="15" customHeight="1" x14ac:dyDescent="0.35">
      <c r="A30" t="s">
        <v>298</v>
      </c>
      <c r="B30" t="s">
        <v>300</v>
      </c>
      <c r="C30" t="s">
        <v>301</v>
      </c>
      <c r="D30" t="s">
        <v>16</v>
      </c>
      <c r="E30" s="9">
        <v>1050000</v>
      </c>
      <c r="F30" s="9">
        <v>950000</v>
      </c>
      <c r="G30" s="6">
        <v>46142</v>
      </c>
      <c r="H30" t="s">
        <v>56</v>
      </c>
      <c r="I30" t="s">
        <v>64</v>
      </c>
      <c r="J30" t="s">
        <v>369</v>
      </c>
      <c r="K30" s="10" t="s">
        <v>341</v>
      </c>
    </row>
    <row r="31" spans="1:11" ht="15" customHeight="1" x14ac:dyDescent="0.35">
      <c r="A31" t="s">
        <v>303</v>
      </c>
      <c r="B31" t="s">
        <v>305</v>
      </c>
      <c r="C31" t="s">
        <v>306</v>
      </c>
      <c r="D31" t="s">
        <v>15</v>
      </c>
      <c r="E31" s="9">
        <v>620000</v>
      </c>
      <c r="F31" s="9">
        <v>600000</v>
      </c>
      <c r="G31" s="6">
        <v>46142</v>
      </c>
      <c r="H31" t="s">
        <v>56</v>
      </c>
      <c r="I31" t="s">
        <v>87</v>
      </c>
      <c r="J31" t="s">
        <v>370</v>
      </c>
      <c r="K31" s="10" t="s">
        <v>341</v>
      </c>
    </row>
    <row r="32" spans="1:11" ht="15" customHeight="1" x14ac:dyDescent="0.35">
      <c r="A32" t="s">
        <v>308</v>
      </c>
      <c r="B32" t="s">
        <v>310</v>
      </c>
      <c r="C32" t="s">
        <v>311</v>
      </c>
      <c r="D32" t="s">
        <v>14</v>
      </c>
      <c r="E32" s="9">
        <v>780000</v>
      </c>
      <c r="F32" s="9">
        <v>680000</v>
      </c>
      <c r="G32" s="6">
        <v>46112</v>
      </c>
      <c r="H32" t="s">
        <v>39</v>
      </c>
      <c r="I32" t="s">
        <v>114</v>
      </c>
      <c r="J32" t="s">
        <v>371</v>
      </c>
      <c r="K32" s="10" t="s">
        <v>343</v>
      </c>
    </row>
    <row r="33" spans="2:11" ht="15" customHeight="1" x14ac:dyDescent="0.35">
      <c r="B33" t="str">
        <f>IF($A33="","",IFERROR(VLOOKUP($A33,Enquiry!$A:$K,3,0),"-"))</f>
        <v/>
      </c>
      <c r="C33" t="str">
        <f>IF($A33="","",IFERROR(VLOOKUP($A33,Enquiry!$A:$K,4,0),"-"))</f>
        <v/>
      </c>
      <c r="D33" t="str">
        <f>IF($A33="","",IFERROR(VLOOKUP($A33,Enquiry!$A:$K,5,0),"-"))</f>
        <v/>
      </c>
      <c r="E33" s="9"/>
      <c r="F33" s="9"/>
      <c r="G33" s="6"/>
      <c r="K33" s="10" t="str">
        <f t="shared" ref="K33:K96" si="0">IF(A33="","",IF(H33="Win","✅ Move to PO Workflow","⬜ Not Won Yet"))</f>
        <v/>
      </c>
    </row>
    <row r="34" spans="2:11" ht="15" customHeight="1" x14ac:dyDescent="0.35">
      <c r="B34" t="str">
        <f>IF($A34="","",IFERROR(VLOOKUP($A34,Enquiry!$A:$K,3,0),"-"))</f>
        <v/>
      </c>
      <c r="C34" t="str">
        <f>IF($A34="","",IFERROR(VLOOKUP($A34,Enquiry!$A:$K,4,0),"-"))</f>
        <v/>
      </c>
      <c r="D34" t="str">
        <f>IF($A34="","",IFERROR(VLOOKUP($A34,Enquiry!$A:$K,5,0),"-"))</f>
        <v/>
      </c>
      <c r="E34" s="9"/>
      <c r="F34" s="9"/>
      <c r="G34" s="6"/>
      <c r="K34" s="10" t="str">
        <f t="shared" si="0"/>
        <v/>
      </c>
    </row>
    <row r="35" spans="2:11" ht="15" customHeight="1" x14ac:dyDescent="0.35">
      <c r="B35" t="str">
        <f>IF($A35="","",IFERROR(VLOOKUP($A35,Enquiry!$A:$K,3,0),"-"))</f>
        <v/>
      </c>
      <c r="C35" t="str">
        <f>IF($A35="","",IFERROR(VLOOKUP($A35,Enquiry!$A:$K,4,0),"-"))</f>
        <v/>
      </c>
      <c r="D35" t="str">
        <f>IF($A35="","",IFERROR(VLOOKUP($A35,Enquiry!$A:$K,5,0),"-"))</f>
        <v/>
      </c>
      <c r="E35" s="9"/>
      <c r="F35" s="9"/>
      <c r="G35" s="6"/>
      <c r="K35" s="10" t="str">
        <f t="shared" si="0"/>
        <v/>
      </c>
    </row>
    <row r="36" spans="2:11" ht="15" customHeight="1" x14ac:dyDescent="0.35">
      <c r="B36" t="str">
        <f>IF($A36="","",IFERROR(VLOOKUP($A36,Enquiry!$A:$K,3,0),"-"))</f>
        <v/>
      </c>
      <c r="C36" t="str">
        <f>IF($A36="","",IFERROR(VLOOKUP($A36,Enquiry!$A:$K,4,0),"-"))</f>
        <v/>
      </c>
      <c r="D36" t="str">
        <f>IF($A36="","",IFERROR(VLOOKUP($A36,Enquiry!$A:$K,5,0),"-"))</f>
        <v/>
      </c>
      <c r="E36" s="9"/>
      <c r="F36" s="9"/>
      <c r="G36" s="6"/>
      <c r="K36" s="10" t="str">
        <f t="shared" si="0"/>
        <v/>
      </c>
    </row>
    <row r="37" spans="2:11" ht="15" customHeight="1" x14ac:dyDescent="0.35">
      <c r="B37" t="str">
        <f>IF($A37="","",IFERROR(VLOOKUP($A37,Enquiry!$A:$K,3,0),"-"))</f>
        <v/>
      </c>
      <c r="C37" t="str">
        <f>IF($A37="","",IFERROR(VLOOKUP($A37,Enquiry!$A:$K,4,0),"-"))</f>
        <v/>
      </c>
      <c r="D37" t="str">
        <f>IF($A37="","",IFERROR(VLOOKUP($A37,Enquiry!$A:$K,5,0),"-"))</f>
        <v/>
      </c>
      <c r="E37" s="9"/>
      <c r="F37" s="9"/>
      <c r="G37" s="6"/>
      <c r="K37" s="10" t="str">
        <f t="shared" si="0"/>
        <v/>
      </c>
    </row>
    <row r="38" spans="2:11" ht="15" customHeight="1" x14ac:dyDescent="0.35">
      <c r="B38" t="str">
        <f>IF($A38="","",IFERROR(VLOOKUP($A38,Enquiry!$A:$K,3,0),"-"))</f>
        <v/>
      </c>
      <c r="C38" t="str">
        <f>IF($A38="","",IFERROR(VLOOKUP($A38,Enquiry!$A:$K,4,0),"-"))</f>
        <v/>
      </c>
      <c r="D38" t="str">
        <f>IF($A38="","",IFERROR(VLOOKUP($A38,Enquiry!$A:$K,5,0),"-"))</f>
        <v/>
      </c>
      <c r="E38" s="9"/>
      <c r="F38" s="9"/>
      <c r="G38" s="6"/>
      <c r="K38" s="10" t="str">
        <f t="shared" si="0"/>
        <v/>
      </c>
    </row>
    <row r="39" spans="2:11" ht="15" customHeight="1" x14ac:dyDescent="0.35">
      <c r="B39" t="str">
        <f>IF($A39="","",IFERROR(VLOOKUP($A39,Enquiry!$A:$K,3,0),"-"))</f>
        <v/>
      </c>
      <c r="C39" t="str">
        <f>IF($A39="","",IFERROR(VLOOKUP($A39,Enquiry!$A:$K,4,0),"-"))</f>
        <v/>
      </c>
      <c r="D39" t="str">
        <f>IF($A39="","",IFERROR(VLOOKUP($A39,Enquiry!$A:$K,5,0),"-"))</f>
        <v/>
      </c>
      <c r="E39" s="9"/>
      <c r="F39" s="9"/>
      <c r="G39" s="6"/>
      <c r="K39" s="10" t="str">
        <f t="shared" si="0"/>
        <v/>
      </c>
    </row>
    <row r="40" spans="2:11" ht="15" customHeight="1" x14ac:dyDescent="0.35">
      <c r="B40" t="str">
        <f>IF($A40="","",IFERROR(VLOOKUP($A40,Enquiry!$A:$K,3,0),"-"))</f>
        <v/>
      </c>
      <c r="C40" t="str">
        <f>IF($A40="","",IFERROR(VLOOKUP($A40,Enquiry!$A:$K,4,0),"-"))</f>
        <v/>
      </c>
      <c r="D40" t="str">
        <f>IF($A40="","",IFERROR(VLOOKUP($A40,Enquiry!$A:$K,5,0),"-"))</f>
        <v/>
      </c>
      <c r="E40" s="9"/>
      <c r="F40" s="9"/>
      <c r="G40" s="6"/>
      <c r="K40" s="10" t="str">
        <f t="shared" si="0"/>
        <v/>
      </c>
    </row>
    <row r="41" spans="2:11" ht="15" customHeight="1" x14ac:dyDescent="0.35">
      <c r="B41" t="str">
        <f>IF($A41="","",IFERROR(VLOOKUP($A41,Enquiry!$A:$K,3,0),"-"))</f>
        <v/>
      </c>
      <c r="C41" t="str">
        <f>IF($A41="","",IFERROR(VLOOKUP($A41,Enquiry!$A:$K,4,0),"-"))</f>
        <v/>
      </c>
      <c r="D41" t="str">
        <f>IF($A41="","",IFERROR(VLOOKUP($A41,Enquiry!$A:$K,5,0),"-"))</f>
        <v/>
      </c>
      <c r="E41" s="9"/>
      <c r="F41" s="9"/>
      <c r="G41" s="6"/>
      <c r="K41" s="10" t="str">
        <f t="shared" si="0"/>
        <v/>
      </c>
    </row>
    <row r="42" spans="2:11" ht="15" customHeight="1" x14ac:dyDescent="0.35">
      <c r="B42" t="str">
        <f>IF($A42="","",IFERROR(VLOOKUP($A42,Enquiry!$A:$K,3,0),"-"))</f>
        <v/>
      </c>
      <c r="C42" t="str">
        <f>IF($A42="","",IFERROR(VLOOKUP($A42,Enquiry!$A:$K,4,0),"-"))</f>
        <v/>
      </c>
      <c r="D42" t="str">
        <f>IF($A42="","",IFERROR(VLOOKUP($A42,Enquiry!$A:$K,5,0),"-"))</f>
        <v/>
      </c>
      <c r="E42" s="9"/>
      <c r="F42" s="9"/>
      <c r="G42" s="6"/>
      <c r="K42" s="10" t="str">
        <f t="shared" si="0"/>
        <v/>
      </c>
    </row>
    <row r="43" spans="2:11" ht="15" customHeight="1" x14ac:dyDescent="0.35">
      <c r="B43" t="str">
        <f>IF($A43="","",IFERROR(VLOOKUP($A43,Enquiry!$A:$K,3,0),"-"))</f>
        <v/>
      </c>
      <c r="C43" t="str">
        <f>IF($A43="","",IFERROR(VLOOKUP($A43,Enquiry!$A:$K,4,0),"-"))</f>
        <v/>
      </c>
      <c r="D43" t="str">
        <f>IF($A43="","",IFERROR(VLOOKUP($A43,Enquiry!$A:$K,5,0),"-"))</f>
        <v/>
      </c>
      <c r="E43" s="9"/>
      <c r="F43" s="9"/>
      <c r="G43" s="6"/>
      <c r="K43" s="10" t="str">
        <f t="shared" si="0"/>
        <v/>
      </c>
    </row>
    <row r="44" spans="2:11" ht="15" customHeight="1" x14ac:dyDescent="0.35">
      <c r="B44" t="str">
        <f>IF($A44="","",IFERROR(VLOOKUP($A44,Enquiry!$A:$K,3,0),"-"))</f>
        <v/>
      </c>
      <c r="C44" t="str">
        <f>IF($A44="","",IFERROR(VLOOKUP($A44,Enquiry!$A:$K,4,0),"-"))</f>
        <v/>
      </c>
      <c r="D44" t="str">
        <f>IF($A44="","",IFERROR(VLOOKUP($A44,Enquiry!$A:$K,5,0),"-"))</f>
        <v/>
      </c>
      <c r="E44" s="9"/>
      <c r="F44" s="9"/>
      <c r="G44" s="6"/>
      <c r="K44" s="10" t="str">
        <f t="shared" si="0"/>
        <v/>
      </c>
    </row>
    <row r="45" spans="2:11" ht="15" customHeight="1" x14ac:dyDescent="0.35">
      <c r="B45" t="str">
        <f>IF($A45="","",IFERROR(VLOOKUP($A45,Enquiry!$A:$K,3,0),"-"))</f>
        <v/>
      </c>
      <c r="C45" t="str">
        <f>IF($A45="","",IFERROR(VLOOKUP($A45,Enquiry!$A:$K,4,0),"-"))</f>
        <v/>
      </c>
      <c r="D45" t="str">
        <f>IF($A45="","",IFERROR(VLOOKUP($A45,Enquiry!$A:$K,5,0),"-"))</f>
        <v/>
      </c>
      <c r="E45" s="9"/>
      <c r="F45" s="9"/>
      <c r="G45" s="6"/>
      <c r="K45" s="10" t="str">
        <f t="shared" si="0"/>
        <v/>
      </c>
    </row>
    <row r="46" spans="2:11" ht="15" customHeight="1" x14ac:dyDescent="0.35">
      <c r="B46" t="str">
        <f>IF($A46="","",IFERROR(VLOOKUP($A46,Enquiry!$A:$K,3,0),"-"))</f>
        <v/>
      </c>
      <c r="C46" t="str">
        <f>IF($A46="","",IFERROR(VLOOKUP($A46,Enquiry!$A:$K,4,0),"-"))</f>
        <v/>
      </c>
      <c r="D46" t="str">
        <f>IF($A46="","",IFERROR(VLOOKUP($A46,Enquiry!$A:$K,5,0),"-"))</f>
        <v/>
      </c>
      <c r="E46" s="9"/>
      <c r="F46" s="9"/>
      <c r="G46" s="6"/>
      <c r="K46" s="10" t="str">
        <f t="shared" si="0"/>
        <v/>
      </c>
    </row>
    <row r="47" spans="2:11" ht="15" customHeight="1" x14ac:dyDescent="0.35">
      <c r="B47" t="str">
        <f>IF($A47="","",IFERROR(VLOOKUP($A47,Enquiry!$A:$K,3,0),"-"))</f>
        <v/>
      </c>
      <c r="C47" t="str">
        <f>IF($A47="","",IFERROR(VLOOKUP($A47,Enquiry!$A:$K,4,0),"-"))</f>
        <v/>
      </c>
      <c r="D47" t="str">
        <f>IF($A47="","",IFERROR(VLOOKUP($A47,Enquiry!$A:$K,5,0),"-"))</f>
        <v/>
      </c>
      <c r="E47" s="9"/>
      <c r="F47" s="9"/>
      <c r="G47" s="6"/>
      <c r="K47" s="10" t="str">
        <f t="shared" si="0"/>
        <v/>
      </c>
    </row>
    <row r="48" spans="2:11" ht="15" customHeight="1" x14ac:dyDescent="0.35">
      <c r="B48" t="str">
        <f>IF($A48="","",IFERROR(VLOOKUP($A48,Enquiry!$A:$K,3,0),"-"))</f>
        <v/>
      </c>
      <c r="C48" t="str">
        <f>IF($A48="","",IFERROR(VLOOKUP($A48,Enquiry!$A:$K,4,0),"-"))</f>
        <v/>
      </c>
      <c r="D48" t="str">
        <f>IF($A48="","",IFERROR(VLOOKUP($A48,Enquiry!$A:$K,5,0),"-"))</f>
        <v/>
      </c>
      <c r="E48" s="9"/>
      <c r="F48" s="9"/>
      <c r="G48" s="6"/>
      <c r="K48" s="10" t="str">
        <f t="shared" si="0"/>
        <v/>
      </c>
    </row>
    <row r="49" spans="2:11" ht="15" customHeight="1" x14ac:dyDescent="0.35">
      <c r="B49" t="str">
        <f>IF($A49="","",IFERROR(VLOOKUP($A49,Enquiry!$A:$K,3,0),"-"))</f>
        <v/>
      </c>
      <c r="C49" t="str">
        <f>IF($A49="","",IFERROR(VLOOKUP($A49,Enquiry!$A:$K,4,0),"-"))</f>
        <v/>
      </c>
      <c r="D49" t="str">
        <f>IF($A49="","",IFERROR(VLOOKUP($A49,Enquiry!$A:$K,5,0),"-"))</f>
        <v/>
      </c>
      <c r="E49" s="9"/>
      <c r="F49" s="9"/>
      <c r="G49" s="6"/>
      <c r="K49" s="10" t="str">
        <f t="shared" si="0"/>
        <v/>
      </c>
    </row>
    <row r="50" spans="2:11" ht="15" customHeight="1" x14ac:dyDescent="0.35">
      <c r="B50" t="str">
        <f>IF($A50="","",IFERROR(VLOOKUP($A50,Enquiry!$A:$K,3,0),"-"))</f>
        <v/>
      </c>
      <c r="C50" t="str">
        <f>IF($A50="","",IFERROR(VLOOKUP($A50,Enquiry!$A:$K,4,0),"-"))</f>
        <v/>
      </c>
      <c r="D50" t="str">
        <f>IF($A50="","",IFERROR(VLOOKUP($A50,Enquiry!$A:$K,5,0),"-"))</f>
        <v/>
      </c>
      <c r="E50" s="9"/>
      <c r="F50" s="9"/>
      <c r="G50" s="6"/>
      <c r="K50" s="10" t="str">
        <f t="shared" si="0"/>
        <v/>
      </c>
    </row>
    <row r="51" spans="2:11" ht="15" customHeight="1" x14ac:dyDescent="0.35">
      <c r="B51" t="str">
        <f>IF($A51="","",IFERROR(VLOOKUP($A51,Enquiry!$A:$K,3,0),"-"))</f>
        <v/>
      </c>
      <c r="C51" t="str">
        <f>IF($A51="","",IFERROR(VLOOKUP($A51,Enquiry!$A:$K,4,0),"-"))</f>
        <v/>
      </c>
      <c r="D51" t="str">
        <f>IF($A51="","",IFERROR(VLOOKUP($A51,Enquiry!$A:$K,5,0),"-"))</f>
        <v/>
      </c>
      <c r="E51" s="9"/>
      <c r="F51" s="9"/>
      <c r="G51" s="6"/>
      <c r="K51" s="10" t="str">
        <f t="shared" si="0"/>
        <v/>
      </c>
    </row>
    <row r="52" spans="2:11" ht="15" customHeight="1" x14ac:dyDescent="0.35">
      <c r="B52" t="str">
        <f>IF($A52="","",IFERROR(VLOOKUP($A52,Enquiry!$A:$K,3,0),"-"))</f>
        <v/>
      </c>
      <c r="C52" t="str">
        <f>IF($A52="","",IFERROR(VLOOKUP($A52,Enquiry!$A:$K,4,0),"-"))</f>
        <v/>
      </c>
      <c r="D52" t="str">
        <f>IF($A52="","",IFERROR(VLOOKUP($A52,Enquiry!$A:$K,5,0),"-"))</f>
        <v/>
      </c>
      <c r="E52" s="9"/>
      <c r="F52" s="9"/>
      <c r="G52" s="6"/>
      <c r="K52" s="10" t="str">
        <f t="shared" si="0"/>
        <v/>
      </c>
    </row>
    <row r="53" spans="2:11" ht="15" customHeight="1" x14ac:dyDescent="0.35">
      <c r="B53" t="str">
        <f>IF($A53="","",IFERROR(VLOOKUP($A53,Enquiry!$A:$K,3,0),"-"))</f>
        <v/>
      </c>
      <c r="C53" t="str">
        <f>IF($A53="","",IFERROR(VLOOKUP($A53,Enquiry!$A:$K,4,0),"-"))</f>
        <v/>
      </c>
      <c r="D53" t="str">
        <f>IF($A53="","",IFERROR(VLOOKUP($A53,Enquiry!$A:$K,5,0),"-"))</f>
        <v/>
      </c>
      <c r="E53" s="9"/>
      <c r="F53" s="9"/>
      <c r="G53" s="6"/>
      <c r="K53" s="10" t="str">
        <f t="shared" si="0"/>
        <v/>
      </c>
    </row>
    <row r="54" spans="2:11" ht="15" customHeight="1" x14ac:dyDescent="0.35">
      <c r="B54" t="str">
        <f>IF($A54="","",IFERROR(VLOOKUP($A54,Enquiry!$A:$K,3,0),"-"))</f>
        <v/>
      </c>
      <c r="C54" t="str">
        <f>IF($A54="","",IFERROR(VLOOKUP($A54,Enquiry!$A:$K,4,0),"-"))</f>
        <v/>
      </c>
      <c r="D54" t="str">
        <f>IF($A54="","",IFERROR(VLOOKUP($A54,Enquiry!$A:$K,5,0),"-"))</f>
        <v/>
      </c>
      <c r="E54" s="9"/>
      <c r="F54" s="9"/>
      <c r="G54" s="6"/>
      <c r="K54" s="10" t="str">
        <f t="shared" si="0"/>
        <v/>
      </c>
    </row>
    <row r="55" spans="2:11" ht="15" customHeight="1" x14ac:dyDescent="0.35">
      <c r="B55" t="str">
        <f>IF($A55="","",IFERROR(VLOOKUP($A55,Enquiry!$A:$K,3,0),"-"))</f>
        <v/>
      </c>
      <c r="C55" t="str">
        <f>IF($A55="","",IFERROR(VLOOKUP($A55,Enquiry!$A:$K,4,0),"-"))</f>
        <v/>
      </c>
      <c r="D55" t="str">
        <f>IF($A55="","",IFERROR(VLOOKUP($A55,Enquiry!$A:$K,5,0),"-"))</f>
        <v/>
      </c>
      <c r="E55" s="9"/>
      <c r="F55" s="9"/>
      <c r="G55" s="6"/>
      <c r="K55" s="10" t="str">
        <f t="shared" si="0"/>
        <v/>
      </c>
    </row>
    <row r="56" spans="2:11" ht="15" customHeight="1" x14ac:dyDescent="0.35">
      <c r="B56" t="str">
        <f>IF($A56="","",IFERROR(VLOOKUP($A56,Enquiry!$A:$K,3,0),"-"))</f>
        <v/>
      </c>
      <c r="C56" t="str">
        <f>IF($A56="","",IFERROR(VLOOKUP($A56,Enquiry!$A:$K,4,0),"-"))</f>
        <v/>
      </c>
      <c r="D56" t="str">
        <f>IF($A56="","",IFERROR(VLOOKUP($A56,Enquiry!$A:$K,5,0),"-"))</f>
        <v/>
      </c>
      <c r="E56" s="9"/>
      <c r="F56" s="9"/>
      <c r="G56" s="6"/>
      <c r="K56" s="10" t="str">
        <f t="shared" si="0"/>
        <v/>
      </c>
    </row>
    <row r="57" spans="2:11" ht="15" customHeight="1" x14ac:dyDescent="0.35">
      <c r="B57" t="str">
        <f>IF($A57="","",IFERROR(VLOOKUP($A57,Enquiry!$A:$K,3,0),"-"))</f>
        <v/>
      </c>
      <c r="C57" t="str">
        <f>IF($A57="","",IFERROR(VLOOKUP($A57,Enquiry!$A:$K,4,0),"-"))</f>
        <v/>
      </c>
      <c r="D57" t="str">
        <f>IF($A57="","",IFERROR(VLOOKUP($A57,Enquiry!$A:$K,5,0),"-"))</f>
        <v/>
      </c>
      <c r="E57" s="9"/>
      <c r="F57" s="9"/>
      <c r="G57" s="6"/>
      <c r="K57" s="10" t="str">
        <f t="shared" si="0"/>
        <v/>
      </c>
    </row>
    <row r="58" spans="2:11" ht="15" customHeight="1" x14ac:dyDescent="0.35">
      <c r="B58" t="str">
        <f>IF($A58="","",IFERROR(VLOOKUP($A58,Enquiry!$A:$K,3,0),"-"))</f>
        <v/>
      </c>
      <c r="C58" t="str">
        <f>IF($A58="","",IFERROR(VLOOKUP($A58,Enquiry!$A:$K,4,0),"-"))</f>
        <v/>
      </c>
      <c r="D58" t="str">
        <f>IF($A58="","",IFERROR(VLOOKUP($A58,Enquiry!$A:$K,5,0),"-"))</f>
        <v/>
      </c>
      <c r="E58" s="9"/>
      <c r="F58" s="9"/>
      <c r="G58" s="6"/>
      <c r="K58" s="10" t="str">
        <f t="shared" si="0"/>
        <v/>
      </c>
    </row>
    <row r="59" spans="2:11" ht="15" customHeight="1" x14ac:dyDescent="0.35">
      <c r="B59" t="str">
        <f>IF($A59="","",IFERROR(VLOOKUP($A59,Enquiry!$A:$K,3,0),"-"))</f>
        <v/>
      </c>
      <c r="C59" t="str">
        <f>IF($A59="","",IFERROR(VLOOKUP($A59,Enquiry!$A:$K,4,0),"-"))</f>
        <v/>
      </c>
      <c r="D59" t="str">
        <f>IF($A59="","",IFERROR(VLOOKUP($A59,Enquiry!$A:$K,5,0),"-"))</f>
        <v/>
      </c>
      <c r="E59" s="9"/>
      <c r="F59" s="9"/>
      <c r="G59" s="6"/>
      <c r="K59" s="10" t="str">
        <f t="shared" si="0"/>
        <v/>
      </c>
    </row>
    <row r="60" spans="2:11" ht="15" customHeight="1" x14ac:dyDescent="0.35">
      <c r="B60" t="str">
        <f>IF($A60="","",IFERROR(VLOOKUP($A60,Enquiry!$A:$K,3,0),"-"))</f>
        <v/>
      </c>
      <c r="C60" t="str">
        <f>IF($A60="","",IFERROR(VLOOKUP($A60,Enquiry!$A:$K,4,0),"-"))</f>
        <v/>
      </c>
      <c r="D60" t="str">
        <f>IF($A60="","",IFERROR(VLOOKUP($A60,Enquiry!$A:$K,5,0),"-"))</f>
        <v/>
      </c>
      <c r="E60" s="9"/>
      <c r="F60" s="9"/>
      <c r="G60" s="6"/>
      <c r="K60" s="10" t="str">
        <f t="shared" si="0"/>
        <v/>
      </c>
    </row>
    <row r="61" spans="2:11" ht="15" customHeight="1" x14ac:dyDescent="0.35">
      <c r="B61" t="str">
        <f>IF($A61="","",IFERROR(VLOOKUP($A61,Enquiry!$A:$K,3,0),"-"))</f>
        <v/>
      </c>
      <c r="C61" t="str">
        <f>IF($A61="","",IFERROR(VLOOKUP($A61,Enquiry!$A:$K,4,0),"-"))</f>
        <v/>
      </c>
      <c r="D61" t="str">
        <f>IF($A61="","",IFERROR(VLOOKUP($A61,Enquiry!$A:$K,5,0),"-"))</f>
        <v/>
      </c>
      <c r="E61" s="9"/>
      <c r="F61" s="9"/>
      <c r="G61" s="6"/>
      <c r="K61" s="10" t="str">
        <f t="shared" si="0"/>
        <v/>
      </c>
    </row>
    <row r="62" spans="2:11" ht="15" customHeight="1" x14ac:dyDescent="0.35">
      <c r="B62" t="str">
        <f>IF($A62="","",IFERROR(VLOOKUP($A62,Enquiry!$A:$K,3,0),"-"))</f>
        <v/>
      </c>
      <c r="C62" t="str">
        <f>IF($A62="","",IFERROR(VLOOKUP($A62,Enquiry!$A:$K,4,0),"-"))</f>
        <v/>
      </c>
      <c r="D62" t="str">
        <f>IF($A62="","",IFERROR(VLOOKUP($A62,Enquiry!$A:$K,5,0),"-"))</f>
        <v/>
      </c>
      <c r="E62" s="9"/>
      <c r="F62" s="9"/>
      <c r="G62" s="6"/>
      <c r="K62" s="10" t="str">
        <f t="shared" si="0"/>
        <v/>
      </c>
    </row>
    <row r="63" spans="2:11" ht="15" customHeight="1" x14ac:dyDescent="0.35">
      <c r="B63" t="str">
        <f>IF($A63="","",IFERROR(VLOOKUP($A63,Enquiry!$A:$K,3,0),"-"))</f>
        <v/>
      </c>
      <c r="C63" t="str">
        <f>IF($A63="","",IFERROR(VLOOKUP($A63,Enquiry!$A:$K,4,0),"-"))</f>
        <v/>
      </c>
      <c r="D63" t="str">
        <f>IF($A63="","",IFERROR(VLOOKUP($A63,Enquiry!$A:$K,5,0),"-"))</f>
        <v/>
      </c>
      <c r="E63" s="9"/>
      <c r="F63" s="9"/>
      <c r="G63" s="6"/>
      <c r="K63" s="10" t="str">
        <f t="shared" si="0"/>
        <v/>
      </c>
    </row>
    <row r="64" spans="2:11" ht="15" customHeight="1" x14ac:dyDescent="0.35">
      <c r="B64" t="str">
        <f>IF($A64="","",IFERROR(VLOOKUP($A64,Enquiry!$A:$K,3,0),"-"))</f>
        <v/>
      </c>
      <c r="C64" t="str">
        <f>IF($A64="","",IFERROR(VLOOKUP($A64,Enquiry!$A:$K,4,0),"-"))</f>
        <v/>
      </c>
      <c r="D64" t="str">
        <f>IF($A64="","",IFERROR(VLOOKUP($A64,Enquiry!$A:$K,5,0),"-"))</f>
        <v/>
      </c>
      <c r="E64" s="9"/>
      <c r="F64" s="9"/>
      <c r="G64" s="6"/>
      <c r="K64" s="10" t="str">
        <f t="shared" si="0"/>
        <v/>
      </c>
    </row>
    <row r="65" spans="2:11" ht="15" customHeight="1" x14ac:dyDescent="0.35">
      <c r="B65" t="str">
        <f>IF($A65="","",IFERROR(VLOOKUP($A65,Enquiry!$A:$K,3,0),"-"))</f>
        <v/>
      </c>
      <c r="C65" t="str">
        <f>IF($A65="","",IFERROR(VLOOKUP($A65,Enquiry!$A:$K,4,0),"-"))</f>
        <v/>
      </c>
      <c r="D65" t="str">
        <f>IF($A65="","",IFERROR(VLOOKUP($A65,Enquiry!$A:$K,5,0),"-"))</f>
        <v/>
      </c>
      <c r="E65" s="9"/>
      <c r="F65" s="9"/>
      <c r="G65" s="6"/>
      <c r="K65" s="10" t="str">
        <f t="shared" si="0"/>
        <v/>
      </c>
    </row>
    <row r="66" spans="2:11" ht="15" customHeight="1" x14ac:dyDescent="0.35">
      <c r="B66" t="str">
        <f>IF($A66="","",IFERROR(VLOOKUP($A66,Enquiry!$A:$K,3,0),"-"))</f>
        <v/>
      </c>
      <c r="C66" t="str">
        <f>IF($A66="","",IFERROR(VLOOKUP($A66,Enquiry!$A:$K,4,0),"-"))</f>
        <v/>
      </c>
      <c r="D66" t="str">
        <f>IF($A66="","",IFERROR(VLOOKUP($A66,Enquiry!$A:$K,5,0),"-"))</f>
        <v/>
      </c>
      <c r="E66" s="9"/>
      <c r="F66" s="9"/>
      <c r="G66" s="6"/>
      <c r="K66" s="10" t="str">
        <f t="shared" si="0"/>
        <v/>
      </c>
    </row>
    <row r="67" spans="2:11" ht="15" customHeight="1" x14ac:dyDescent="0.35">
      <c r="B67" t="str">
        <f>IF($A67="","",IFERROR(VLOOKUP($A67,Enquiry!$A:$K,3,0),"-"))</f>
        <v/>
      </c>
      <c r="C67" t="str">
        <f>IF($A67="","",IFERROR(VLOOKUP($A67,Enquiry!$A:$K,4,0),"-"))</f>
        <v/>
      </c>
      <c r="D67" t="str">
        <f>IF($A67="","",IFERROR(VLOOKUP($A67,Enquiry!$A:$K,5,0),"-"))</f>
        <v/>
      </c>
      <c r="E67" s="9"/>
      <c r="F67" s="9"/>
      <c r="G67" s="6"/>
      <c r="K67" s="10" t="str">
        <f t="shared" si="0"/>
        <v/>
      </c>
    </row>
    <row r="68" spans="2:11" ht="15" customHeight="1" x14ac:dyDescent="0.35">
      <c r="B68" t="str">
        <f>IF($A68="","",IFERROR(VLOOKUP($A68,Enquiry!$A:$K,3,0),"-"))</f>
        <v/>
      </c>
      <c r="C68" t="str">
        <f>IF($A68="","",IFERROR(VLOOKUP($A68,Enquiry!$A:$K,4,0),"-"))</f>
        <v/>
      </c>
      <c r="D68" t="str">
        <f>IF($A68="","",IFERROR(VLOOKUP($A68,Enquiry!$A:$K,5,0),"-"))</f>
        <v/>
      </c>
      <c r="E68" s="9"/>
      <c r="F68" s="9"/>
      <c r="G68" s="6"/>
      <c r="K68" s="10" t="str">
        <f t="shared" si="0"/>
        <v/>
      </c>
    </row>
    <row r="69" spans="2:11" ht="15" customHeight="1" x14ac:dyDescent="0.35">
      <c r="B69" t="str">
        <f>IF($A69="","",IFERROR(VLOOKUP($A69,Enquiry!$A:$K,3,0),"-"))</f>
        <v/>
      </c>
      <c r="C69" t="str">
        <f>IF($A69="","",IFERROR(VLOOKUP($A69,Enquiry!$A:$K,4,0),"-"))</f>
        <v/>
      </c>
      <c r="D69" t="str">
        <f>IF($A69="","",IFERROR(VLOOKUP($A69,Enquiry!$A:$K,5,0),"-"))</f>
        <v/>
      </c>
      <c r="E69" s="9"/>
      <c r="F69" s="9"/>
      <c r="G69" s="6"/>
      <c r="K69" s="10" t="str">
        <f t="shared" si="0"/>
        <v/>
      </c>
    </row>
    <row r="70" spans="2:11" ht="15" customHeight="1" x14ac:dyDescent="0.35">
      <c r="B70" t="str">
        <f>IF($A70="","",IFERROR(VLOOKUP($A70,Enquiry!$A:$K,3,0),"-"))</f>
        <v/>
      </c>
      <c r="C70" t="str">
        <f>IF($A70="","",IFERROR(VLOOKUP($A70,Enquiry!$A:$K,4,0),"-"))</f>
        <v/>
      </c>
      <c r="D70" t="str">
        <f>IF($A70="","",IFERROR(VLOOKUP($A70,Enquiry!$A:$K,5,0),"-"))</f>
        <v/>
      </c>
      <c r="E70" s="9"/>
      <c r="F70" s="9"/>
      <c r="G70" s="6"/>
      <c r="K70" s="10" t="str">
        <f t="shared" si="0"/>
        <v/>
      </c>
    </row>
    <row r="71" spans="2:11" ht="15" customHeight="1" x14ac:dyDescent="0.35">
      <c r="B71" t="str">
        <f>IF($A71="","",IFERROR(VLOOKUP($A71,Enquiry!$A:$K,3,0),"-"))</f>
        <v/>
      </c>
      <c r="C71" t="str">
        <f>IF($A71="","",IFERROR(VLOOKUP($A71,Enquiry!$A:$K,4,0),"-"))</f>
        <v/>
      </c>
      <c r="D71" t="str">
        <f>IF($A71="","",IFERROR(VLOOKUP($A71,Enquiry!$A:$K,5,0),"-"))</f>
        <v/>
      </c>
      <c r="E71" s="9"/>
      <c r="F71" s="9"/>
      <c r="G71" s="6"/>
      <c r="K71" s="10" t="str">
        <f t="shared" si="0"/>
        <v/>
      </c>
    </row>
    <row r="72" spans="2:11" ht="15" customHeight="1" x14ac:dyDescent="0.35">
      <c r="B72" t="str">
        <f>IF($A72="","",IFERROR(VLOOKUP($A72,Enquiry!$A:$K,3,0),"-"))</f>
        <v/>
      </c>
      <c r="C72" t="str">
        <f>IF($A72="","",IFERROR(VLOOKUP($A72,Enquiry!$A:$K,4,0),"-"))</f>
        <v/>
      </c>
      <c r="D72" t="str">
        <f>IF($A72="","",IFERROR(VLOOKUP($A72,Enquiry!$A:$K,5,0),"-"))</f>
        <v/>
      </c>
      <c r="E72" s="9"/>
      <c r="F72" s="9"/>
      <c r="G72" s="6"/>
      <c r="K72" s="10" t="str">
        <f t="shared" si="0"/>
        <v/>
      </c>
    </row>
    <row r="73" spans="2:11" ht="15" customHeight="1" x14ac:dyDescent="0.35">
      <c r="B73" t="str">
        <f>IF($A73="","",IFERROR(VLOOKUP($A73,Enquiry!$A:$K,3,0),"-"))</f>
        <v/>
      </c>
      <c r="C73" t="str">
        <f>IF($A73="","",IFERROR(VLOOKUP($A73,Enquiry!$A:$K,4,0),"-"))</f>
        <v/>
      </c>
      <c r="D73" t="str">
        <f>IF($A73="","",IFERROR(VLOOKUP($A73,Enquiry!$A:$K,5,0),"-"))</f>
        <v/>
      </c>
      <c r="E73" s="9"/>
      <c r="F73" s="9"/>
      <c r="G73" s="6"/>
      <c r="K73" s="10" t="str">
        <f t="shared" si="0"/>
        <v/>
      </c>
    </row>
    <row r="74" spans="2:11" ht="15" customHeight="1" x14ac:dyDescent="0.35">
      <c r="B74" t="str">
        <f>IF($A74="","",IFERROR(VLOOKUP($A74,Enquiry!$A:$K,3,0),"-"))</f>
        <v/>
      </c>
      <c r="C74" t="str">
        <f>IF($A74="","",IFERROR(VLOOKUP($A74,Enquiry!$A:$K,4,0),"-"))</f>
        <v/>
      </c>
      <c r="D74" t="str">
        <f>IF($A74="","",IFERROR(VLOOKUP($A74,Enquiry!$A:$K,5,0),"-"))</f>
        <v/>
      </c>
      <c r="E74" s="9"/>
      <c r="F74" s="9"/>
      <c r="G74" s="6"/>
      <c r="K74" s="10" t="str">
        <f t="shared" si="0"/>
        <v/>
      </c>
    </row>
    <row r="75" spans="2:11" ht="15" customHeight="1" x14ac:dyDescent="0.35">
      <c r="B75" t="str">
        <f>IF($A75="","",IFERROR(VLOOKUP($A75,Enquiry!$A:$K,3,0),"-"))</f>
        <v/>
      </c>
      <c r="C75" t="str">
        <f>IF($A75="","",IFERROR(VLOOKUP($A75,Enquiry!$A:$K,4,0),"-"))</f>
        <v/>
      </c>
      <c r="D75" t="str">
        <f>IF($A75="","",IFERROR(VLOOKUP($A75,Enquiry!$A:$K,5,0),"-"))</f>
        <v/>
      </c>
      <c r="E75" s="9"/>
      <c r="F75" s="9"/>
      <c r="G75" s="6"/>
      <c r="K75" s="10" t="str">
        <f t="shared" si="0"/>
        <v/>
      </c>
    </row>
    <row r="76" spans="2:11" ht="15" customHeight="1" x14ac:dyDescent="0.35">
      <c r="B76" t="str">
        <f>IF($A76="","",IFERROR(VLOOKUP($A76,Enquiry!$A:$K,3,0),"-"))</f>
        <v/>
      </c>
      <c r="C76" t="str">
        <f>IF($A76="","",IFERROR(VLOOKUP($A76,Enquiry!$A:$K,4,0),"-"))</f>
        <v/>
      </c>
      <c r="D76" t="str">
        <f>IF($A76="","",IFERROR(VLOOKUP($A76,Enquiry!$A:$K,5,0),"-"))</f>
        <v/>
      </c>
      <c r="E76" s="9"/>
      <c r="F76" s="9"/>
      <c r="G76" s="6"/>
      <c r="K76" s="10" t="str">
        <f t="shared" si="0"/>
        <v/>
      </c>
    </row>
    <row r="77" spans="2:11" ht="15" customHeight="1" x14ac:dyDescent="0.35">
      <c r="B77" t="str">
        <f>IF($A77="","",IFERROR(VLOOKUP($A77,Enquiry!$A:$K,3,0),"-"))</f>
        <v/>
      </c>
      <c r="C77" t="str">
        <f>IF($A77="","",IFERROR(VLOOKUP($A77,Enquiry!$A:$K,4,0),"-"))</f>
        <v/>
      </c>
      <c r="D77" t="str">
        <f>IF($A77="","",IFERROR(VLOOKUP($A77,Enquiry!$A:$K,5,0),"-"))</f>
        <v/>
      </c>
      <c r="E77" s="9"/>
      <c r="F77" s="9"/>
      <c r="G77" s="6"/>
      <c r="K77" s="10" t="str">
        <f t="shared" si="0"/>
        <v/>
      </c>
    </row>
    <row r="78" spans="2:11" ht="15" customHeight="1" x14ac:dyDescent="0.35">
      <c r="B78" t="str">
        <f>IF($A78="","",IFERROR(VLOOKUP($A78,Enquiry!$A:$K,3,0),"-"))</f>
        <v/>
      </c>
      <c r="C78" t="str">
        <f>IF($A78="","",IFERROR(VLOOKUP($A78,Enquiry!$A:$K,4,0),"-"))</f>
        <v/>
      </c>
      <c r="D78" t="str">
        <f>IF($A78="","",IFERROR(VLOOKUP($A78,Enquiry!$A:$K,5,0),"-"))</f>
        <v/>
      </c>
      <c r="E78" s="9"/>
      <c r="F78" s="9"/>
      <c r="G78" s="6"/>
      <c r="K78" s="10" t="str">
        <f t="shared" si="0"/>
        <v/>
      </c>
    </row>
    <row r="79" spans="2:11" ht="15" customHeight="1" x14ac:dyDescent="0.35">
      <c r="B79" t="str">
        <f>IF($A79="","",IFERROR(VLOOKUP($A79,Enquiry!$A:$K,3,0),"-"))</f>
        <v/>
      </c>
      <c r="C79" t="str">
        <f>IF($A79="","",IFERROR(VLOOKUP($A79,Enquiry!$A:$K,4,0),"-"))</f>
        <v/>
      </c>
      <c r="D79" t="str">
        <f>IF($A79="","",IFERROR(VLOOKUP($A79,Enquiry!$A:$K,5,0),"-"))</f>
        <v/>
      </c>
      <c r="E79" s="9"/>
      <c r="F79" s="9"/>
      <c r="G79" s="6"/>
      <c r="K79" s="10" t="str">
        <f t="shared" si="0"/>
        <v/>
      </c>
    </row>
    <row r="80" spans="2:11" ht="15" customHeight="1" x14ac:dyDescent="0.35">
      <c r="B80" t="str">
        <f>IF($A80="","",IFERROR(VLOOKUP($A80,Enquiry!$A:$K,3,0),"-"))</f>
        <v/>
      </c>
      <c r="C80" t="str">
        <f>IF($A80="","",IFERROR(VLOOKUP($A80,Enquiry!$A:$K,4,0),"-"))</f>
        <v/>
      </c>
      <c r="D80" t="str">
        <f>IF($A80="","",IFERROR(VLOOKUP($A80,Enquiry!$A:$K,5,0),"-"))</f>
        <v/>
      </c>
      <c r="E80" s="9"/>
      <c r="F80" s="9"/>
      <c r="G80" s="6"/>
      <c r="K80" s="10" t="str">
        <f t="shared" si="0"/>
        <v/>
      </c>
    </row>
    <row r="81" spans="2:11" ht="15" customHeight="1" x14ac:dyDescent="0.35">
      <c r="B81" t="str">
        <f>IF($A81="","",IFERROR(VLOOKUP($A81,Enquiry!$A:$K,3,0),"-"))</f>
        <v/>
      </c>
      <c r="C81" t="str">
        <f>IF($A81="","",IFERROR(VLOOKUP($A81,Enquiry!$A:$K,4,0),"-"))</f>
        <v/>
      </c>
      <c r="D81" t="str">
        <f>IF($A81="","",IFERROR(VLOOKUP($A81,Enquiry!$A:$K,5,0),"-"))</f>
        <v/>
      </c>
      <c r="E81" s="9"/>
      <c r="F81" s="9"/>
      <c r="G81" s="6"/>
      <c r="K81" s="10" t="str">
        <f t="shared" si="0"/>
        <v/>
      </c>
    </row>
    <row r="82" spans="2:11" ht="15" customHeight="1" x14ac:dyDescent="0.35">
      <c r="B82" t="str">
        <f>IF($A82="","",IFERROR(VLOOKUP($A82,Enquiry!$A:$K,3,0),"-"))</f>
        <v/>
      </c>
      <c r="C82" t="str">
        <f>IF($A82="","",IFERROR(VLOOKUP($A82,Enquiry!$A:$K,4,0),"-"))</f>
        <v/>
      </c>
      <c r="D82" t="str">
        <f>IF($A82="","",IFERROR(VLOOKUP($A82,Enquiry!$A:$K,5,0),"-"))</f>
        <v/>
      </c>
      <c r="E82" s="9"/>
      <c r="F82" s="9"/>
      <c r="G82" s="6"/>
      <c r="K82" s="10" t="str">
        <f t="shared" si="0"/>
        <v/>
      </c>
    </row>
    <row r="83" spans="2:11" ht="15" customHeight="1" x14ac:dyDescent="0.35">
      <c r="B83" t="str">
        <f>IF($A83="","",IFERROR(VLOOKUP($A83,Enquiry!$A:$K,3,0),"-"))</f>
        <v/>
      </c>
      <c r="C83" t="str">
        <f>IF($A83="","",IFERROR(VLOOKUP($A83,Enquiry!$A:$K,4,0),"-"))</f>
        <v/>
      </c>
      <c r="D83" t="str">
        <f>IF($A83="","",IFERROR(VLOOKUP($A83,Enquiry!$A:$K,5,0),"-"))</f>
        <v/>
      </c>
      <c r="E83" s="9"/>
      <c r="F83" s="9"/>
      <c r="G83" s="6"/>
      <c r="K83" s="10" t="str">
        <f t="shared" si="0"/>
        <v/>
      </c>
    </row>
    <row r="84" spans="2:11" ht="15" customHeight="1" x14ac:dyDescent="0.35">
      <c r="B84" t="str">
        <f>IF($A84="","",IFERROR(VLOOKUP($A84,Enquiry!$A:$K,3,0),"-"))</f>
        <v/>
      </c>
      <c r="C84" t="str">
        <f>IF($A84="","",IFERROR(VLOOKUP($A84,Enquiry!$A:$K,4,0),"-"))</f>
        <v/>
      </c>
      <c r="D84" t="str">
        <f>IF($A84="","",IFERROR(VLOOKUP($A84,Enquiry!$A:$K,5,0),"-"))</f>
        <v/>
      </c>
      <c r="E84" s="9"/>
      <c r="F84" s="9"/>
      <c r="G84" s="6"/>
      <c r="K84" s="10" t="str">
        <f t="shared" si="0"/>
        <v/>
      </c>
    </row>
    <row r="85" spans="2:11" ht="15" customHeight="1" x14ac:dyDescent="0.35">
      <c r="B85" t="str">
        <f>IF($A85="","",IFERROR(VLOOKUP($A85,Enquiry!$A:$K,3,0),"-"))</f>
        <v/>
      </c>
      <c r="C85" t="str">
        <f>IF($A85="","",IFERROR(VLOOKUP($A85,Enquiry!$A:$K,4,0),"-"))</f>
        <v/>
      </c>
      <c r="D85" t="str">
        <f>IF($A85="","",IFERROR(VLOOKUP($A85,Enquiry!$A:$K,5,0),"-"))</f>
        <v/>
      </c>
      <c r="E85" s="9"/>
      <c r="F85" s="9"/>
      <c r="G85" s="6"/>
      <c r="K85" s="10" t="str">
        <f t="shared" si="0"/>
        <v/>
      </c>
    </row>
    <row r="86" spans="2:11" ht="15" customHeight="1" x14ac:dyDescent="0.35">
      <c r="B86" t="str">
        <f>IF($A86="","",IFERROR(VLOOKUP($A86,Enquiry!$A:$K,3,0),"-"))</f>
        <v/>
      </c>
      <c r="C86" t="str">
        <f>IF($A86="","",IFERROR(VLOOKUP($A86,Enquiry!$A:$K,4,0),"-"))</f>
        <v/>
      </c>
      <c r="D86" t="str">
        <f>IF($A86="","",IFERROR(VLOOKUP($A86,Enquiry!$A:$K,5,0),"-"))</f>
        <v/>
      </c>
      <c r="E86" s="9"/>
      <c r="F86" s="9"/>
      <c r="G86" s="6"/>
      <c r="K86" s="10" t="str">
        <f t="shared" si="0"/>
        <v/>
      </c>
    </row>
    <row r="87" spans="2:11" ht="15" customHeight="1" x14ac:dyDescent="0.35">
      <c r="B87" t="str">
        <f>IF($A87="","",IFERROR(VLOOKUP($A87,Enquiry!$A:$K,3,0),"-"))</f>
        <v/>
      </c>
      <c r="C87" t="str">
        <f>IF($A87="","",IFERROR(VLOOKUP($A87,Enquiry!$A:$K,4,0),"-"))</f>
        <v/>
      </c>
      <c r="D87" t="str">
        <f>IF($A87="","",IFERROR(VLOOKUP($A87,Enquiry!$A:$K,5,0),"-"))</f>
        <v/>
      </c>
      <c r="E87" s="9"/>
      <c r="F87" s="9"/>
      <c r="G87" s="6"/>
      <c r="K87" s="10" t="str">
        <f t="shared" si="0"/>
        <v/>
      </c>
    </row>
    <row r="88" spans="2:11" ht="15" customHeight="1" x14ac:dyDescent="0.35">
      <c r="B88" t="str">
        <f>IF($A88="","",IFERROR(VLOOKUP($A88,Enquiry!$A:$K,3,0),"-"))</f>
        <v/>
      </c>
      <c r="C88" t="str">
        <f>IF($A88="","",IFERROR(VLOOKUP($A88,Enquiry!$A:$K,4,0),"-"))</f>
        <v/>
      </c>
      <c r="D88" t="str">
        <f>IF($A88="","",IFERROR(VLOOKUP($A88,Enquiry!$A:$K,5,0),"-"))</f>
        <v/>
      </c>
      <c r="E88" s="9"/>
      <c r="F88" s="9"/>
      <c r="G88" s="6"/>
      <c r="K88" s="10" t="str">
        <f t="shared" si="0"/>
        <v/>
      </c>
    </row>
    <row r="89" spans="2:11" ht="15" customHeight="1" x14ac:dyDescent="0.35">
      <c r="B89" t="str">
        <f>IF($A89="","",IFERROR(VLOOKUP($A89,Enquiry!$A:$K,3,0),"-"))</f>
        <v/>
      </c>
      <c r="C89" t="str">
        <f>IF($A89="","",IFERROR(VLOOKUP($A89,Enquiry!$A:$K,4,0),"-"))</f>
        <v/>
      </c>
      <c r="D89" t="str">
        <f>IF($A89="","",IFERROR(VLOOKUP($A89,Enquiry!$A:$K,5,0),"-"))</f>
        <v/>
      </c>
      <c r="E89" s="9"/>
      <c r="F89" s="9"/>
      <c r="G89" s="6"/>
      <c r="K89" s="10" t="str">
        <f t="shared" si="0"/>
        <v/>
      </c>
    </row>
    <row r="90" spans="2:11" ht="15" customHeight="1" x14ac:dyDescent="0.35">
      <c r="B90" t="str">
        <f>IF($A90="","",IFERROR(VLOOKUP($A90,Enquiry!$A:$K,3,0),"-"))</f>
        <v/>
      </c>
      <c r="C90" t="str">
        <f>IF($A90="","",IFERROR(VLOOKUP($A90,Enquiry!$A:$K,4,0),"-"))</f>
        <v/>
      </c>
      <c r="D90" t="str">
        <f>IF($A90="","",IFERROR(VLOOKUP($A90,Enquiry!$A:$K,5,0),"-"))</f>
        <v/>
      </c>
      <c r="E90" s="9"/>
      <c r="F90" s="9"/>
      <c r="G90" s="6"/>
      <c r="K90" s="10" t="str">
        <f t="shared" si="0"/>
        <v/>
      </c>
    </row>
    <row r="91" spans="2:11" ht="15" customHeight="1" x14ac:dyDescent="0.35">
      <c r="B91" t="str">
        <f>IF($A91="","",IFERROR(VLOOKUP($A91,Enquiry!$A:$K,3,0),"-"))</f>
        <v/>
      </c>
      <c r="C91" t="str">
        <f>IF($A91="","",IFERROR(VLOOKUP($A91,Enquiry!$A:$K,4,0),"-"))</f>
        <v/>
      </c>
      <c r="D91" t="str">
        <f>IF($A91="","",IFERROR(VLOOKUP($A91,Enquiry!$A:$K,5,0),"-"))</f>
        <v/>
      </c>
      <c r="E91" s="9"/>
      <c r="F91" s="9"/>
      <c r="G91" s="6"/>
      <c r="K91" s="10" t="str">
        <f t="shared" si="0"/>
        <v/>
      </c>
    </row>
    <row r="92" spans="2:11" ht="15" customHeight="1" x14ac:dyDescent="0.35">
      <c r="B92" t="str">
        <f>IF($A92="","",IFERROR(VLOOKUP($A92,Enquiry!$A:$K,3,0),"-"))</f>
        <v/>
      </c>
      <c r="C92" t="str">
        <f>IF($A92="","",IFERROR(VLOOKUP($A92,Enquiry!$A:$K,4,0),"-"))</f>
        <v/>
      </c>
      <c r="D92" t="str">
        <f>IF($A92="","",IFERROR(VLOOKUP($A92,Enquiry!$A:$K,5,0),"-"))</f>
        <v/>
      </c>
      <c r="E92" s="9"/>
      <c r="F92" s="9"/>
      <c r="G92" s="6"/>
      <c r="K92" s="10" t="str">
        <f t="shared" si="0"/>
        <v/>
      </c>
    </row>
    <row r="93" spans="2:11" ht="15" customHeight="1" x14ac:dyDescent="0.35">
      <c r="B93" t="str">
        <f>IF($A93="","",IFERROR(VLOOKUP($A93,Enquiry!$A:$K,3,0),"-"))</f>
        <v/>
      </c>
      <c r="C93" t="str">
        <f>IF($A93="","",IFERROR(VLOOKUP($A93,Enquiry!$A:$K,4,0),"-"))</f>
        <v/>
      </c>
      <c r="D93" t="str">
        <f>IF($A93="","",IFERROR(VLOOKUP($A93,Enquiry!$A:$K,5,0),"-"))</f>
        <v/>
      </c>
      <c r="E93" s="9"/>
      <c r="F93" s="9"/>
      <c r="G93" s="6"/>
      <c r="K93" s="10" t="str">
        <f t="shared" si="0"/>
        <v/>
      </c>
    </row>
    <row r="94" spans="2:11" ht="15" customHeight="1" x14ac:dyDescent="0.35">
      <c r="B94" t="str">
        <f>IF($A94="","",IFERROR(VLOOKUP($A94,Enquiry!$A:$K,3,0),"-"))</f>
        <v/>
      </c>
      <c r="C94" t="str">
        <f>IF($A94="","",IFERROR(VLOOKUP($A94,Enquiry!$A:$K,4,0),"-"))</f>
        <v/>
      </c>
      <c r="D94" t="str">
        <f>IF($A94="","",IFERROR(VLOOKUP($A94,Enquiry!$A:$K,5,0),"-"))</f>
        <v/>
      </c>
      <c r="E94" s="9"/>
      <c r="F94" s="9"/>
      <c r="G94" s="6"/>
      <c r="K94" s="10" t="str">
        <f t="shared" si="0"/>
        <v/>
      </c>
    </row>
    <row r="95" spans="2:11" ht="15" customHeight="1" x14ac:dyDescent="0.35">
      <c r="B95" t="str">
        <f>IF($A95="","",IFERROR(VLOOKUP($A95,Enquiry!$A:$K,3,0),"-"))</f>
        <v/>
      </c>
      <c r="C95" t="str">
        <f>IF($A95="","",IFERROR(VLOOKUP($A95,Enquiry!$A:$K,4,0),"-"))</f>
        <v/>
      </c>
      <c r="D95" t="str">
        <f>IF($A95="","",IFERROR(VLOOKUP($A95,Enquiry!$A:$K,5,0),"-"))</f>
        <v/>
      </c>
      <c r="E95" s="9"/>
      <c r="F95" s="9"/>
      <c r="G95" s="6"/>
      <c r="K95" s="10" t="str">
        <f t="shared" si="0"/>
        <v/>
      </c>
    </row>
    <row r="96" spans="2:11" ht="15" customHeight="1" x14ac:dyDescent="0.35">
      <c r="B96" t="str">
        <f>IF($A96="","",IFERROR(VLOOKUP($A96,Enquiry!$A:$K,3,0),"-"))</f>
        <v/>
      </c>
      <c r="C96" t="str">
        <f>IF($A96="","",IFERROR(VLOOKUP($A96,Enquiry!$A:$K,4,0),"-"))</f>
        <v/>
      </c>
      <c r="D96" t="str">
        <f>IF($A96="","",IFERROR(VLOOKUP($A96,Enquiry!$A:$K,5,0),"-"))</f>
        <v/>
      </c>
      <c r="E96" s="9"/>
      <c r="F96" s="9"/>
      <c r="G96" s="6"/>
      <c r="K96" s="10" t="str">
        <f t="shared" si="0"/>
        <v/>
      </c>
    </row>
    <row r="97" spans="2:11" ht="15" customHeight="1" x14ac:dyDescent="0.35">
      <c r="B97" t="str">
        <f>IF($A97="","",IFERROR(VLOOKUP($A97,Enquiry!$A:$K,3,0),"-"))</f>
        <v/>
      </c>
      <c r="C97" t="str">
        <f>IF($A97="","",IFERROR(VLOOKUP($A97,Enquiry!$A:$K,4,0),"-"))</f>
        <v/>
      </c>
      <c r="D97" t="str">
        <f>IF($A97="","",IFERROR(VLOOKUP($A97,Enquiry!$A:$K,5,0),"-"))</f>
        <v/>
      </c>
      <c r="E97" s="9"/>
      <c r="F97" s="9"/>
      <c r="G97" s="6"/>
      <c r="K97" s="10" t="str">
        <f t="shared" ref="K97:K160" si="1">IF(A97="","",IF(H97="Win","✅ Move to PO Workflow","⬜ Not Won Yet"))</f>
        <v/>
      </c>
    </row>
    <row r="98" spans="2:11" ht="15" customHeight="1" x14ac:dyDescent="0.35">
      <c r="B98" t="str">
        <f>IF($A98="","",IFERROR(VLOOKUP($A98,Enquiry!$A:$K,3,0),"-"))</f>
        <v/>
      </c>
      <c r="C98" t="str">
        <f>IF($A98="","",IFERROR(VLOOKUP($A98,Enquiry!$A:$K,4,0),"-"))</f>
        <v/>
      </c>
      <c r="D98" t="str">
        <f>IF($A98="","",IFERROR(VLOOKUP($A98,Enquiry!$A:$K,5,0),"-"))</f>
        <v/>
      </c>
      <c r="E98" s="9"/>
      <c r="F98" s="9"/>
      <c r="G98" s="6"/>
      <c r="K98" s="10" t="str">
        <f t="shared" si="1"/>
        <v/>
      </c>
    </row>
    <row r="99" spans="2:11" ht="15" customHeight="1" x14ac:dyDescent="0.35">
      <c r="B99" t="str">
        <f>IF($A99="","",IFERROR(VLOOKUP($A99,Enquiry!$A:$K,3,0),"-"))</f>
        <v/>
      </c>
      <c r="C99" t="str">
        <f>IF($A99="","",IFERROR(VLOOKUP($A99,Enquiry!$A:$K,4,0),"-"))</f>
        <v/>
      </c>
      <c r="D99" t="str">
        <f>IF($A99="","",IFERROR(VLOOKUP($A99,Enquiry!$A:$K,5,0),"-"))</f>
        <v/>
      </c>
      <c r="E99" s="9"/>
      <c r="F99" s="9"/>
      <c r="G99" s="6"/>
      <c r="K99" s="10" t="str">
        <f t="shared" si="1"/>
        <v/>
      </c>
    </row>
    <row r="100" spans="2:11" ht="15" customHeight="1" x14ac:dyDescent="0.35">
      <c r="B100" t="str">
        <f>IF($A100="","",IFERROR(VLOOKUP($A100,Enquiry!$A:$K,3,0),"-"))</f>
        <v/>
      </c>
      <c r="C100" t="str">
        <f>IF($A100="","",IFERROR(VLOOKUP($A100,Enquiry!$A:$K,4,0),"-"))</f>
        <v/>
      </c>
      <c r="D100" t="str">
        <f>IF($A100="","",IFERROR(VLOOKUP($A100,Enquiry!$A:$K,5,0),"-"))</f>
        <v/>
      </c>
      <c r="E100" s="9"/>
      <c r="F100" s="9"/>
      <c r="G100" s="6"/>
      <c r="K100" s="10" t="str">
        <f t="shared" si="1"/>
        <v/>
      </c>
    </row>
    <row r="101" spans="2:11" ht="15" customHeight="1" x14ac:dyDescent="0.35">
      <c r="B101" t="str">
        <f>IF($A101="","",IFERROR(VLOOKUP($A101,Enquiry!$A:$K,3,0),"-"))</f>
        <v/>
      </c>
      <c r="C101" t="str">
        <f>IF($A101="","",IFERROR(VLOOKUP($A101,Enquiry!$A:$K,4,0),"-"))</f>
        <v/>
      </c>
      <c r="D101" t="str">
        <f>IF($A101="","",IFERROR(VLOOKUP($A101,Enquiry!$A:$K,5,0),"-"))</f>
        <v/>
      </c>
      <c r="E101" s="9"/>
      <c r="F101" s="9"/>
      <c r="G101" s="6"/>
      <c r="K101" s="10" t="str">
        <f t="shared" si="1"/>
        <v/>
      </c>
    </row>
    <row r="102" spans="2:11" ht="15" customHeight="1" x14ac:dyDescent="0.35">
      <c r="B102" t="str">
        <f>IF($A102="","",IFERROR(VLOOKUP($A102,Enquiry!$A:$K,3,0),"-"))</f>
        <v/>
      </c>
      <c r="C102" t="str">
        <f>IF($A102="","",IFERROR(VLOOKUP($A102,Enquiry!$A:$K,4,0),"-"))</f>
        <v/>
      </c>
      <c r="D102" t="str">
        <f>IF($A102="","",IFERROR(VLOOKUP($A102,Enquiry!$A:$K,5,0),"-"))</f>
        <v/>
      </c>
      <c r="E102" s="9"/>
      <c r="F102" s="9"/>
      <c r="G102" s="6"/>
      <c r="K102" s="10" t="str">
        <f t="shared" si="1"/>
        <v/>
      </c>
    </row>
    <row r="103" spans="2:11" ht="15" customHeight="1" x14ac:dyDescent="0.35">
      <c r="B103" t="str">
        <f>IF($A103="","",IFERROR(VLOOKUP($A103,Enquiry!$A:$K,3,0),"-"))</f>
        <v/>
      </c>
      <c r="C103" t="str">
        <f>IF($A103="","",IFERROR(VLOOKUP($A103,Enquiry!$A:$K,4,0),"-"))</f>
        <v/>
      </c>
      <c r="D103" t="str">
        <f>IF($A103="","",IFERROR(VLOOKUP($A103,Enquiry!$A:$K,5,0),"-"))</f>
        <v/>
      </c>
      <c r="E103" s="9"/>
      <c r="F103" s="9"/>
      <c r="G103" s="6"/>
      <c r="K103" s="10" t="str">
        <f t="shared" si="1"/>
        <v/>
      </c>
    </row>
    <row r="104" spans="2:11" ht="15" customHeight="1" x14ac:dyDescent="0.35">
      <c r="B104" t="str">
        <f>IF($A104="","",IFERROR(VLOOKUP($A104,Enquiry!$A:$K,3,0),"-"))</f>
        <v/>
      </c>
      <c r="C104" t="str">
        <f>IF($A104="","",IFERROR(VLOOKUP($A104,Enquiry!$A:$K,4,0),"-"))</f>
        <v/>
      </c>
      <c r="D104" t="str">
        <f>IF($A104="","",IFERROR(VLOOKUP($A104,Enquiry!$A:$K,5,0),"-"))</f>
        <v/>
      </c>
      <c r="E104" s="9"/>
      <c r="F104" s="9"/>
      <c r="G104" s="6"/>
      <c r="K104" s="10" t="str">
        <f t="shared" si="1"/>
        <v/>
      </c>
    </row>
    <row r="105" spans="2:11" ht="15" customHeight="1" x14ac:dyDescent="0.35">
      <c r="B105" t="str">
        <f>IF($A105="","",IFERROR(VLOOKUP($A105,Enquiry!$A:$K,3,0),"-"))</f>
        <v/>
      </c>
      <c r="C105" t="str">
        <f>IF($A105="","",IFERROR(VLOOKUP($A105,Enquiry!$A:$K,4,0),"-"))</f>
        <v/>
      </c>
      <c r="D105" t="str">
        <f>IF($A105="","",IFERROR(VLOOKUP($A105,Enquiry!$A:$K,5,0),"-"))</f>
        <v/>
      </c>
      <c r="E105" s="9"/>
      <c r="F105" s="9"/>
      <c r="G105" s="6"/>
      <c r="K105" s="10" t="str">
        <f t="shared" si="1"/>
        <v/>
      </c>
    </row>
    <row r="106" spans="2:11" ht="15" customHeight="1" x14ac:dyDescent="0.35">
      <c r="B106" t="str">
        <f>IF($A106="","",IFERROR(VLOOKUP($A106,Enquiry!$A:$K,3,0),"-"))</f>
        <v/>
      </c>
      <c r="C106" t="str">
        <f>IF($A106="","",IFERROR(VLOOKUP($A106,Enquiry!$A:$K,4,0),"-"))</f>
        <v/>
      </c>
      <c r="D106" t="str">
        <f>IF($A106="","",IFERROR(VLOOKUP($A106,Enquiry!$A:$K,5,0),"-"))</f>
        <v/>
      </c>
      <c r="E106" s="9"/>
      <c r="F106" s="9"/>
      <c r="G106" s="6"/>
      <c r="K106" s="10" t="str">
        <f t="shared" si="1"/>
        <v/>
      </c>
    </row>
    <row r="107" spans="2:11" ht="15" customHeight="1" x14ac:dyDescent="0.35">
      <c r="B107" t="str">
        <f>IF($A107="","",IFERROR(VLOOKUP($A107,Enquiry!$A:$K,3,0),"-"))</f>
        <v/>
      </c>
      <c r="C107" t="str">
        <f>IF($A107="","",IFERROR(VLOOKUP($A107,Enquiry!$A:$K,4,0),"-"))</f>
        <v/>
      </c>
      <c r="D107" t="str">
        <f>IF($A107="","",IFERROR(VLOOKUP($A107,Enquiry!$A:$K,5,0),"-"))</f>
        <v/>
      </c>
      <c r="E107" s="9"/>
      <c r="F107" s="9"/>
      <c r="G107" s="6"/>
      <c r="K107" s="10" t="str">
        <f t="shared" si="1"/>
        <v/>
      </c>
    </row>
    <row r="108" spans="2:11" ht="15" customHeight="1" x14ac:dyDescent="0.35">
      <c r="B108" t="str">
        <f>IF($A108="","",IFERROR(VLOOKUP($A108,Enquiry!$A:$K,3,0),"-"))</f>
        <v/>
      </c>
      <c r="C108" t="str">
        <f>IF($A108="","",IFERROR(VLOOKUP($A108,Enquiry!$A:$K,4,0),"-"))</f>
        <v/>
      </c>
      <c r="D108" t="str">
        <f>IF($A108="","",IFERROR(VLOOKUP($A108,Enquiry!$A:$K,5,0),"-"))</f>
        <v/>
      </c>
      <c r="E108" s="9"/>
      <c r="F108" s="9"/>
      <c r="G108" s="6"/>
      <c r="K108" s="10" t="str">
        <f t="shared" si="1"/>
        <v/>
      </c>
    </row>
    <row r="109" spans="2:11" ht="15" customHeight="1" x14ac:dyDescent="0.35">
      <c r="B109" t="str">
        <f>IF($A109="","",IFERROR(VLOOKUP($A109,Enquiry!$A:$K,3,0),"-"))</f>
        <v/>
      </c>
      <c r="C109" t="str">
        <f>IF($A109="","",IFERROR(VLOOKUP($A109,Enquiry!$A:$K,4,0),"-"))</f>
        <v/>
      </c>
      <c r="D109" t="str">
        <f>IF($A109="","",IFERROR(VLOOKUP($A109,Enquiry!$A:$K,5,0),"-"))</f>
        <v/>
      </c>
      <c r="E109" s="9"/>
      <c r="F109" s="9"/>
      <c r="G109" s="6"/>
      <c r="K109" s="10" t="str">
        <f t="shared" si="1"/>
        <v/>
      </c>
    </row>
    <row r="110" spans="2:11" ht="15" customHeight="1" x14ac:dyDescent="0.35">
      <c r="B110" t="str">
        <f>IF($A110="","",IFERROR(VLOOKUP($A110,Enquiry!$A:$K,3,0),"-"))</f>
        <v/>
      </c>
      <c r="C110" t="str">
        <f>IF($A110="","",IFERROR(VLOOKUP($A110,Enquiry!$A:$K,4,0),"-"))</f>
        <v/>
      </c>
      <c r="D110" t="str">
        <f>IF($A110="","",IFERROR(VLOOKUP($A110,Enquiry!$A:$K,5,0),"-"))</f>
        <v/>
      </c>
      <c r="E110" s="9"/>
      <c r="F110" s="9"/>
      <c r="G110" s="6"/>
      <c r="K110" s="10" t="str">
        <f t="shared" si="1"/>
        <v/>
      </c>
    </row>
    <row r="111" spans="2:11" ht="15" customHeight="1" x14ac:dyDescent="0.35">
      <c r="B111" t="str">
        <f>IF($A111="","",IFERROR(VLOOKUP($A111,Enquiry!$A:$K,3,0),"-"))</f>
        <v/>
      </c>
      <c r="C111" t="str">
        <f>IF($A111="","",IFERROR(VLOOKUP($A111,Enquiry!$A:$K,4,0),"-"))</f>
        <v/>
      </c>
      <c r="D111" t="str">
        <f>IF($A111="","",IFERROR(VLOOKUP($A111,Enquiry!$A:$K,5,0),"-"))</f>
        <v/>
      </c>
      <c r="E111" s="9"/>
      <c r="F111" s="9"/>
      <c r="G111" s="6"/>
      <c r="K111" s="10" t="str">
        <f t="shared" si="1"/>
        <v/>
      </c>
    </row>
    <row r="112" spans="2:11" ht="15" customHeight="1" x14ac:dyDescent="0.35">
      <c r="B112" t="str">
        <f>IF($A112="","",IFERROR(VLOOKUP($A112,Enquiry!$A:$K,3,0),"-"))</f>
        <v/>
      </c>
      <c r="C112" t="str">
        <f>IF($A112="","",IFERROR(VLOOKUP($A112,Enquiry!$A:$K,4,0),"-"))</f>
        <v/>
      </c>
      <c r="D112" t="str">
        <f>IF($A112="","",IFERROR(VLOOKUP($A112,Enquiry!$A:$K,5,0),"-"))</f>
        <v/>
      </c>
      <c r="E112" s="9"/>
      <c r="F112" s="9"/>
      <c r="G112" s="6"/>
      <c r="K112" s="10" t="str">
        <f t="shared" si="1"/>
        <v/>
      </c>
    </row>
    <row r="113" spans="2:11" ht="15" customHeight="1" x14ac:dyDescent="0.35">
      <c r="B113" t="str">
        <f>IF($A113="","",IFERROR(VLOOKUP($A113,Enquiry!$A:$K,3,0),"-"))</f>
        <v/>
      </c>
      <c r="C113" t="str">
        <f>IF($A113="","",IFERROR(VLOOKUP($A113,Enquiry!$A:$K,4,0),"-"))</f>
        <v/>
      </c>
      <c r="D113" t="str">
        <f>IF($A113="","",IFERROR(VLOOKUP($A113,Enquiry!$A:$K,5,0),"-"))</f>
        <v/>
      </c>
      <c r="E113" s="9"/>
      <c r="F113" s="9"/>
      <c r="G113" s="6"/>
      <c r="K113" s="10" t="str">
        <f t="shared" si="1"/>
        <v/>
      </c>
    </row>
    <row r="114" spans="2:11" ht="15" customHeight="1" x14ac:dyDescent="0.35">
      <c r="B114" t="str">
        <f>IF($A114="","",IFERROR(VLOOKUP($A114,Enquiry!$A:$K,3,0),"-"))</f>
        <v/>
      </c>
      <c r="C114" t="str">
        <f>IF($A114="","",IFERROR(VLOOKUP($A114,Enquiry!$A:$K,4,0),"-"))</f>
        <v/>
      </c>
      <c r="D114" t="str">
        <f>IF($A114="","",IFERROR(VLOOKUP($A114,Enquiry!$A:$K,5,0),"-"))</f>
        <v/>
      </c>
      <c r="E114" s="9"/>
      <c r="F114" s="9"/>
      <c r="G114" s="6"/>
      <c r="K114" s="10" t="str">
        <f t="shared" si="1"/>
        <v/>
      </c>
    </row>
    <row r="115" spans="2:11" ht="15" customHeight="1" x14ac:dyDescent="0.35">
      <c r="B115" t="str">
        <f>IF($A115="","",IFERROR(VLOOKUP($A115,Enquiry!$A:$K,3,0),"-"))</f>
        <v/>
      </c>
      <c r="C115" t="str">
        <f>IF($A115="","",IFERROR(VLOOKUP($A115,Enquiry!$A:$K,4,0),"-"))</f>
        <v/>
      </c>
      <c r="D115" t="str">
        <f>IF($A115="","",IFERROR(VLOOKUP($A115,Enquiry!$A:$K,5,0),"-"))</f>
        <v/>
      </c>
      <c r="E115" s="9"/>
      <c r="F115" s="9"/>
      <c r="G115" s="6"/>
      <c r="K115" s="10" t="str">
        <f t="shared" si="1"/>
        <v/>
      </c>
    </row>
    <row r="116" spans="2:11" ht="15" customHeight="1" x14ac:dyDescent="0.35">
      <c r="B116" t="str">
        <f>IF($A116="","",IFERROR(VLOOKUP($A116,Enquiry!$A:$K,3,0),"-"))</f>
        <v/>
      </c>
      <c r="C116" t="str">
        <f>IF($A116="","",IFERROR(VLOOKUP($A116,Enquiry!$A:$K,4,0),"-"))</f>
        <v/>
      </c>
      <c r="D116" t="str">
        <f>IF($A116="","",IFERROR(VLOOKUP($A116,Enquiry!$A:$K,5,0),"-"))</f>
        <v/>
      </c>
      <c r="E116" s="9"/>
      <c r="F116" s="9"/>
      <c r="G116" s="6"/>
      <c r="K116" s="10" t="str">
        <f t="shared" si="1"/>
        <v/>
      </c>
    </row>
    <row r="117" spans="2:11" ht="15" customHeight="1" x14ac:dyDescent="0.35">
      <c r="B117" t="str">
        <f>IF($A117="","",IFERROR(VLOOKUP($A117,Enquiry!$A:$K,3,0),"-"))</f>
        <v/>
      </c>
      <c r="C117" t="str">
        <f>IF($A117="","",IFERROR(VLOOKUP($A117,Enquiry!$A:$K,4,0),"-"))</f>
        <v/>
      </c>
      <c r="D117" t="str">
        <f>IF($A117="","",IFERROR(VLOOKUP($A117,Enquiry!$A:$K,5,0),"-"))</f>
        <v/>
      </c>
      <c r="E117" s="9"/>
      <c r="F117" s="9"/>
      <c r="G117" s="6"/>
      <c r="K117" s="10" t="str">
        <f t="shared" si="1"/>
        <v/>
      </c>
    </row>
    <row r="118" spans="2:11" ht="15" customHeight="1" x14ac:dyDescent="0.35">
      <c r="B118" t="str">
        <f>IF($A118="","",IFERROR(VLOOKUP($A118,Enquiry!$A:$K,3,0),"-"))</f>
        <v/>
      </c>
      <c r="C118" t="str">
        <f>IF($A118="","",IFERROR(VLOOKUP($A118,Enquiry!$A:$K,4,0),"-"))</f>
        <v/>
      </c>
      <c r="D118" t="str">
        <f>IF($A118="","",IFERROR(VLOOKUP($A118,Enquiry!$A:$K,5,0),"-"))</f>
        <v/>
      </c>
      <c r="E118" s="9"/>
      <c r="F118" s="9"/>
      <c r="G118" s="6"/>
      <c r="K118" s="10" t="str">
        <f t="shared" si="1"/>
        <v/>
      </c>
    </row>
    <row r="119" spans="2:11" ht="15" customHeight="1" x14ac:dyDescent="0.35">
      <c r="B119" t="str">
        <f>IF($A119="","",IFERROR(VLOOKUP($A119,Enquiry!$A:$K,3,0),"-"))</f>
        <v/>
      </c>
      <c r="C119" t="str">
        <f>IF($A119="","",IFERROR(VLOOKUP($A119,Enquiry!$A:$K,4,0),"-"))</f>
        <v/>
      </c>
      <c r="D119" t="str">
        <f>IF($A119="","",IFERROR(VLOOKUP($A119,Enquiry!$A:$K,5,0),"-"))</f>
        <v/>
      </c>
      <c r="E119" s="9"/>
      <c r="F119" s="9"/>
      <c r="G119" s="6"/>
      <c r="K119" s="10" t="str">
        <f t="shared" si="1"/>
        <v/>
      </c>
    </row>
    <row r="120" spans="2:11" ht="15" customHeight="1" x14ac:dyDescent="0.35">
      <c r="B120" t="str">
        <f>IF($A120="","",IFERROR(VLOOKUP($A120,Enquiry!$A:$K,3,0),"-"))</f>
        <v/>
      </c>
      <c r="C120" t="str">
        <f>IF($A120="","",IFERROR(VLOOKUP($A120,Enquiry!$A:$K,4,0),"-"))</f>
        <v/>
      </c>
      <c r="D120" t="str">
        <f>IF($A120="","",IFERROR(VLOOKUP($A120,Enquiry!$A:$K,5,0),"-"))</f>
        <v/>
      </c>
      <c r="E120" s="9"/>
      <c r="F120" s="9"/>
      <c r="G120" s="6"/>
      <c r="K120" s="10" t="str">
        <f t="shared" si="1"/>
        <v/>
      </c>
    </row>
    <row r="121" spans="2:11" ht="15" customHeight="1" x14ac:dyDescent="0.35">
      <c r="B121" t="str">
        <f>IF($A121="","",IFERROR(VLOOKUP($A121,Enquiry!$A:$K,3,0),"-"))</f>
        <v/>
      </c>
      <c r="C121" t="str">
        <f>IF($A121="","",IFERROR(VLOOKUP($A121,Enquiry!$A:$K,4,0),"-"))</f>
        <v/>
      </c>
      <c r="D121" t="str">
        <f>IF($A121="","",IFERROR(VLOOKUP($A121,Enquiry!$A:$K,5,0),"-"))</f>
        <v/>
      </c>
      <c r="E121" s="9"/>
      <c r="F121" s="9"/>
      <c r="G121" s="6"/>
      <c r="K121" s="10" t="str">
        <f t="shared" si="1"/>
        <v/>
      </c>
    </row>
    <row r="122" spans="2:11" ht="15" customHeight="1" x14ac:dyDescent="0.35">
      <c r="B122" t="str">
        <f>IF($A122="","",IFERROR(VLOOKUP($A122,Enquiry!$A:$K,3,0),"-"))</f>
        <v/>
      </c>
      <c r="C122" t="str">
        <f>IF($A122="","",IFERROR(VLOOKUP($A122,Enquiry!$A:$K,4,0),"-"))</f>
        <v/>
      </c>
      <c r="D122" t="str">
        <f>IF($A122="","",IFERROR(VLOOKUP($A122,Enquiry!$A:$K,5,0),"-"))</f>
        <v/>
      </c>
      <c r="E122" s="9"/>
      <c r="F122" s="9"/>
      <c r="G122" s="6"/>
      <c r="K122" s="10" t="str">
        <f t="shared" si="1"/>
        <v/>
      </c>
    </row>
    <row r="123" spans="2:11" ht="15" customHeight="1" x14ac:dyDescent="0.35">
      <c r="B123" t="str">
        <f>IF($A123="","",IFERROR(VLOOKUP($A123,Enquiry!$A:$K,3,0),"-"))</f>
        <v/>
      </c>
      <c r="C123" t="str">
        <f>IF($A123="","",IFERROR(VLOOKUP($A123,Enquiry!$A:$K,4,0),"-"))</f>
        <v/>
      </c>
      <c r="D123" t="str">
        <f>IF($A123="","",IFERROR(VLOOKUP($A123,Enquiry!$A:$K,5,0),"-"))</f>
        <v/>
      </c>
      <c r="E123" s="9"/>
      <c r="F123" s="9"/>
      <c r="G123" s="6"/>
      <c r="K123" s="10" t="str">
        <f t="shared" si="1"/>
        <v/>
      </c>
    </row>
    <row r="124" spans="2:11" ht="15" customHeight="1" x14ac:dyDescent="0.35">
      <c r="B124" t="str">
        <f>IF($A124="","",IFERROR(VLOOKUP($A124,Enquiry!$A:$K,3,0),"-"))</f>
        <v/>
      </c>
      <c r="C124" t="str">
        <f>IF($A124="","",IFERROR(VLOOKUP($A124,Enquiry!$A:$K,4,0),"-"))</f>
        <v/>
      </c>
      <c r="D124" t="str">
        <f>IF($A124="","",IFERROR(VLOOKUP($A124,Enquiry!$A:$K,5,0),"-"))</f>
        <v/>
      </c>
      <c r="E124" s="9"/>
      <c r="F124" s="9"/>
      <c r="G124" s="6"/>
      <c r="K124" s="10" t="str">
        <f t="shared" si="1"/>
        <v/>
      </c>
    </row>
    <row r="125" spans="2:11" ht="15" customHeight="1" x14ac:dyDescent="0.35">
      <c r="B125" t="str">
        <f>IF($A125="","",IFERROR(VLOOKUP($A125,Enquiry!$A:$K,3,0),"-"))</f>
        <v/>
      </c>
      <c r="C125" t="str">
        <f>IF($A125="","",IFERROR(VLOOKUP($A125,Enquiry!$A:$K,4,0),"-"))</f>
        <v/>
      </c>
      <c r="D125" t="str">
        <f>IF($A125="","",IFERROR(VLOOKUP($A125,Enquiry!$A:$K,5,0),"-"))</f>
        <v/>
      </c>
      <c r="E125" s="9"/>
      <c r="F125" s="9"/>
      <c r="G125" s="6"/>
      <c r="K125" s="10" t="str">
        <f t="shared" si="1"/>
        <v/>
      </c>
    </row>
    <row r="126" spans="2:11" ht="15" customHeight="1" x14ac:dyDescent="0.35">
      <c r="B126" t="str">
        <f>IF($A126="","",IFERROR(VLOOKUP($A126,Enquiry!$A:$K,3,0),"-"))</f>
        <v/>
      </c>
      <c r="C126" t="str">
        <f>IF($A126="","",IFERROR(VLOOKUP($A126,Enquiry!$A:$K,4,0),"-"))</f>
        <v/>
      </c>
      <c r="D126" t="str">
        <f>IF($A126="","",IFERROR(VLOOKUP($A126,Enquiry!$A:$K,5,0),"-"))</f>
        <v/>
      </c>
      <c r="E126" s="9"/>
      <c r="F126" s="9"/>
      <c r="G126" s="6"/>
      <c r="K126" s="10" t="str">
        <f t="shared" si="1"/>
        <v/>
      </c>
    </row>
    <row r="127" spans="2:11" ht="15" customHeight="1" x14ac:dyDescent="0.35">
      <c r="B127" t="str">
        <f>IF($A127="","",IFERROR(VLOOKUP($A127,Enquiry!$A:$K,3,0),"-"))</f>
        <v/>
      </c>
      <c r="C127" t="str">
        <f>IF($A127="","",IFERROR(VLOOKUP($A127,Enquiry!$A:$K,4,0),"-"))</f>
        <v/>
      </c>
      <c r="D127" t="str">
        <f>IF($A127="","",IFERROR(VLOOKUP($A127,Enquiry!$A:$K,5,0),"-"))</f>
        <v/>
      </c>
      <c r="E127" s="9"/>
      <c r="F127" s="9"/>
      <c r="G127" s="6"/>
      <c r="K127" s="10" t="str">
        <f t="shared" si="1"/>
        <v/>
      </c>
    </row>
    <row r="128" spans="2:11" ht="15" customHeight="1" x14ac:dyDescent="0.35">
      <c r="B128" t="str">
        <f>IF($A128="","",IFERROR(VLOOKUP($A128,Enquiry!$A:$K,3,0),"-"))</f>
        <v/>
      </c>
      <c r="C128" t="str">
        <f>IF($A128="","",IFERROR(VLOOKUP($A128,Enquiry!$A:$K,4,0),"-"))</f>
        <v/>
      </c>
      <c r="D128" t="str">
        <f>IF($A128="","",IFERROR(VLOOKUP($A128,Enquiry!$A:$K,5,0),"-"))</f>
        <v/>
      </c>
      <c r="E128" s="9"/>
      <c r="F128" s="9"/>
      <c r="G128" s="6"/>
      <c r="K128" s="10" t="str">
        <f t="shared" si="1"/>
        <v/>
      </c>
    </row>
    <row r="129" spans="2:11" ht="15" customHeight="1" x14ac:dyDescent="0.35">
      <c r="B129" t="str">
        <f>IF($A129="","",IFERROR(VLOOKUP($A129,Enquiry!$A:$K,3,0),"-"))</f>
        <v/>
      </c>
      <c r="C129" t="str">
        <f>IF($A129="","",IFERROR(VLOOKUP($A129,Enquiry!$A:$K,4,0),"-"))</f>
        <v/>
      </c>
      <c r="D129" t="str">
        <f>IF($A129="","",IFERROR(VLOOKUP($A129,Enquiry!$A:$K,5,0),"-"))</f>
        <v/>
      </c>
      <c r="E129" s="9"/>
      <c r="F129" s="9"/>
      <c r="G129" s="6"/>
      <c r="K129" s="10" t="str">
        <f t="shared" si="1"/>
        <v/>
      </c>
    </row>
    <row r="130" spans="2:11" ht="15" customHeight="1" x14ac:dyDescent="0.35">
      <c r="B130" t="str">
        <f>IF($A130="","",IFERROR(VLOOKUP($A130,Enquiry!$A:$K,3,0),"-"))</f>
        <v/>
      </c>
      <c r="C130" t="str">
        <f>IF($A130="","",IFERROR(VLOOKUP($A130,Enquiry!$A:$K,4,0),"-"))</f>
        <v/>
      </c>
      <c r="D130" t="str">
        <f>IF($A130="","",IFERROR(VLOOKUP($A130,Enquiry!$A:$K,5,0),"-"))</f>
        <v/>
      </c>
      <c r="E130" s="9"/>
      <c r="F130" s="9"/>
      <c r="G130" s="6"/>
      <c r="K130" s="10" t="str">
        <f t="shared" si="1"/>
        <v/>
      </c>
    </row>
    <row r="131" spans="2:11" ht="15" customHeight="1" x14ac:dyDescent="0.35">
      <c r="B131" t="str">
        <f>IF($A131="","",IFERROR(VLOOKUP($A131,Enquiry!$A:$K,3,0),"-"))</f>
        <v/>
      </c>
      <c r="C131" t="str">
        <f>IF($A131="","",IFERROR(VLOOKUP($A131,Enquiry!$A:$K,4,0),"-"))</f>
        <v/>
      </c>
      <c r="D131" t="str">
        <f>IF($A131="","",IFERROR(VLOOKUP($A131,Enquiry!$A:$K,5,0),"-"))</f>
        <v/>
      </c>
      <c r="E131" s="9"/>
      <c r="F131" s="9"/>
      <c r="G131" s="6"/>
      <c r="K131" s="10" t="str">
        <f t="shared" si="1"/>
        <v/>
      </c>
    </row>
    <row r="132" spans="2:11" ht="15" customHeight="1" x14ac:dyDescent="0.35">
      <c r="B132" t="str">
        <f>IF($A132="","",IFERROR(VLOOKUP($A132,Enquiry!$A:$K,3,0),"-"))</f>
        <v/>
      </c>
      <c r="C132" t="str">
        <f>IF($A132="","",IFERROR(VLOOKUP($A132,Enquiry!$A:$K,4,0),"-"))</f>
        <v/>
      </c>
      <c r="D132" t="str">
        <f>IF($A132="","",IFERROR(VLOOKUP($A132,Enquiry!$A:$K,5,0),"-"))</f>
        <v/>
      </c>
      <c r="E132" s="9"/>
      <c r="F132" s="9"/>
      <c r="G132" s="6"/>
      <c r="K132" s="10" t="str">
        <f t="shared" si="1"/>
        <v/>
      </c>
    </row>
    <row r="133" spans="2:11" ht="15" customHeight="1" x14ac:dyDescent="0.35">
      <c r="B133" t="str">
        <f>IF($A133="","",IFERROR(VLOOKUP($A133,Enquiry!$A:$K,3,0),"-"))</f>
        <v/>
      </c>
      <c r="C133" t="str">
        <f>IF($A133="","",IFERROR(VLOOKUP($A133,Enquiry!$A:$K,4,0),"-"))</f>
        <v/>
      </c>
      <c r="D133" t="str">
        <f>IF($A133="","",IFERROR(VLOOKUP($A133,Enquiry!$A:$K,5,0),"-"))</f>
        <v/>
      </c>
      <c r="E133" s="9"/>
      <c r="F133" s="9"/>
      <c r="G133" s="6"/>
      <c r="K133" s="10" t="str">
        <f t="shared" si="1"/>
        <v/>
      </c>
    </row>
    <row r="134" spans="2:11" ht="15" customHeight="1" x14ac:dyDescent="0.35">
      <c r="B134" t="str">
        <f>IF($A134="","",IFERROR(VLOOKUP($A134,Enquiry!$A:$K,3,0),"-"))</f>
        <v/>
      </c>
      <c r="C134" t="str">
        <f>IF($A134="","",IFERROR(VLOOKUP($A134,Enquiry!$A:$K,4,0),"-"))</f>
        <v/>
      </c>
      <c r="D134" t="str">
        <f>IF($A134="","",IFERROR(VLOOKUP($A134,Enquiry!$A:$K,5,0),"-"))</f>
        <v/>
      </c>
      <c r="E134" s="9"/>
      <c r="F134" s="9"/>
      <c r="G134" s="6"/>
      <c r="K134" s="10" t="str">
        <f t="shared" si="1"/>
        <v/>
      </c>
    </row>
    <row r="135" spans="2:11" ht="15" customHeight="1" x14ac:dyDescent="0.35">
      <c r="B135" t="str">
        <f>IF($A135="","",IFERROR(VLOOKUP($A135,Enquiry!$A:$K,3,0),"-"))</f>
        <v/>
      </c>
      <c r="C135" t="str">
        <f>IF($A135="","",IFERROR(VLOOKUP($A135,Enquiry!$A:$K,4,0),"-"))</f>
        <v/>
      </c>
      <c r="D135" t="str">
        <f>IF($A135="","",IFERROR(VLOOKUP($A135,Enquiry!$A:$K,5,0),"-"))</f>
        <v/>
      </c>
      <c r="E135" s="9"/>
      <c r="F135" s="9"/>
      <c r="G135" s="6"/>
      <c r="K135" s="10" t="str">
        <f t="shared" si="1"/>
        <v/>
      </c>
    </row>
    <row r="136" spans="2:11" ht="15" customHeight="1" x14ac:dyDescent="0.35">
      <c r="B136" t="str">
        <f>IF($A136="","",IFERROR(VLOOKUP($A136,Enquiry!$A:$K,3,0),"-"))</f>
        <v/>
      </c>
      <c r="C136" t="str">
        <f>IF($A136="","",IFERROR(VLOOKUP($A136,Enquiry!$A:$K,4,0),"-"))</f>
        <v/>
      </c>
      <c r="D136" t="str">
        <f>IF($A136="","",IFERROR(VLOOKUP($A136,Enquiry!$A:$K,5,0),"-"))</f>
        <v/>
      </c>
      <c r="E136" s="9"/>
      <c r="F136" s="9"/>
      <c r="G136" s="6"/>
      <c r="K136" s="10" t="str">
        <f t="shared" si="1"/>
        <v/>
      </c>
    </row>
    <row r="137" spans="2:11" ht="15" customHeight="1" x14ac:dyDescent="0.35">
      <c r="B137" t="str">
        <f>IF($A137="","",IFERROR(VLOOKUP($A137,Enquiry!$A:$K,3,0),"-"))</f>
        <v/>
      </c>
      <c r="C137" t="str">
        <f>IF($A137="","",IFERROR(VLOOKUP($A137,Enquiry!$A:$K,4,0),"-"))</f>
        <v/>
      </c>
      <c r="D137" t="str">
        <f>IF($A137="","",IFERROR(VLOOKUP($A137,Enquiry!$A:$K,5,0),"-"))</f>
        <v/>
      </c>
      <c r="E137" s="9"/>
      <c r="F137" s="9"/>
      <c r="G137" s="6"/>
      <c r="K137" s="10" t="str">
        <f t="shared" si="1"/>
        <v/>
      </c>
    </row>
    <row r="138" spans="2:11" ht="15" customHeight="1" x14ac:dyDescent="0.35">
      <c r="B138" t="str">
        <f>IF($A138="","",IFERROR(VLOOKUP($A138,Enquiry!$A:$K,3,0),"-"))</f>
        <v/>
      </c>
      <c r="C138" t="str">
        <f>IF($A138="","",IFERROR(VLOOKUP($A138,Enquiry!$A:$K,4,0),"-"))</f>
        <v/>
      </c>
      <c r="D138" t="str">
        <f>IF($A138="","",IFERROR(VLOOKUP($A138,Enquiry!$A:$K,5,0),"-"))</f>
        <v/>
      </c>
      <c r="E138" s="9"/>
      <c r="F138" s="9"/>
      <c r="G138" s="6"/>
      <c r="K138" s="10" t="str">
        <f t="shared" si="1"/>
        <v/>
      </c>
    </row>
    <row r="139" spans="2:11" ht="15" customHeight="1" x14ac:dyDescent="0.35">
      <c r="B139" t="str">
        <f>IF($A139="","",IFERROR(VLOOKUP($A139,Enquiry!$A:$K,3,0),"-"))</f>
        <v/>
      </c>
      <c r="C139" t="str">
        <f>IF($A139="","",IFERROR(VLOOKUP($A139,Enquiry!$A:$K,4,0),"-"))</f>
        <v/>
      </c>
      <c r="D139" t="str">
        <f>IF($A139="","",IFERROR(VLOOKUP($A139,Enquiry!$A:$K,5,0),"-"))</f>
        <v/>
      </c>
      <c r="E139" s="9"/>
      <c r="F139" s="9"/>
      <c r="G139" s="6"/>
      <c r="K139" s="10" t="str">
        <f t="shared" si="1"/>
        <v/>
      </c>
    </row>
    <row r="140" spans="2:11" ht="15" customHeight="1" x14ac:dyDescent="0.35">
      <c r="B140" t="str">
        <f>IF($A140="","",IFERROR(VLOOKUP($A140,Enquiry!$A:$K,3,0),"-"))</f>
        <v/>
      </c>
      <c r="C140" t="str">
        <f>IF($A140="","",IFERROR(VLOOKUP($A140,Enquiry!$A:$K,4,0),"-"))</f>
        <v/>
      </c>
      <c r="D140" t="str">
        <f>IF($A140="","",IFERROR(VLOOKUP($A140,Enquiry!$A:$K,5,0),"-"))</f>
        <v/>
      </c>
      <c r="E140" s="9"/>
      <c r="F140" s="9"/>
      <c r="G140" s="6"/>
      <c r="K140" s="10" t="str">
        <f t="shared" si="1"/>
        <v/>
      </c>
    </row>
    <row r="141" spans="2:11" ht="15" customHeight="1" x14ac:dyDescent="0.35">
      <c r="B141" t="str">
        <f>IF($A141="","",IFERROR(VLOOKUP($A141,Enquiry!$A:$K,3,0),"-"))</f>
        <v/>
      </c>
      <c r="C141" t="str">
        <f>IF($A141="","",IFERROR(VLOOKUP($A141,Enquiry!$A:$K,4,0),"-"))</f>
        <v/>
      </c>
      <c r="D141" t="str">
        <f>IF($A141="","",IFERROR(VLOOKUP($A141,Enquiry!$A:$K,5,0),"-"))</f>
        <v/>
      </c>
      <c r="E141" s="9"/>
      <c r="F141" s="9"/>
      <c r="G141" s="6"/>
      <c r="K141" s="10" t="str">
        <f t="shared" si="1"/>
        <v/>
      </c>
    </row>
    <row r="142" spans="2:11" ht="15" customHeight="1" x14ac:dyDescent="0.35">
      <c r="B142" t="str">
        <f>IF($A142="","",IFERROR(VLOOKUP($A142,Enquiry!$A:$K,3,0),"-"))</f>
        <v/>
      </c>
      <c r="C142" t="str">
        <f>IF($A142="","",IFERROR(VLOOKUP($A142,Enquiry!$A:$K,4,0),"-"))</f>
        <v/>
      </c>
      <c r="D142" t="str">
        <f>IF($A142="","",IFERROR(VLOOKUP($A142,Enquiry!$A:$K,5,0),"-"))</f>
        <v/>
      </c>
      <c r="E142" s="9"/>
      <c r="F142" s="9"/>
      <c r="G142" s="6"/>
      <c r="K142" s="10" t="str">
        <f t="shared" si="1"/>
        <v/>
      </c>
    </row>
    <row r="143" spans="2:11" ht="15" customHeight="1" x14ac:dyDescent="0.35">
      <c r="B143" t="str">
        <f>IF($A143="","",IFERROR(VLOOKUP($A143,Enquiry!$A:$K,3,0),"-"))</f>
        <v/>
      </c>
      <c r="C143" t="str">
        <f>IF($A143="","",IFERROR(VLOOKUP($A143,Enquiry!$A:$K,4,0),"-"))</f>
        <v/>
      </c>
      <c r="D143" t="str">
        <f>IF($A143="","",IFERROR(VLOOKUP($A143,Enquiry!$A:$K,5,0),"-"))</f>
        <v/>
      </c>
      <c r="E143" s="9"/>
      <c r="F143" s="9"/>
      <c r="G143" s="6"/>
      <c r="K143" s="10" t="str">
        <f t="shared" si="1"/>
        <v/>
      </c>
    </row>
    <row r="144" spans="2:11" ht="15" customHeight="1" x14ac:dyDescent="0.35">
      <c r="B144" t="str">
        <f>IF($A144="","",IFERROR(VLOOKUP($A144,Enquiry!$A:$K,3,0),"-"))</f>
        <v/>
      </c>
      <c r="C144" t="str">
        <f>IF($A144="","",IFERROR(VLOOKUP($A144,Enquiry!$A:$K,4,0),"-"))</f>
        <v/>
      </c>
      <c r="D144" t="str">
        <f>IF($A144="","",IFERROR(VLOOKUP($A144,Enquiry!$A:$K,5,0),"-"))</f>
        <v/>
      </c>
      <c r="E144" s="9"/>
      <c r="F144" s="9"/>
      <c r="G144" s="6"/>
      <c r="K144" s="10" t="str">
        <f t="shared" si="1"/>
        <v/>
      </c>
    </row>
    <row r="145" spans="2:11" ht="15" customHeight="1" x14ac:dyDescent="0.35">
      <c r="B145" t="str">
        <f>IF($A145="","",IFERROR(VLOOKUP($A145,Enquiry!$A:$K,3,0),"-"))</f>
        <v/>
      </c>
      <c r="C145" t="str">
        <f>IF($A145="","",IFERROR(VLOOKUP($A145,Enquiry!$A:$K,4,0),"-"))</f>
        <v/>
      </c>
      <c r="D145" t="str">
        <f>IF($A145="","",IFERROR(VLOOKUP($A145,Enquiry!$A:$K,5,0),"-"))</f>
        <v/>
      </c>
      <c r="E145" s="9"/>
      <c r="F145" s="9"/>
      <c r="G145" s="6"/>
      <c r="K145" s="10" t="str">
        <f t="shared" si="1"/>
        <v/>
      </c>
    </row>
    <row r="146" spans="2:11" ht="15" customHeight="1" x14ac:dyDescent="0.35">
      <c r="B146" t="str">
        <f>IF($A146="","",IFERROR(VLOOKUP($A146,Enquiry!$A:$K,3,0),"-"))</f>
        <v/>
      </c>
      <c r="C146" t="str">
        <f>IF($A146="","",IFERROR(VLOOKUP($A146,Enquiry!$A:$K,4,0),"-"))</f>
        <v/>
      </c>
      <c r="D146" t="str">
        <f>IF($A146="","",IFERROR(VLOOKUP($A146,Enquiry!$A:$K,5,0),"-"))</f>
        <v/>
      </c>
      <c r="E146" s="9"/>
      <c r="F146" s="9"/>
      <c r="G146" s="6"/>
      <c r="K146" s="10" t="str">
        <f t="shared" si="1"/>
        <v/>
      </c>
    </row>
    <row r="147" spans="2:11" ht="15" customHeight="1" x14ac:dyDescent="0.35">
      <c r="B147" t="str">
        <f>IF($A147="","",IFERROR(VLOOKUP($A147,Enquiry!$A:$K,3,0),"-"))</f>
        <v/>
      </c>
      <c r="C147" t="str">
        <f>IF($A147="","",IFERROR(VLOOKUP($A147,Enquiry!$A:$K,4,0),"-"))</f>
        <v/>
      </c>
      <c r="D147" t="str">
        <f>IF($A147="","",IFERROR(VLOOKUP($A147,Enquiry!$A:$K,5,0),"-"))</f>
        <v/>
      </c>
      <c r="E147" s="9"/>
      <c r="F147" s="9"/>
      <c r="G147" s="6"/>
      <c r="K147" s="10" t="str">
        <f t="shared" si="1"/>
        <v/>
      </c>
    </row>
    <row r="148" spans="2:11" ht="15" customHeight="1" x14ac:dyDescent="0.35">
      <c r="B148" t="str">
        <f>IF($A148="","",IFERROR(VLOOKUP($A148,Enquiry!$A:$K,3,0),"-"))</f>
        <v/>
      </c>
      <c r="C148" t="str">
        <f>IF($A148="","",IFERROR(VLOOKUP($A148,Enquiry!$A:$K,4,0),"-"))</f>
        <v/>
      </c>
      <c r="D148" t="str">
        <f>IF($A148="","",IFERROR(VLOOKUP($A148,Enquiry!$A:$K,5,0),"-"))</f>
        <v/>
      </c>
      <c r="E148" s="9"/>
      <c r="F148" s="9"/>
      <c r="G148" s="6"/>
      <c r="K148" s="10" t="str">
        <f t="shared" si="1"/>
        <v/>
      </c>
    </row>
    <row r="149" spans="2:11" ht="15" customHeight="1" x14ac:dyDescent="0.35">
      <c r="B149" t="str">
        <f>IF($A149="","",IFERROR(VLOOKUP($A149,Enquiry!$A:$K,3,0),"-"))</f>
        <v/>
      </c>
      <c r="C149" t="str">
        <f>IF($A149="","",IFERROR(VLOOKUP($A149,Enquiry!$A:$K,4,0),"-"))</f>
        <v/>
      </c>
      <c r="D149" t="str">
        <f>IF($A149="","",IFERROR(VLOOKUP($A149,Enquiry!$A:$K,5,0),"-"))</f>
        <v/>
      </c>
      <c r="E149" s="9"/>
      <c r="F149" s="9"/>
      <c r="G149" s="6"/>
      <c r="K149" s="10" t="str">
        <f t="shared" si="1"/>
        <v/>
      </c>
    </row>
    <row r="150" spans="2:11" ht="15" customHeight="1" x14ac:dyDescent="0.35">
      <c r="B150" t="str">
        <f>IF($A150="","",IFERROR(VLOOKUP($A150,Enquiry!$A:$K,3,0),"-"))</f>
        <v/>
      </c>
      <c r="C150" t="str">
        <f>IF($A150="","",IFERROR(VLOOKUP($A150,Enquiry!$A:$K,4,0),"-"))</f>
        <v/>
      </c>
      <c r="D150" t="str">
        <f>IF($A150="","",IFERROR(VLOOKUP($A150,Enquiry!$A:$K,5,0),"-"))</f>
        <v/>
      </c>
      <c r="E150" s="9"/>
      <c r="F150" s="9"/>
      <c r="G150" s="6"/>
      <c r="K150" s="10" t="str">
        <f t="shared" si="1"/>
        <v/>
      </c>
    </row>
    <row r="151" spans="2:11" ht="15" customHeight="1" x14ac:dyDescent="0.35">
      <c r="B151" t="str">
        <f>IF($A151="","",IFERROR(VLOOKUP($A151,Enquiry!$A:$K,3,0),"-"))</f>
        <v/>
      </c>
      <c r="C151" t="str">
        <f>IF($A151="","",IFERROR(VLOOKUP($A151,Enquiry!$A:$K,4,0),"-"))</f>
        <v/>
      </c>
      <c r="D151" t="str">
        <f>IF($A151="","",IFERROR(VLOOKUP($A151,Enquiry!$A:$K,5,0),"-"))</f>
        <v/>
      </c>
      <c r="E151" s="9"/>
      <c r="F151" s="9"/>
      <c r="G151" s="6"/>
      <c r="K151" s="10" t="str">
        <f t="shared" si="1"/>
        <v/>
      </c>
    </row>
    <row r="152" spans="2:11" ht="15" customHeight="1" x14ac:dyDescent="0.35">
      <c r="B152" t="str">
        <f>IF($A152="","",IFERROR(VLOOKUP($A152,Enquiry!$A:$K,3,0),"-"))</f>
        <v/>
      </c>
      <c r="C152" t="str">
        <f>IF($A152="","",IFERROR(VLOOKUP($A152,Enquiry!$A:$K,4,0),"-"))</f>
        <v/>
      </c>
      <c r="D152" t="str">
        <f>IF($A152="","",IFERROR(VLOOKUP($A152,Enquiry!$A:$K,5,0),"-"))</f>
        <v/>
      </c>
      <c r="E152" s="9"/>
      <c r="F152" s="9"/>
      <c r="G152" s="6"/>
      <c r="K152" s="10" t="str">
        <f t="shared" si="1"/>
        <v/>
      </c>
    </row>
    <row r="153" spans="2:11" ht="15" customHeight="1" x14ac:dyDescent="0.35">
      <c r="B153" t="str">
        <f>IF($A153="","",IFERROR(VLOOKUP($A153,Enquiry!$A:$K,3,0),"-"))</f>
        <v/>
      </c>
      <c r="C153" t="str">
        <f>IF($A153="","",IFERROR(VLOOKUP($A153,Enquiry!$A:$K,4,0),"-"))</f>
        <v/>
      </c>
      <c r="D153" t="str">
        <f>IF($A153="","",IFERROR(VLOOKUP($A153,Enquiry!$A:$K,5,0),"-"))</f>
        <v/>
      </c>
      <c r="E153" s="9"/>
      <c r="F153" s="9"/>
      <c r="G153" s="6"/>
      <c r="K153" s="10" t="str">
        <f t="shared" si="1"/>
        <v/>
      </c>
    </row>
    <row r="154" spans="2:11" ht="15" customHeight="1" x14ac:dyDescent="0.35">
      <c r="B154" t="str">
        <f>IF($A154="","",IFERROR(VLOOKUP($A154,Enquiry!$A:$K,3,0),"-"))</f>
        <v/>
      </c>
      <c r="C154" t="str">
        <f>IF($A154="","",IFERROR(VLOOKUP($A154,Enquiry!$A:$K,4,0),"-"))</f>
        <v/>
      </c>
      <c r="D154" t="str">
        <f>IF($A154="","",IFERROR(VLOOKUP($A154,Enquiry!$A:$K,5,0),"-"))</f>
        <v/>
      </c>
      <c r="E154" s="9"/>
      <c r="F154" s="9"/>
      <c r="G154" s="6"/>
      <c r="K154" s="10" t="str">
        <f t="shared" si="1"/>
        <v/>
      </c>
    </row>
    <row r="155" spans="2:11" ht="15" customHeight="1" x14ac:dyDescent="0.35">
      <c r="B155" t="str">
        <f>IF($A155="","",IFERROR(VLOOKUP($A155,Enquiry!$A:$K,3,0),"-"))</f>
        <v/>
      </c>
      <c r="C155" t="str">
        <f>IF($A155="","",IFERROR(VLOOKUP($A155,Enquiry!$A:$K,4,0),"-"))</f>
        <v/>
      </c>
      <c r="D155" t="str">
        <f>IF($A155="","",IFERROR(VLOOKUP($A155,Enquiry!$A:$K,5,0),"-"))</f>
        <v/>
      </c>
      <c r="E155" s="9"/>
      <c r="F155" s="9"/>
      <c r="G155" s="6"/>
      <c r="K155" s="10" t="str">
        <f t="shared" si="1"/>
        <v/>
      </c>
    </row>
    <row r="156" spans="2:11" ht="15" customHeight="1" x14ac:dyDescent="0.35">
      <c r="B156" t="str">
        <f>IF($A156="","",IFERROR(VLOOKUP($A156,Enquiry!$A:$K,3,0),"-"))</f>
        <v/>
      </c>
      <c r="C156" t="str">
        <f>IF($A156="","",IFERROR(VLOOKUP($A156,Enquiry!$A:$K,4,0),"-"))</f>
        <v/>
      </c>
      <c r="D156" t="str">
        <f>IF($A156="","",IFERROR(VLOOKUP($A156,Enquiry!$A:$K,5,0),"-"))</f>
        <v/>
      </c>
      <c r="E156" s="9"/>
      <c r="F156" s="9"/>
      <c r="G156" s="6"/>
      <c r="K156" s="10" t="str">
        <f t="shared" si="1"/>
        <v/>
      </c>
    </row>
    <row r="157" spans="2:11" ht="15" customHeight="1" x14ac:dyDescent="0.35">
      <c r="B157" t="str">
        <f>IF($A157="","",IFERROR(VLOOKUP($A157,Enquiry!$A:$K,3,0),"-"))</f>
        <v/>
      </c>
      <c r="C157" t="str">
        <f>IF($A157="","",IFERROR(VLOOKUP($A157,Enquiry!$A:$K,4,0),"-"))</f>
        <v/>
      </c>
      <c r="D157" t="str">
        <f>IF($A157="","",IFERROR(VLOOKUP($A157,Enquiry!$A:$K,5,0),"-"))</f>
        <v/>
      </c>
      <c r="E157" s="9"/>
      <c r="F157" s="9"/>
      <c r="G157" s="6"/>
      <c r="K157" s="10" t="str">
        <f t="shared" si="1"/>
        <v/>
      </c>
    </row>
    <row r="158" spans="2:11" ht="15" customHeight="1" x14ac:dyDescent="0.35">
      <c r="B158" t="str">
        <f>IF($A158="","",IFERROR(VLOOKUP($A158,Enquiry!$A:$K,3,0),"-"))</f>
        <v/>
      </c>
      <c r="C158" t="str">
        <f>IF($A158="","",IFERROR(VLOOKUP($A158,Enquiry!$A:$K,4,0),"-"))</f>
        <v/>
      </c>
      <c r="D158" t="str">
        <f>IF($A158="","",IFERROR(VLOOKUP($A158,Enquiry!$A:$K,5,0),"-"))</f>
        <v/>
      </c>
      <c r="E158" s="9"/>
      <c r="F158" s="9"/>
      <c r="G158" s="6"/>
      <c r="K158" s="10" t="str">
        <f t="shared" si="1"/>
        <v/>
      </c>
    </row>
    <row r="159" spans="2:11" ht="15" customHeight="1" x14ac:dyDescent="0.35">
      <c r="B159" t="str">
        <f>IF($A159="","",IFERROR(VLOOKUP($A159,Enquiry!$A:$K,3,0),"-"))</f>
        <v/>
      </c>
      <c r="C159" t="str">
        <f>IF($A159="","",IFERROR(VLOOKUP($A159,Enquiry!$A:$K,4,0),"-"))</f>
        <v/>
      </c>
      <c r="D159" t="str">
        <f>IF($A159="","",IFERROR(VLOOKUP($A159,Enquiry!$A:$K,5,0),"-"))</f>
        <v/>
      </c>
      <c r="E159" s="9"/>
      <c r="F159" s="9"/>
      <c r="G159" s="6"/>
      <c r="K159" s="10" t="str">
        <f t="shared" si="1"/>
        <v/>
      </c>
    </row>
    <row r="160" spans="2:11" ht="15" customHeight="1" x14ac:dyDescent="0.35">
      <c r="B160" t="str">
        <f>IF($A160="","",IFERROR(VLOOKUP($A160,Enquiry!$A:$K,3,0),"-"))</f>
        <v/>
      </c>
      <c r="C160" t="str">
        <f>IF($A160="","",IFERROR(VLOOKUP($A160,Enquiry!$A:$K,4,0),"-"))</f>
        <v/>
      </c>
      <c r="D160" t="str">
        <f>IF($A160="","",IFERROR(VLOOKUP($A160,Enquiry!$A:$K,5,0),"-"))</f>
        <v/>
      </c>
      <c r="E160" s="9"/>
      <c r="F160" s="9"/>
      <c r="G160" s="6"/>
      <c r="K160" s="10" t="str">
        <f t="shared" si="1"/>
        <v/>
      </c>
    </row>
    <row r="161" spans="2:11" ht="15" customHeight="1" x14ac:dyDescent="0.35">
      <c r="B161" t="str">
        <f>IF($A161="","",IFERROR(VLOOKUP($A161,Enquiry!$A:$K,3,0),"-"))</f>
        <v/>
      </c>
      <c r="C161" t="str">
        <f>IF($A161="","",IFERROR(VLOOKUP($A161,Enquiry!$A:$K,4,0),"-"))</f>
        <v/>
      </c>
      <c r="D161" t="str">
        <f>IF($A161="","",IFERROR(VLOOKUP($A161,Enquiry!$A:$K,5,0),"-"))</f>
        <v/>
      </c>
      <c r="E161" s="9"/>
      <c r="F161" s="9"/>
      <c r="G161" s="6"/>
      <c r="K161" s="10" t="str">
        <f t="shared" ref="K161:K224" si="2">IF(A161="","",IF(H161="Win","✅ Move to PO Workflow","⬜ Not Won Yet"))</f>
        <v/>
      </c>
    </row>
    <row r="162" spans="2:11" ht="15" customHeight="1" x14ac:dyDescent="0.35">
      <c r="B162" t="str">
        <f>IF($A162="","",IFERROR(VLOOKUP($A162,Enquiry!$A:$K,3,0),"-"))</f>
        <v/>
      </c>
      <c r="C162" t="str">
        <f>IF($A162="","",IFERROR(VLOOKUP($A162,Enquiry!$A:$K,4,0),"-"))</f>
        <v/>
      </c>
      <c r="D162" t="str">
        <f>IF($A162="","",IFERROR(VLOOKUP($A162,Enquiry!$A:$K,5,0),"-"))</f>
        <v/>
      </c>
      <c r="E162" s="9"/>
      <c r="F162" s="9"/>
      <c r="G162" s="6"/>
      <c r="K162" s="10" t="str">
        <f t="shared" si="2"/>
        <v/>
      </c>
    </row>
    <row r="163" spans="2:11" ht="15" customHeight="1" x14ac:dyDescent="0.35">
      <c r="B163" t="str">
        <f>IF($A163="","",IFERROR(VLOOKUP($A163,Enquiry!$A:$K,3,0),"-"))</f>
        <v/>
      </c>
      <c r="C163" t="str">
        <f>IF($A163="","",IFERROR(VLOOKUP($A163,Enquiry!$A:$K,4,0),"-"))</f>
        <v/>
      </c>
      <c r="D163" t="str">
        <f>IF($A163="","",IFERROR(VLOOKUP($A163,Enquiry!$A:$K,5,0),"-"))</f>
        <v/>
      </c>
      <c r="E163" s="9"/>
      <c r="F163" s="9"/>
      <c r="G163" s="6"/>
      <c r="K163" s="10" t="str">
        <f t="shared" si="2"/>
        <v/>
      </c>
    </row>
    <row r="164" spans="2:11" ht="15" customHeight="1" x14ac:dyDescent="0.35">
      <c r="B164" t="str">
        <f>IF($A164="","",IFERROR(VLOOKUP($A164,Enquiry!$A:$K,3,0),"-"))</f>
        <v/>
      </c>
      <c r="C164" t="str">
        <f>IF($A164="","",IFERROR(VLOOKUP($A164,Enquiry!$A:$K,4,0),"-"))</f>
        <v/>
      </c>
      <c r="D164" t="str">
        <f>IF($A164="","",IFERROR(VLOOKUP($A164,Enquiry!$A:$K,5,0),"-"))</f>
        <v/>
      </c>
      <c r="E164" s="9"/>
      <c r="F164" s="9"/>
      <c r="G164" s="6"/>
      <c r="K164" s="10" t="str">
        <f t="shared" si="2"/>
        <v/>
      </c>
    </row>
    <row r="165" spans="2:11" ht="15" customHeight="1" x14ac:dyDescent="0.35">
      <c r="B165" t="str">
        <f>IF($A165="","",IFERROR(VLOOKUP($A165,Enquiry!$A:$K,3,0),"-"))</f>
        <v/>
      </c>
      <c r="C165" t="str">
        <f>IF($A165="","",IFERROR(VLOOKUP($A165,Enquiry!$A:$K,4,0),"-"))</f>
        <v/>
      </c>
      <c r="D165" t="str">
        <f>IF($A165="","",IFERROR(VLOOKUP($A165,Enquiry!$A:$K,5,0),"-"))</f>
        <v/>
      </c>
      <c r="E165" s="9"/>
      <c r="F165" s="9"/>
      <c r="G165" s="6"/>
      <c r="K165" s="10" t="str">
        <f t="shared" si="2"/>
        <v/>
      </c>
    </row>
    <row r="166" spans="2:11" ht="15" customHeight="1" x14ac:dyDescent="0.35">
      <c r="B166" t="str">
        <f>IF($A166="","",IFERROR(VLOOKUP($A166,Enquiry!$A:$K,3,0),"-"))</f>
        <v/>
      </c>
      <c r="C166" t="str">
        <f>IF($A166="","",IFERROR(VLOOKUP($A166,Enquiry!$A:$K,4,0),"-"))</f>
        <v/>
      </c>
      <c r="D166" t="str">
        <f>IF($A166="","",IFERROR(VLOOKUP($A166,Enquiry!$A:$K,5,0),"-"))</f>
        <v/>
      </c>
      <c r="E166" s="9"/>
      <c r="F166" s="9"/>
      <c r="G166" s="6"/>
      <c r="K166" s="10" t="str">
        <f t="shared" si="2"/>
        <v/>
      </c>
    </row>
    <row r="167" spans="2:11" ht="15" customHeight="1" x14ac:dyDescent="0.35">
      <c r="B167" t="str">
        <f>IF($A167="","",IFERROR(VLOOKUP($A167,Enquiry!$A:$K,3,0),"-"))</f>
        <v/>
      </c>
      <c r="C167" t="str">
        <f>IF($A167="","",IFERROR(VLOOKUP($A167,Enquiry!$A:$K,4,0),"-"))</f>
        <v/>
      </c>
      <c r="D167" t="str">
        <f>IF($A167="","",IFERROR(VLOOKUP($A167,Enquiry!$A:$K,5,0),"-"))</f>
        <v/>
      </c>
      <c r="E167" s="9"/>
      <c r="F167" s="9"/>
      <c r="G167" s="6"/>
      <c r="K167" s="10" t="str">
        <f t="shared" si="2"/>
        <v/>
      </c>
    </row>
    <row r="168" spans="2:11" ht="15" customHeight="1" x14ac:dyDescent="0.35">
      <c r="B168" t="str">
        <f>IF($A168="","",IFERROR(VLOOKUP($A168,Enquiry!$A:$K,3,0),"-"))</f>
        <v/>
      </c>
      <c r="C168" t="str">
        <f>IF($A168="","",IFERROR(VLOOKUP($A168,Enquiry!$A:$K,4,0),"-"))</f>
        <v/>
      </c>
      <c r="D168" t="str">
        <f>IF($A168="","",IFERROR(VLOOKUP($A168,Enquiry!$A:$K,5,0),"-"))</f>
        <v/>
      </c>
      <c r="E168" s="9"/>
      <c r="F168" s="9"/>
      <c r="G168" s="6"/>
      <c r="K168" s="10" t="str">
        <f t="shared" si="2"/>
        <v/>
      </c>
    </row>
    <row r="169" spans="2:11" ht="15" customHeight="1" x14ac:dyDescent="0.35">
      <c r="B169" t="str">
        <f>IF($A169="","",IFERROR(VLOOKUP($A169,Enquiry!$A:$K,3,0),"-"))</f>
        <v/>
      </c>
      <c r="C169" t="str">
        <f>IF($A169="","",IFERROR(VLOOKUP($A169,Enquiry!$A:$K,4,0),"-"))</f>
        <v/>
      </c>
      <c r="D169" t="str">
        <f>IF($A169="","",IFERROR(VLOOKUP($A169,Enquiry!$A:$K,5,0),"-"))</f>
        <v/>
      </c>
      <c r="E169" s="9"/>
      <c r="F169" s="9"/>
      <c r="G169" s="6"/>
      <c r="K169" s="10" t="str">
        <f t="shared" si="2"/>
        <v/>
      </c>
    </row>
    <row r="170" spans="2:11" ht="15" customHeight="1" x14ac:dyDescent="0.35">
      <c r="B170" t="str">
        <f>IF($A170="","",IFERROR(VLOOKUP($A170,Enquiry!$A:$K,3,0),"-"))</f>
        <v/>
      </c>
      <c r="C170" t="str">
        <f>IF($A170="","",IFERROR(VLOOKUP($A170,Enquiry!$A:$K,4,0),"-"))</f>
        <v/>
      </c>
      <c r="D170" t="str">
        <f>IF($A170="","",IFERROR(VLOOKUP($A170,Enquiry!$A:$K,5,0),"-"))</f>
        <v/>
      </c>
      <c r="E170" s="9"/>
      <c r="F170" s="9"/>
      <c r="G170" s="6"/>
      <c r="K170" s="10" t="str">
        <f t="shared" si="2"/>
        <v/>
      </c>
    </row>
    <row r="171" spans="2:11" ht="15" customHeight="1" x14ac:dyDescent="0.35">
      <c r="B171" t="str">
        <f>IF($A171="","",IFERROR(VLOOKUP($A171,Enquiry!$A:$K,3,0),"-"))</f>
        <v/>
      </c>
      <c r="C171" t="str">
        <f>IF($A171="","",IFERROR(VLOOKUP($A171,Enquiry!$A:$K,4,0),"-"))</f>
        <v/>
      </c>
      <c r="D171" t="str">
        <f>IF($A171="","",IFERROR(VLOOKUP($A171,Enquiry!$A:$K,5,0),"-"))</f>
        <v/>
      </c>
      <c r="E171" s="9"/>
      <c r="F171" s="9"/>
      <c r="G171" s="6"/>
      <c r="K171" s="10" t="str">
        <f t="shared" si="2"/>
        <v/>
      </c>
    </row>
    <row r="172" spans="2:11" ht="15" customHeight="1" x14ac:dyDescent="0.35">
      <c r="B172" t="str">
        <f>IF($A172="","",IFERROR(VLOOKUP($A172,Enquiry!$A:$K,3,0),"-"))</f>
        <v/>
      </c>
      <c r="C172" t="str">
        <f>IF($A172="","",IFERROR(VLOOKUP($A172,Enquiry!$A:$K,4,0),"-"))</f>
        <v/>
      </c>
      <c r="D172" t="str">
        <f>IF($A172="","",IFERROR(VLOOKUP($A172,Enquiry!$A:$K,5,0),"-"))</f>
        <v/>
      </c>
      <c r="E172" s="9"/>
      <c r="F172" s="9"/>
      <c r="G172" s="6"/>
      <c r="K172" s="10" t="str">
        <f t="shared" si="2"/>
        <v/>
      </c>
    </row>
    <row r="173" spans="2:11" ht="15" customHeight="1" x14ac:dyDescent="0.35">
      <c r="B173" t="str">
        <f>IF($A173="","",IFERROR(VLOOKUP($A173,Enquiry!$A:$K,3,0),"-"))</f>
        <v/>
      </c>
      <c r="C173" t="str">
        <f>IF($A173="","",IFERROR(VLOOKUP($A173,Enquiry!$A:$K,4,0),"-"))</f>
        <v/>
      </c>
      <c r="D173" t="str">
        <f>IF($A173="","",IFERROR(VLOOKUP($A173,Enquiry!$A:$K,5,0),"-"))</f>
        <v/>
      </c>
      <c r="E173" s="9"/>
      <c r="F173" s="9"/>
      <c r="G173" s="6"/>
      <c r="K173" s="10" t="str">
        <f t="shared" si="2"/>
        <v/>
      </c>
    </row>
    <row r="174" spans="2:11" ht="15" customHeight="1" x14ac:dyDescent="0.35">
      <c r="B174" t="str">
        <f>IF($A174="","",IFERROR(VLOOKUP($A174,Enquiry!$A:$K,3,0),"-"))</f>
        <v/>
      </c>
      <c r="C174" t="str">
        <f>IF($A174="","",IFERROR(VLOOKUP($A174,Enquiry!$A:$K,4,0),"-"))</f>
        <v/>
      </c>
      <c r="D174" t="str">
        <f>IF($A174="","",IFERROR(VLOOKUP($A174,Enquiry!$A:$K,5,0),"-"))</f>
        <v/>
      </c>
      <c r="E174" s="9"/>
      <c r="F174" s="9"/>
      <c r="G174" s="6"/>
      <c r="K174" s="10" t="str">
        <f t="shared" si="2"/>
        <v/>
      </c>
    </row>
    <row r="175" spans="2:11" ht="15" customHeight="1" x14ac:dyDescent="0.35">
      <c r="B175" t="str">
        <f>IF($A175="","",IFERROR(VLOOKUP($A175,Enquiry!$A:$K,3,0),"-"))</f>
        <v/>
      </c>
      <c r="C175" t="str">
        <f>IF($A175="","",IFERROR(VLOOKUP($A175,Enquiry!$A:$K,4,0),"-"))</f>
        <v/>
      </c>
      <c r="D175" t="str">
        <f>IF($A175="","",IFERROR(VLOOKUP($A175,Enquiry!$A:$K,5,0),"-"))</f>
        <v/>
      </c>
      <c r="E175" s="9"/>
      <c r="F175" s="9"/>
      <c r="G175" s="6"/>
      <c r="K175" s="10" t="str">
        <f t="shared" si="2"/>
        <v/>
      </c>
    </row>
    <row r="176" spans="2:11" ht="15" customHeight="1" x14ac:dyDescent="0.35">
      <c r="B176" t="str">
        <f>IF($A176="","",IFERROR(VLOOKUP($A176,Enquiry!$A:$K,3,0),"-"))</f>
        <v/>
      </c>
      <c r="C176" t="str">
        <f>IF($A176="","",IFERROR(VLOOKUP($A176,Enquiry!$A:$K,4,0),"-"))</f>
        <v/>
      </c>
      <c r="D176" t="str">
        <f>IF($A176="","",IFERROR(VLOOKUP($A176,Enquiry!$A:$K,5,0),"-"))</f>
        <v/>
      </c>
      <c r="E176" s="9"/>
      <c r="F176" s="9"/>
      <c r="G176" s="6"/>
      <c r="K176" s="10" t="str">
        <f t="shared" si="2"/>
        <v/>
      </c>
    </row>
    <row r="177" spans="2:11" ht="15" customHeight="1" x14ac:dyDescent="0.35">
      <c r="B177" t="str">
        <f>IF($A177="","",IFERROR(VLOOKUP($A177,Enquiry!$A:$K,3,0),"-"))</f>
        <v/>
      </c>
      <c r="C177" t="str">
        <f>IF($A177="","",IFERROR(VLOOKUP($A177,Enquiry!$A:$K,4,0),"-"))</f>
        <v/>
      </c>
      <c r="D177" t="str">
        <f>IF($A177="","",IFERROR(VLOOKUP($A177,Enquiry!$A:$K,5,0),"-"))</f>
        <v/>
      </c>
      <c r="E177" s="9"/>
      <c r="F177" s="9"/>
      <c r="G177" s="6"/>
      <c r="K177" s="10" t="str">
        <f t="shared" si="2"/>
        <v/>
      </c>
    </row>
    <row r="178" spans="2:11" ht="15" customHeight="1" x14ac:dyDescent="0.35">
      <c r="B178" t="str">
        <f>IF($A178="","",IFERROR(VLOOKUP($A178,Enquiry!$A:$K,3,0),"-"))</f>
        <v/>
      </c>
      <c r="C178" t="str">
        <f>IF($A178="","",IFERROR(VLOOKUP($A178,Enquiry!$A:$K,4,0),"-"))</f>
        <v/>
      </c>
      <c r="D178" t="str">
        <f>IF($A178="","",IFERROR(VLOOKUP($A178,Enquiry!$A:$K,5,0),"-"))</f>
        <v/>
      </c>
      <c r="E178" s="9"/>
      <c r="F178" s="9"/>
      <c r="G178" s="6"/>
      <c r="K178" s="10" t="str">
        <f t="shared" si="2"/>
        <v/>
      </c>
    </row>
    <row r="179" spans="2:11" ht="15" customHeight="1" x14ac:dyDescent="0.35">
      <c r="B179" t="str">
        <f>IF($A179="","",IFERROR(VLOOKUP($A179,Enquiry!$A:$K,3,0),"-"))</f>
        <v/>
      </c>
      <c r="C179" t="str">
        <f>IF($A179="","",IFERROR(VLOOKUP($A179,Enquiry!$A:$K,4,0),"-"))</f>
        <v/>
      </c>
      <c r="D179" t="str">
        <f>IF($A179="","",IFERROR(VLOOKUP($A179,Enquiry!$A:$K,5,0),"-"))</f>
        <v/>
      </c>
      <c r="E179" s="9"/>
      <c r="F179" s="9"/>
      <c r="G179" s="6"/>
      <c r="K179" s="10" t="str">
        <f t="shared" si="2"/>
        <v/>
      </c>
    </row>
    <row r="180" spans="2:11" ht="15" customHeight="1" x14ac:dyDescent="0.35">
      <c r="B180" t="str">
        <f>IF($A180="","",IFERROR(VLOOKUP($A180,Enquiry!$A:$K,3,0),"-"))</f>
        <v/>
      </c>
      <c r="C180" t="str">
        <f>IF($A180="","",IFERROR(VLOOKUP($A180,Enquiry!$A:$K,4,0),"-"))</f>
        <v/>
      </c>
      <c r="D180" t="str">
        <f>IF($A180="","",IFERROR(VLOOKUP($A180,Enquiry!$A:$K,5,0),"-"))</f>
        <v/>
      </c>
      <c r="E180" s="9"/>
      <c r="F180" s="9"/>
      <c r="G180" s="6"/>
      <c r="K180" s="10" t="str">
        <f t="shared" si="2"/>
        <v/>
      </c>
    </row>
    <row r="181" spans="2:11" ht="15" customHeight="1" x14ac:dyDescent="0.35">
      <c r="B181" t="str">
        <f>IF($A181="","",IFERROR(VLOOKUP($A181,Enquiry!$A:$K,3,0),"-"))</f>
        <v/>
      </c>
      <c r="C181" t="str">
        <f>IF($A181="","",IFERROR(VLOOKUP($A181,Enquiry!$A:$K,4,0),"-"))</f>
        <v/>
      </c>
      <c r="D181" t="str">
        <f>IF($A181="","",IFERROR(VLOOKUP($A181,Enquiry!$A:$K,5,0),"-"))</f>
        <v/>
      </c>
      <c r="E181" s="9"/>
      <c r="F181" s="9"/>
      <c r="G181" s="6"/>
      <c r="K181" s="10" t="str">
        <f t="shared" si="2"/>
        <v/>
      </c>
    </row>
    <row r="182" spans="2:11" ht="15" customHeight="1" x14ac:dyDescent="0.35">
      <c r="B182" t="str">
        <f>IF($A182="","",IFERROR(VLOOKUP($A182,Enquiry!$A:$K,3,0),"-"))</f>
        <v/>
      </c>
      <c r="C182" t="str">
        <f>IF($A182="","",IFERROR(VLOOKUP($A182,Enquiry!$A:$K,4,0),"-"))</f>
        <v/>
      </c>
      <c r="D182" t="str">
        <f>IF($A182="","",IFERROR(VLOOKUP($A182,Enquiry!$A:$K,5,0),"-"))</f>
        <v/>
      </c>
      <c r="E182" s="9"/>
      <c r="F182" s="9"/>
      <c r="G182" s="6"/>
      <c r="K182" s="10" t="str">
        <f t="shared" si="2"/>
        <v/>
      </c>
    </row>
    <row r="183" spans="2:11" ht="15" customHeight="1" x14ac:dyDescent="0.35">
      <c r="B183" t="str">
        <f>IF($A183="","",IFERROR(VLOOKUP($A183,Enquiry!$A:$K,3,0),"-"))</f>
        <v/>
      </c>
      <c r="C183" t="str">
        <f>IF($A183="","",IFERROR(VLOOKUP($A183,Enquiry!$A:$K,4,0),"-"))</f>
        <v/>
      </c>
      <c r="D183" t="str">
        <f>IF($A183="","",IFERROR(VLOOKUP($A183,Enquiry!$A:$K,5,0),"-"))</f>
        <v/>
      </c>
      <c r="E183" s="9"/>
      <c r="F183" s="9"/>
      <c r="G183" s="6"/>
      <c r="K183" s="10" t="str">
        <f t="shared" si="2"/>
        <v/>
      </c>
    </row>
    <row r="184" spans="2:11" ht="15" customHeight="1" x14ac:dyDescent="0.35">
      <c r="B184" t="str">
        <f>IF($A184="","",IFERROR(VLOOKUP($A184,Enquiry!$A:$K,3,0),"-"))</f>
        <v/>
      </c>
      <c r="C184" t="str">
        <f>IF($A184="","",IFERROR(VLOOKUP($A184,Enquiry!$A:$K,4,0),"-"))</f>
        <v/>
      </c>
      <c r="D184" t="str">
        <f>IF($A184="","",IFERROR(VLOOKUP($A184,Enquiry!$A:$K,5,0),"-"))</f>
        <v/>
      </c>
      <c r="E184" s="9"/>
      <c r="F184" s="9"/>
      <c r="G184" s="6"/>
      <c r="K184" s="10" t="str">
        <f t="shared" si="2"/>
        <v/>
      </c>
    </row>
    <row r="185" spans="2:11" ht="15" customHeight="1" x14ac:dyDescent="0.35">
      <c r="B185" t="str">
        <f>IF($A185="","",IFERROR(VLOOKUP($A185,Enquiry!$A:$K,3,0),"-"))</f>
        <v/>
      </c>
      <c r="C185" t="str">
        <f>IF($A185="","",IFERROR(VLOOKUP($A185,Enquiry!$A:$K,4,0),"-"))</f>
        <v/>
      </c>
      <c r="D185" t="str">
        <f>IF($A185="","",IFERROR(VLOOKUP($A185,Enquiry!$A:$K,5,0),"-"))</f>
        <v/>
      </c>
      <c r="E185" s="9"/>
      <c r="F185" s="9"/>
      <c r="G185" s="6"/>
      <c r="K185" s="10" t="str">
        <f t="shared" si="2"/>
        <v/>
      </c>
    </row>
    <row r="186" spans="2:11" ht="15" customHeight="1" x14ac:dyDescent="0.35">
      <c r="B186" t="str">
        <f>IF($A186="","",IFERROR(VLOOKUP($A186,Enquiry!$A:$K,3,0),"-"))</f>
        <v/>
      </c>
      <c r="C186" t="str">
        <f>IF($A186="","",IFERROR(VLOOKUP($A186,Enquiry!$A:$K,4,0),"-"))</f>
        <v/>
      </c>
      <c r="D186" t="str">
        <f>IF($A186="","",IFERROR(VLOOKUP($A186,Enquiry!$A:$K,5,0),"-"))</f>
        <v/>
      </c>
      <c r="E186" s="9"/>
      <c r="F186" s="9"/>
      <c r="G186" s="6"/>
      <c r="K186" s="10" t="str">
        <f t="shared" si="2"/>
        <v/>
      </c>
    </row>
    <row r="187" spans="2:11" ht="15" customHeight="1" x14ac:dyDescent="0.35">
      <c r="B187" t="str">
        <f>IF($A187="","",IFERROR(VLOOKUP($A187,Enquiry!$A:$K,3,0),"-"))</f>
        <v/>
      </c>
      <c r="C187" t="str">
        <f>IF($A187="","",IFERROR(VLOOKUP($A187,Enquiry!$A:$K,4,0),"-"))</f>
        <v/>
      </c>
      <c r="D187" t="str">
        <f>IF($A187="","",IFERROR(VLOOKUP($A187,Enquiry!$A:$K,5,0),"-"))</f>
        <v/>
      </c>
      <c r="E187" s="9"/>
      <c r="F187" s="9"/>
      <c r="G187" s="6"/>
      <c r="K187" s="10" t="str">
        <f t="shared" si="2"/>
        <v/>
      </c>
    </row>
    <row r="188" spans="2:11" ht="15" customHeight="1" x14ac:dyDescent="0.35">
      <c r="B188" t="str">
        <f>IF($A188="","",IFERROR(VLOOKUP($A188,Enquiry!$A:$K,3,0),"-"))</f>
        <v/>
      </c>
      <c r="C188" t="str">
        <f>IF($A188="","",IFERROR(VLOOKUP($A188,Enquiry!$A:$K,4,0),"-"))</f>
        <v/>
      </c>
      <c r="D188" t="str">
        <f>IF($A188="","",IFERROR(VLOOKUP($A188,Enquiry!$A:$K,5,0),"-"))</f>
        <v/>
      </c>
      <c r="E188" s="9"/>
      <c r="F188" s="9"/>
      <c r="G188" s="6"/>
      <c r="K188" s="10" t="str">
        <f t="shared" si="2"/>
        <v/>
      </c>
    </row>
    <row r="189" spans="2:11" ht="15" customHeight="1" x14ac:dyDescent="0.35">
      <c r="B189" t="str">
        <f>IF($A189="","",IFERROR(VLOOKUP($A189,Enquiry!$A:$K,3,0),"-"))</f>
        <v/>
      </c>
      <c r="C189" t="str">
        <f>IF($A189="","",IFERROR(VLOOKUP($A189,Enquiry!$A:$K,4,0),"-"))</f>
        <v/>
      </c>
      <c r="D189" t="str">
        <f>IF($A189="","",IFERROR(VLOOKUP($A189,Enquiry!$A:$K,5,0),"-"))</f>
        <v/>
      </c>
      <c r="E189" s="9"/>
      <c r="F189" s="9"/>
      <c r="G189" s="6"/>
      <c r="K189" s="10" t="str">
        <f t="shared" si="2"/>
        <v/>
      </c>
    </row>
    <row r="190" spans="2:11" ht="15" customHeight="1" x14ac:dyDescent="0.35">
      <c r="B190" t="str">
        <f>IF($A190="","",IFERROR(VLOOKUP($A190,Enquiry!$A:$K,3,0),"-"))</f>
        <v/>
      </c>
      <c r="C190" t="str">
        <f>IF($A190="","",IFERROR(VLOOKUP($A190,Enquiry!$A:$K,4,0),"-"))</f>
        <v/>
      </c>
      <c r="D190" t="str">
        <f>IF($A190="","",IFERROR(VLOOKUP($A190,Enquiry!$A:$K,5,0),"-"))</f>
        <v/>
      </c>
      <c r="E190" s="9"/>
      <c r="F190" s="9"/>
      <c r="G190" s="6"/>
      <c r="K190" s="10" t="str">
        <f t="shared" si="2"/>
        <v/>
      </c>
    </row>
    <row r="191" spans="2:11" ht="15" customHeight="1" x14ac:dyDescent="0.35">
      <c r="B191" t="str">
        <f>IF($A191="","",IFERROR(VLOOKUP($A191,Enquiry!$A:$K,3,0),"-"))</f>
        <v/>
      </c>
      <c r="C191" t="str">
        <f>IF($A191="","",IFERROR(VLOOKUP($A191,Enquiry!$A:$K,4,0),"-"))</f>
        <v/>
      </c>
      <c r="D191" t="str">
        <f>IF($A191="","",IFERROR(VLOOKUP($A191,Enquiry!$A:$K,5,0),"-"))</f>
        <v/>
      </c>
      <c r="E191" s="9"/>
      <c r="F191" s="9"/>
      <c r="G191" s="6"/>
      <c r="K191" s="10" t="str">
        <f t="shared" si="2"/>
        <v/>
      </c>
    </row>
    <row r="192" spans="2:11" ht="15" customHeight="1" x14ac:dyDescent="0.35">
      <c r="B192" t="str">
        <f>IF($A192="","",IFERROR(VLOOKUP($A192,Enquiry!$A:$K,3,0),"-"))</f>
        <v/>
      </c>
      <c r="C192" t="str">
        <f>IF($A192="","",IFERROR(VLOOKUP($A192,Enquiry!$A:$K,4,0),"-"))</f>
        <v/>
      </c>
      <c r="D192" t="str">
        <f>IF($A192="","",IFERROR(VLOOKUP($A192,Enquiry!$A:$K,5,0),"-"))</f>
        <v/>
      </c>
      <c r="E192" s="9"/>
      <c r="F192" s="9"/>
      <c r="G192" s="6"/>
      <c r="K192" s="10" t="str">
        <f t="shared" si="2"/>
        <v/>
      </c>
    </row>
    <row r="193" spans="2:11" ht="15" customHeight="1" x14ac:dyDescent="0.35">
      <c r="B193" t="str">
        <f>IF($A193="","",IFERROR(VLOOKUP($A193,Enquiry!$A:$K,3,0),"-"))</f>
        <v/>
      </c>
      <c r="C193" t="str">
        <f>IF($A193="","",IFERROR(VLOOKUP($A193,Enquiry!$A:$K,4,0),"-"))</f>
        <v/>
      </c>
      <c r="D193" t="str">
        <f>IF($A193="","",IFERROR(VLOOKUP($A193,Enquiry!$A:$K,5,0),"-"))</f>
        <v/>
      </c>
      <c r="E193" s="9"/>
      <c r="F193" s="9"/>
      <c r="G193" s="6"/>
      <c r="K193" s="10" t="str">
        <f t="shared" si="2"/>
        <v/>
      </c>
    </row>
    <row r="194" spans="2:11" ht="15" customHeight="1" x14ac:dyDescent="0.35">
      <c r="B194" t="str">
        <f>IF($A194="","",IFERROR(VLOOKUP($A194,Enquiry!$A:$K,3,0),"-"))</f>
        <v/>
      </c>
      <c r="C194" t="str">
        <f>IF($A194="","",IFERROR(VLOOKUP($A194,Enquiry!$A:$K,4,0),"-"))</f>
        <v/>
      </c>
      <c r="D194" t="str">
        <f>IF($A194="","",IFERROR(VLOOKUP($A194,Enquiry!$A:$K,5,0),"-"))</f>
        <v/>
      </c>
      <c r="E194" s="9"/>
      <c r="F194" s="9"/>
      <c r="G194" s="6"/>
      <c r="K194" s="10" t="str">
        <f t="shared" si="2"/>
        <v/>
      </c>
    </row>
    <row r="195" spans="2:11" ht="15" customHeight="1" x14ac:dyDescent="0.35">
      <c r="B195" t="str">
        <f>IF($A195="","",IFERROR(VLOOKUP($A195,Enquiry!$A:$K,3,0),"-"))</f>
        <v/>
      </c>
      <c r="C195" t="str">
        <f>IF($A195="","",IFERROR(VLOOKUP($A195,Enquiry!$A:$K,4,0),"-"))</f>
        <v/>
      </c>
      <c r="D195" t="str">
        <f>IF($A195="","",IFERROR(VLOOKUP($A195,Enquiry!$A:$K,5,0),"-"))</f>
        <v/>
      </c>
      <c r="E195" s="9"/>
      <c r="F195" s="9"/>
      <c r="G195" s="6"/>
      <c r="K195" s="10" t="str">
        <f t="shared" si="2"/>
        <v/>
      </c>
    </row>
    <row r="196" spans="2:11" ht="15" customHeight="1" x14ac:dyDescent="0.35">
      <c r="B196" t="str">
        <f>IF($A196="","",IFERROR(VLOOKUP($A196,Enquiry!$A:$K,3,0),"-"))</f>
        <v/>
      </c>
      <c r="C196" t="str">
        <f>IF($A196="","",IFERROR(VLOOKUP($A196,Enquiry!$A:$K,4,0),"-"))</f>
        <v/>
      </c>
      <c r="D196" t="str">
        <f>IF($A196="","",IFERROR(VLOOKUP($A196,Enquiry!$A:$K,5,0),"-"))</f>
        <v/>
      </c>
      <c r="E196" s="9"/>
      <c r="F196" s="9"/>
      <c r="G196" s="6"/>
      <c r="K196" s="10" t="str">
        <f t="shared" si="2"/>
        <v/>
      </c>
    </row>
    <row r="197" spans="2:11" ht="15" customHeight="1" x14ac:dyDescent="0.35">
      <c r="B197" t="str">
        <f>IF($A197="","",IFERROR(VLOOKUP($A197,Enquiry!$A:$K,3,0),"-"))</f>
        <v/>
      </c>
      <c r="C197" t="str">
        <f>IF($A197="","",IFERROR(VLOOKUP($A197,Enquiry!$A:$K,4,0),"-"))</f>
        <v/>
      </c>
      <c r="D197" t="str">
        <f>IF($A197="","",IFERROR(VLOOKUP($A197,Enquiry!$A:$K,5,0),"-"))</f>
        <v/>
      </c>
      <c r="E197" s="9"/>
      <c r="F197" s="9"/>
      <c r="G197" s="6"/>
      <c r="K197" s="10" t="str">
        <f t="shared" si="2"/>
        <v/>
      </c>
    </row>
    <row r="198" spans="2:11" ht="15" customHeight="1" x14ac:dyDescent="0.35">
      <c r="B198" t="str">
        <f>IF($A198="","",IFERROR(VLOOKUP($A198,Enquiry!$A:$K,3,0),"-"))</f>
        <v/>
      </c>
      <c r="C198" t="str">
        <f>IF($A198="","",IFERROR(VLOOKUP($A198,Enquiry!$A:$K,4,0),"-"))</f>
        <v/>
      </c>
      <c r="D198" t="str">
        <f>IF($A198="","",IFERROR(VLOOKUP($A198,Enquiry!$A:$K,5,0),"-"))</f>
        <v/>
      </c>
      <c r="E198" s="9"/>
      <c r="F198" s="9"/>
      <c r="G198" s="6"/>
      <c r="K198" s="10" t="str">
        <f t="shared" si="2"/>
        <v/>
      </c>
    </row>
    <row r="199" spans="2:11" ht="15" customHeight="1" x14ac:dyDescent="0.35">
      <c r="B199" t="str">
        <f>IF($A199="","",IFERROR(VLOOKUP($A199,Enquiry!$A:$K,3,0),"-"))</f>
        <v/>
      </c>
      <c r="C199" t="str">
        <f>IF($A199="","",IFERROR(VLOOKUP($A199,Enquiry!$A:$K,4,0),"-"))</f>
        <v/>
      </c>
      <c r="D199" t="str">
        <f>IF($A199="","",IFERROR(VLOOKUP($A199,Enquiry!$A:$K,5,0),"-"))</f>
        <v/>
      </c>
      <c r="E199" s="9"/>
      <c r="F199" s="9"/>
      <c r="G199" s="6"/>
      <c r="K199" s="10" t="str">
        <f t="shared" si="2"/>
        <v/>
      </c>
    </row>
    <row r="200" spans="2:11" ht="15" customHeight="1" x14ac:dyDescent="0.35">
      <c r="B200" t="str">
        <f>IF($A200="","",IFERROR(VLOOKUP($A200,Enquiry!$A:$K,3,0),"-"))</f>
        <v/>
      </c>
      <c r="C200" t="str">
        <f>IF($A200="","",IFERROR(VLOOKUP($A200,Enquiry!$A:$K,4,0),"-"))</f>
        <v/>
      </c>
      <c r="D200" t="str">
        <f>IF($A200="","",IFERROR(VLOOKUP($A200,Enquiry!$A:$K,5,0),"-"))</f>
        <v/>
      </c>
      <c r="E200" s="9"/>
      <c r="F200" s="9"/>
      <c r="G200" s="6"/>
      <c r="K200" s="10" t="str">
        <f t="shared" si="2"/>
        <v/>
      </c>
    </row>
    <row r="201" spans="2:11" ht="15" customHeight="1" x14ac:dyDescent="0.35">
      <c r="B201" t="str">
        <f>IF($A201="","",IFERROR(VLOOKUP($A201,Enquiry!$A:$K,3,0),"-"))</f>
        <v/>
      </c>
      <c r="C201" t="str">
        <f>IF($A201="","",IFERROR(VLOOKUP($A201,Enquiry!$A:$K,4,0),"-"))</f>
        <v/>
      </c>
      <c r="D201" t="str">
        <f>IF($A201="","",IFERROR(VLOOKUP($A201,Enquiry!$A:$K,5,0),"-"))</f>
        <v/>
      </c>
      <c r="E201" s="9"/>
      <c r="F201" s="9"/>
      <c r="G201" s="6"/>
      <c r="K201" s="10" t="str">
        <f t="shared" si="2"/>
        <v/>
      </c>
    </row>
    <row r="202" spans="2:11" ht="15" customHeight="1" x14ac:dyDescent="0.35">
      <c r="B202" t="str">
        <f>IF($A202="","",IFERROR(VLOOKUP($A202,Enquiry!$A:$K,3,0),"-"))</f>
        <v/>
      </c>
      <c r="C202" t="str">
        <f>IF($A202="","",IFERROR(VLOOKUP($A202,Enquiry!$A:$K,4,0),"-"))</f>
        <v/>
      </c>
      <c r="D202" t="str">
        <f>IF($A202="","",IFERROR(VLOOKUP($A202,Enquiry!$A:$K,5,0),"-"))</f>
        <v/>
      </c>
      <c r="E202" s="9"/>
      <c r="F202" s="9"/>
      <c r="G202" s="6"/>
      <c r="K202" s="10" t="str">
        <f t="shared" si="2"/>
        <v/>
      </c>
    </row>
    <row r="203" spans="2:11" ht="15" customHeight="1" x14ac:dyDescent="0.35">
      <c r="B203" t="str">
        <f>IF($A203="","",IFERROR(VLOOKUP($A203,Enquiry!$A:$K,3,0),"-"))</f>
        <v/>
      </c>
      <c r="C203" t="str">
        <f>IF($A203="","",IFERROR(VLOOKUP($A203,Enquiry!$A:$K,4,0),"-"))</f>
        <v/>
      </c>
      <c r="D203" t="str">
        <f>IF($A203="","",IFERROR(VLOOKUP($A203,Enquiry!$A:$K,5,0),"-"))</f>
        <v/>
      </c>
      <c r="E203" s="9"/>
      <c r="F203" s="9"/>
      <c r="G203" s="6"/>
      <c r="K203" s="10" t="str">
        <f t="shared" si="2"/>
        <v/>
      </c>
    </row>
    <row r="204" spans="2:11" ht="15" customHeight="1" x14ac:dyDescent="0.35">
      <c r="B204" t="str">
        <f>IF($A204="","",IFERROR(VLOOKUP($A204,Enquiry!$A:$K,3,0),"-"))</f>
        <v/>
      </c>
      <c r="C204" t="str">
        <f>IF($A204="","",IFERROR(VLOOKUP($A204,Enquiry!$A:$K,4,0),"-"))</f>
        <v/>
      </c>
      <c r="D204" t="str">
        <f>IF($A204="","",IFERROR(VLOOKUP($A204,Enquiry!$A:$K,5,0),"-"))</f>
        <v/>
      </c>
      <c r="E204" s="9"/>
      <c r="F204" s="9"/>
      <c r="G204" s="6"/>
      <c r="K204" s="10" t="str">
        <f t="shared" si="2"/>
        <v/>
      </c>
    </row>
    <row r="205" spans="2:11" ht="15" customHeight="1" x14ac:dyDescent="0.35">
      <c r="B205" t="str">
        <f>IF($A205="","",IFERROR(VLOOKUP($A205,Enquiry!$A:$K,3,0),"-"))</f>
        <v/>
      </c>
      <c r="C205" t="str">
        <f>IF($A205="","",IFERROR(VLOOKUP($A205,Enquiry!$A:$K,4,0),"-"))</f>
        <v/>
      </c>
      <c r="D205" t="str">
        <f>IF($A205="","",IFERROR(VLOOKUP($A205,Enquiry!$A:$K,5,0),"-"))</f>
        <v/>
      </c>
      <c r="E205" s="9"/>
      <c r="F205" s="9"/>
      <c r="G205" s="6"/>
      <c r="K205" s="10" t="str">
        <f t="shared" si="2"/>
        <v/>
      </c>
    </row>
    <row r="206" spans="2:11" ht="15" customHeight="1" x14ac:dyDescent="0.35">
      <c r="B206" t="str">
        <f>IF($A206="","",IFERROR(VLOOKUP($A206,Enquiry!$A:$K,3,0),"-"))</f>
        <v/>
      </c>
      <c r="C206" t="str">
        <f>IF($A206="","",IFERROR(VLOOKUP($A206,Enquiry!$A:$K,4,0),"-"))</f>
        <v/>
      </c>
      <c r="D206" t="str">
        <f>IF($A206="","",IFERROR(VLOOKUP($A206,Enquiry!$A:$K,5,0),"-"))</f>
        <v/>
      </c>
      <c r="E206" s="9"/>
      <c r="F206" s="9"/>
      <c r="G206" s="6"/>
      <c r="K206" s="10" t="str">
        <f t="shared" si="2"/>
        <v/>
      </c>
    </row>
    <row r="207" spans="2:11" ht="15" customHeight="1" x14ac:dyDescent="0.35">
      <c r="B207" t="str">
        <f>IF($A207="","",IFERROR(VLOOKUP($A207,Enquiry!$A:$K,3,0),"-"))</f>
        <v/>
      </c>
      <c r="C207" t="str">
        <f>IF($A207="","",IFERROR(VLOOKUP($A207,Enquiry!$A:$K,4,0),"-"))</f>
        <v/>
      </c>
      <c r="D207" t="str">
        <f>IF($A207="","",IFERROR(VLOOKUP($A207,Enquiry!$A:$K,5,0),"-"))</f>
        <v/>
      </c>
      <c r="E207" s="9"/>
      <c r="F207" s="9"/>
      <c r="G207" s="6"/>
      <c r="K207" s="10" t="str">
        <f t="shared" si="2"/>
        <v/>
      </c>
    </row>
    <row r="208" spans="2:11" ht="15" customHeight="1" x14ac:dyDescent="0.35">
      <c r="B208" t="str">
        <f>IF($A208="","",IFERROR(VLOOKUP($A208,Enquiry!$A:$K,3,0),"-"))</f>
        <v/>
      </c>
      <c r="C208" t="str">
        <f>IF($A208="","",IFERROR(VLOOKUP($A208,Enquiry!$A:$K,4,0),"-"))</f>
        <v/>
      </c>
      <c r="D208" t="str">
        <f>IF($A208="","",IFERROR(VLOOKUP($A208,Enquiry!$A:$K,5,0),"-"))</f>
        <v/>
      </c>
      <c r="E208" s="9"/>
      <c r="F208" s="9"/>
      <c r="G208" s="6"/>
      <c r="K208" s="10" t="str">
        <f t="shared" si="2"/>
        <v/>
      </c>
    </row>
    <row r="209" spans="2:11" ht="15" customHeight="1" x14ac:dyDescent="0.35">
      <c r="B209" t="str">
        <f>IF($A209="","",IFERROR(VLOOKUP($A209,Enquiry!$A:$K,3,0),"-"))</f>
        <v/>
      </c>
      <c r="C209" t="str">
        <f>IF($A209="","",IFERROR(VLOOKUP($A209,Enquiry!$A:$K,4,0),"-"))</f>
        <v/>
      </c>
      <c r="D209" t="str">
        <f>IF($A209="","",IFERROR(VLOOKUP($A209,Enquiry!$A:$K,5,0),"-"))</f>
        <v/>
      </c>
      <c r="E209" s="9"/>
      <c r="F209" s="9"/>
      <c r="G209" s="6"/>
      <c r="K209" s="10" t="str">
        <f t="shared" si="2"/>
        <v/>
      </c>
    </row>
    <row r="210" spans="2:11" ht="15" customHeight="1" x14ac:dyDescent="0.35">
      <c r="B210" t="str">
        <f>IF($A210="","",IFERROR(VLOOKUP($A210,Enquiry!$A:$K,3,0),"-"))</f>
        <v/>
      </c>
      <c r="C210" t="str">
        <f>IF($A210="","",IFERROR(VLOOKUP($A210,Enquiry!$A:$K,4,0),"-"))</f>
        <v/>
      </c>
      <c r="D210" t="str">
        <f>IF($A210="","",IFERROR(VLOOKUP($A210,Enquiry!$A:$K,5,0),"-"))</f>
        <v/>
      </c>
      <c r="E210" s="9"/>
      <c r="F210" s="9"/>
      <c r="G210" s="6"/>
      <c r="K210" s="10" t="str">
        <f t="shared" si="2"/>
        <v/>
      </c>
    </row>
    <row r="211" spans="2:11" ht="15" customHeight="1" x14ac:dyDescent="0.35">
      <c r="B211" t="str">
        <f>IF($A211="","",IFERROR(VLOOKUP($A211,Enquiry!$A:$K,3,0),"-"))</f>
        <v/>
      </c>
      <c r="C211" t="str">
        <f>IF($A211="","",IFERROR(VLOOKUP($A211,Enquiry!$A:$K,4,0),"-"))</f>
        <v/>
      </c>
      <c r="D211" t="str">
        <f>IF($A211="","",IFERROR(VLOOKUP($A211,Enquiry!$A:$K,5,0),"-"))</f>
        <v/>
      </c>
      <c r="E211" s="9"/>
      <c r="F211" s="9"/>
      <c r="G211" s="6"/>
      <c r="K211" s="10" t="str">
        <f t="shared" si="2"/>
        <v/>
      </c>
    </row>
    <row r="212" spans="2:11" ht="15" customHeight="1" x14ac:dyDescent="0.35">
      <c r="B212" t="str">
        <f>IF($A212="","",IFERROR(VLOOKUP($A212,Enquiry!$A:$K,3,0),"-"))</f>
        <v/>
      </c>
      <c r="C212" t="str">
        <f>IF($A212="","",IFERROR(VLOOKUP($A212,Enquiry!$A:$K,4,0),"-"))</f>
        <v/>
      </c>
      <c r="D212" t="str">
        <f>IF($A212="","",IFERROR(VLOOKUP($A212,Enquiry!$A:$K,5,0),"-"))</f>
        <v/>
      </c>
      <c r="E212" s="9"/>
      <c r="F212" s="9"/>
      <c r="G212" s="6"/>
      <c r="K212" s="10" t="str">
        <f t="shared" si="2"/>
        <v/>
      </c>
    </row>
    <row r="213" spans="2:11" ht="15" customHeight="1" x14ac:dyDescent="0.35">
      <c r="B213" t="str">
        <f>IF($A213="","",IFERROR(VLOOKUP($A213,Enquiry!$A:$K,3,0),"-"))</f>
        <v/>
      </c>
      <c r="C213" t="str">
        <f>IF($A213="","",IFERROR(VLOOKUP($A213,Enquiry!$A:$K,4,0),"-"))</f>
        <v/>
      </c>
      <c r="D213" t="str">
        <f>IF($A213="","",IFERROR(VLOOKUP($A213,Enquiry!$A:$K,5,0),"-"))</f>
        <v/>
      </c>
      <c r="E213" s="9"/>
      <c r="F213" s="9"/>
      <c r="G213" s="6"/>
      <c r="K213" s="10" t="str">
        <f t="shared" si="2"/>
        <v/>
      </c>
    </row>
    <row r="214" spans="2:11" ht="15" customHeight="1" x14ac:dyDescent="0.35">
      <c r="B214" t="str">
        <f>IF($A214="","",IFERROR(VLOOKUP($A214,Enquiry!$A:$K,3,0),"-"))</f>
        <v/>
      </c>
      <c r="C214" t="str">
        <f>IF($A214="","",IFERROR(VLOOKUP($A214,Enquiry!$A:$K,4,0),"-"))</f>
        <v/>
      </c>
      <c r="D214" t="str">
        <f>IF($A214="","",IFERROR(VLOOKUP($A214,Enquiry!$A:$K,5,0),"-"))</f>
        <v/>
      </c>
      <c r="E214" s="9"/>
      <c r="F214" s="9"/>
      <c r="G214" s="6"/>
      <c r="K214" s="10" t="str">
        <f t="shared" si="2"/>
        <v/>
      </c>
    </row>
    <row r="215" spans="2:11" ht="15" customHeight="1" x14ac:dyDescent="0.35">
      <c r="B215" t="str">
        <f>IF($A215="","",IFERROR(VLOOKUP($A215,Enquiry!$A:$K,3,0),"-"))</f>
        <v/>
      </c>
      <c r="C215" t="str">
        <f>IF($A215="","",IFERROR(VLOOKUP($A215,Enquiry!$A:$K,4,0),"-"))</f>
        <v/>
      </c>
      <c r="D215" t="str">
        <f>IF($A215="","",IFERROR(VLOOKUP($A215,Enquiry!$A:$K,5,0),"-"))</f>
        <v/>
      </c>
      <c r="E215" s="9"/>
      <c r="F215" s="9"/>
      <c r="G215" s="6"/>
      <c r="K215" s="10" t="str">
        <f t="shared" si="2"/>
        <v/>
      </c>
    </row>
    <row r="216" spans="2:11" ht="15" customHeight="1" x14ac:dyDescent="0.35">
      <c r="B216" t="str">
        <f>IF($A216="","",IFERROR(VLOOKUP($A216,Enquiry!$A:$K,3,0),"-"))</f>
        <v/>
      </c>
      <c r="C216" t="str">
        <f>IF($A216="","",IFERROR(VLOOKUP($A216,Enquiry!$A:$K,4,0),"-"))</f>
        <v/>
      </c>
      <c r="D216" t="str">
        <f>IF($A216="","",IFERROR(VLOOKUP($A216,Enquiry!$A:$K,5,0),"-"))</f>
        <v/>
      </c>
      <c r="E216" s="9"/>
      <c r="F216" s="9"/>
      <c r="G216" s="6"/>
      <c r="K216" s="10" t="str">
        <f t="shared" si="2"/>
        <v/>
      </c>
    </row>
    <row r="217" spans="2:11" ht="15" customHeight="1" x14ac:dyDescent="0.35">
      <c r="B217" t="str">
        <f>IF($A217="","",IFERROR(VLOOKUP($A217,Enquiry!$A:$K,3,0),"-"))</f>
        <v/>
      </c>
      <c r="C217" t="str">
        <f>IF($A217="","",IFERROR(VLOOKUP($A217,Enquiry!$A:$K,4,0),"-"))</f>
        <v/>
      </c>
      <c r="D217" t="str">
        <f>IF($A217="","",IFERROR(VLOOKUP($A217,Enquiry!$A:$K,5,0),"-"))</f>
        <v/>
      </c>
      <c r="E217" s="9"/>
      <c r="F217" s="9"/>
      <c r="G217" s="6"/>
      <c r="K217" s="10" t="str">
        <f t="shared" si="2"/>
        <v/>
      </c>
    </row>
    <row r="218" spans="2:11" ht="15" customHeight="1" x14ac:dyDescent="0.35">
      <c r="B218" t="str">
        <f>IF($A218="","",IFERROR(VLOOKUP($A218,Enquiry!$A:$K,3,0),"-"))</f>
        <v/>
      </c>
      <c r="C218" t="str">
        <f>IF($A218="","",IFERROR(VLOOKUP($A218,Enquiry!$A:$K,4,0),"-"))</f>
        <v/>
      </c>
      <c r="D218" t="str">
        <f>IF($A218="","",IFERROR(VLOOKUP($A218,Enquiry!$A:$K,5,0),"-"))</f>
        <v/>
      </c>
      <c r="E218" s="9"/>
      <c r="F218" s="9"/>
      <c r="G218" s="6"/>
      <c r="K218" s="10" t="str">
        <f t="shared" si="2"/>
        <v/>
      </c>
    </row>
    <row r="219" spans="2:11" ht="15" customHeight="1" x14ac:dyDescent="0.35">
      <c r="B219" t="str">
        <f>IF($A219="","",IFERROR(VLOOKUP($A219,Enquiry!$A:$K,3,0),"-"))</f>
        <v/>
      </c>
      <c r="C219" t="str">
        <f>IF($A219="","",IFERROR(VLOOKUP($A219,Enquiry!$A:$K,4,0),"-"))</f>
        <v/>
      </c>
      <c r="D219" t="str">
        <f>IF($A219="","",IFERROR(VLOOKUP($A219,Enquiry!$A:$K,5,0),"-"))</f>
        <v/>
      </c>
      <c r="E219" s="9"/>
      <c r="F219" s="9"/>
      <c r="G219" s="6"/>
      <c r="K219" s="10" t="str">
        <f t="shared" si="2"/>
        <v/>
      </c>
    </row>
    <row r="220" spans="2:11" ht="15" customHeight="1" x14ac:dyDescent="0.35">
      <c r="B220" t="str">
        <f>IF($A220="","",IFERROR(VLOOKUP($A220,Enquiry!$A:$K,3,0),"-"))</f>
        <v/>
      </c>
      <c r="C220" t="str">
        <f>IF($A220="","",IFERROR(VLOOKUP($A220,Enquiry!$A:$K,4,0),"-"))</f>
        <v/>
      </c>
      <c r="D220" t="str">
        <f>IF($A220="","",IFERROR(VLOOKUP($A220,Enquiry!$A:$K,5,0),"-"))</f>
        <v/>
      </c>
      <c r="E220" s="9"/>
      <c r="F220" s="9"/>
      <c r="G220" s="6"/>
      <c r="K220" s="10" t="str">
        <f t="shared" si="2"/>
        <v/>
      </c>
    </row>
    <row r="221" spans="2:11" ht="15" customHeight="1" x14ac:dyDescent="0.35">
      <c r="B221" t="str">
        <f>IF($A221="","",IFERROR(VLOOKUP($A221,Enquiry!$A:$K,3,0),"-"))</f>
        <v/>
      </c>
      <c r="C221" t="str">
        <f>IF($A221="","",IFERROR(VLOOKUP($A221,Enquiry!$A:$K,4,0),"-"))</f>
        <v/>
      </c>
      <c r="D221" t="str">
        <f>IF($A221="","",IFERROR(VLOOKUP($A221,Enquiry!$A:$K,5,0),"-"))</f>
        <v/>
      </c>
      <c r="E221" s="9"/>
      <c r="F221" s="9"/>
      <c r="G221" s="6"/>
      <c r="K221" s="10" t="str">
        <f t="shared" si="2"/>
        <v/>
      </c>
    </row>
    <row r="222" spans="2:11" ht="15" customHeight="1" x14ac:dyDescent="0.35">
      <c r="B222" t="str">
        <f>IF($A222="","",IFERROR(VLOOKUP($A222,Enquiry!$A:$K,3,0),"-"))</f>
        <v/>
      </c>
      <c r="C222" t="str">
        <f>IF($A222="","",IFERROR(VLOOKUP($A222,Enquiry!$A:$K,4,0),"-"))</f>
        <v/>
      </c>
      <c r="D222" t="str">
        <f>IF($A222="","",IFERROR(VLOOKUP($A222,Enquiry!$A:$K,5,0),"-"))</f>
        <v/>
      </c>
      <c r="E222" s="9"/>
      <c r="F222" s="9"/>
      <c r="G222" s="6"/>
      <c r="K222" s="10" t="str">
        <f t="shared" si="2"/>
        <v/>
      </c>
    </row>
    <row r="223" spans="2:11" ht="15" customHeight="1" x14ac:dyDescent="0.35">
      <c r="B223" t="str">
        <f>IF($A223="","",IFERROR(VLOOKUP($A223,Enquiry!$A:$K,3,0),"-"))</f>
        <v/>
      </c>
      <c r="C223" t="str">
        <f>IF($A223="","",IFERROR(VLOOKUP($A223,Enquiry!$A:$K,4,0),"-"))</f>
        <v/>
      </c>
      <c r="D223" t="str">
        <f>IF($A223="","",IFERROR(VLOOKUP($A223,Enquiry!$A:$K,5,0),"-"))</f>
        <v/>
      </c>
      <c r="E223" s="9"/>
      <c r="F223" s="9"/>
      <c r="G223" s="6"/>
      <c r="K223" s="10" t="str">
        <f t="shared" si="2"/>
        <v/>
      </c>
    </row>
    <row r="224" spans="2:11" ht="15" customHeight="1" x14ac:dyDescent="0.35">
      <c r="B224" t="str">
        <f>IF($A224="","",IFERROR(VLOOKUP($A224,Enquiry!$A:$K,3,0),"-"))</f>
        <v/>
      </c>
      <c r="C224" t="str">
        <f>IF($A224="","",IFERROR(VLOOKUP($A224,Enquiry!$A:$K,4,0),"-"))</f>
        <v/>
      </c>
      <c r="D224" t="str">
        <f>IF($A224="","",IFERROR(VLOOKUP($A224,Enquiry!$A:$K,5,0),"-"))</f>
        <v/>
      </c>
      <c r="E224" s="9"/>
      <c r="F224" s="9"/>
      <c r="G224" s="6"/>
      <c r="K224" s="10" t="str">
        <f t="shared" si="2"/>
        <v/>
      </c>
    </row>
    <row r="225" spans="2:11" ht="15" customHeight="1" x14ac:dyDescent="0.35">
      <c r="B225" t="str">
        <f>IF($A225="","",IFERROR(VLOOKUP($A225,Enquiry!$A:$K,3,0),"-"))</f>
        <v/>
      </c>
      <c r="C225" t="str">
        <f>IF($A225="","",IFERROR(VLOOKUP($A225,Enquiry!$A:$K,4,0),"-"))</f>
        <v/>
      </c>
      <c r="D225" t="str">
        <f>IF($A225="","",IFERROR(VLOOKUP($A225,Enquiry!$A:$K,5,0),"-"))</f>
        <v/>
      </c>
      <c r="E225" s="9"/>
      <c r="F225" s="9"/>
      <c r="G225" s="6"/>
      <c r="K225" s="10" t="str">
        <f t="shared" ref="K225:K288" si="3">IF(A225="","",IF(H225="Win","✅ Move to PO Workflow","⬜ Not Won Yet"))</f>
        <v/>
      </c>
    </row>
    <row r="226" spans="2:11" ht="15" customHeight="1" x14ac:dyDescent="0.35">
      <c r="B226" t="str">
        <f>IF($A226="","",IFERROR(VLOOKUP($A226,Enquiry!$A:$K,3,0),"-"))</f>
        <v/>
      </c>
      <c r="C226" t="str">
        <f>IF($A226="","",IFERROR(VLOOKUP($A226,Enquiry!$A:$K,4,0),"-"))</f>
        <v/>
      </c>
      <c r="D226" t="str">
        <f>IF($A226="","",IFERROR(VLOOKUP($A226,Enquiry!$A:$K,5,0),"-"))</f>
        <v/>
      </c>
      <c r="E226" s="9"/>
      <c r="F226" s="9"/>
      <c r="G226" s="6"/>
      <c r="K226" s="10" t="str">
        <f t="shared" si="3"/>
        <v/>
      </c>
    </row>
    <row r="227" spans="2:11" ht="15" customHeight="1" x14ac:dyDescent="0.35">
      <c r="B227" t="str">
        <f>IF($A227="","",IFERROR(VLOOKUP($A227,Enquiry!$A:$K,3,0),"-"))</f>
        <v/>
      </c>
      <c r="C227" t="str">
        <f>IF($A227="","",IFERROR(VLOOKUP($A227,Enquiry!$A:$K,4,0),"-"))</f>
        <v/>
      </c>
      <c r="D227" t="str">
        <f>IF($A227="","",IFERROR(VLOOKUP($A227,Enquiry!$A:$K,5,0),"-"))</f>
        <v/>
      </c>
      <c r="E227" s="9"/>
      <c r="F227" s="9"/>
      <c r="G227" s="6"/>
      <c r="K227" s="10" t="str">
        <f t="shared" si="3"/>
        <v/>
      </c>
    </row>
    <row r="228" spans="2:11" ht="15" customHeight="1" x14ac:dyDescent="0.35">
      <c r="B228" t="str">
        <f>IF($A228="","",IFERROR(VLOOKUP($A228,Enquiry!$A:$K,3,0),"-"))</f>
        <v/>
      </c>
      <c r="C228" t="str">
        <f>IF($A228="","",IFERROR(VLOOKUP($A228,Enquiry!$A:$K,4,0),"-"))</f>
        <v/>
      </c>
      <c r="D228" t="str">
        <f>IF($A228="","",IFERROR(VLOOKUP($A228,Enquiry!$A:$K,5,0),"-"))</f>
        <v/>
      </c>
      <c r="E228" s="9"/>
      <c r="F228" s="9"/>
      <c r="G228" s="6"/>
      <c r="K228" s="10" t="str">
        <f t="shared" si="3"/>
        <v/>
      </c>
    </row>
    <row r="229" spans="2:11" ht="15" customHeight="1" x14ac:dyDescent="0.35">
      <c r="B229" t="str">
        <f>IF($A229="","",IFERROR(VLOOKUP($A229,Enquiry!$A:$K,3,0),"-"))</f>
        <v/>
      </c>
      <c r="C229" t="str">
        <f>IF($A229="","",IFERROR(VLOOKUP($A229,Enquiry!$A:$K,4,0),"-"))</f>
        <v/>
      </c>
      <c r="D229" t="str">
        <f>IF($A229="","",IFERROR(VLOOKUP($A229,Enquiry!$A:$K,5,0),"-"))</f>
        <v/>
      </c>
      <c r="E229" s="9"/>
      <c r="F229" s="9"/>
      <c r="G229" s="6"/>
      <c r="K229" s="10" t="str">
        <f t="shared" si="3"/>
        <v/>
      </c>
    </row>
    <row r="230" spans="2:11" ht="15" customHeight="1" x14ac:dyDescent="0.35">
      <c r="B230" t="str">
        <f>IF($A230="","",IFERROR(VLOOKUP($A230,Enquiry!$A:$K,3,0),"-"))</f>
        <v/>
      </c>
      <c r="C230" t="str">
        <f>IF($A230="","",IFERROR(VLOOKUP($A230,Enquiry!$A:$K,4,0),"-"))</f>
        <v/>
      </c>
      <c r="D230" t="str">
        <f>IF($A230="","",IFERROR(VLOOKUP($A230,Enquiry!$A:$K,5,0),"-"))</f>
        <v/>
      </c>
      <c r="E230" s="9"/>
      <c r="F230" s="9"/>
      <c r="G230" s="6"/>
      <c r="K230" s="10" t="str">
        <f t="shared" si="3"/>
        <v/>
      </c>
    </row>
    <row r="231" spans="2:11" ht="15" customHeight="1" x14ac:dyDescent="0.35">
      <c r="B231" t="str">
        <f>IF($A231="","",IFERROR(VLOOKUP($A231,Enquiry!$A:$K,3,0),"-"))</f>
        <v/>
      </c>
      <c r="C231" t="str">
        <f>IF($A231="","",IFERROR(VLOOKUP($A231,Enquiry!$A:$K,4,0),"-"))</f>
        <v/>
      </c>
      <c r="D231" t="str">
        <f>IF($A231="","",IFERROR(VLOOKUP($A231,Enquiry!$A:$K,5,0),"-"))</f>
        <v/>
      </c>
      <c r="E231" s="9"/>
      <c r="F231" s="9"/>
      <c r="G231" s="6"/>
      <c r="K231" s="10" t="str">
        <f t="shared" si="3"/>
        <v/>
      </c>
    </row>
    <row r="232" spans="2:11" ht="15" customHeight="1" x14ac:dyDescent="0.35">
      <c r="B232" t="str">
        <f>IF($A232="","",IFERROR(VLOOKUP($A232,Enquiry!$A:$K,3,0),"-"))</f>
        <v/>
      </c>
      <c r="C232" t="str">
        <f>IF($A232="","",IFERROR(VLOOKUP($A232,Enquiry!$A:$K,4,0),"-"))</f>
        <v/>
      </c>
      <c r="D232" t="str">
        <f>IF($A232="","",IFERROR(VLOOKUP($A232,Enquiry!$A:$K,5,0),"-"))</f>
        <v/>
      </c>
      <c r="E232" s="9"/>
      <c r="F232" s="9"/>
      <c r="G232" s="6"/>
      <c r="K232" s="10" t="str">
        <f t="shared" si="3"/>
        <v/>
      </c>
    </row>
    <row r="233" spans="2:11" ht="15" customHeight="1" x14ac:dyDescent="0.35">
      <c r="B233" t="str">
        <f>IF($A233="","",IFERROR(VLOOKUP($A233,Enquiry!$A:$K,3,0),"-"))</f>
        <v/>
      </c>
      <c r="C233" t="str">
        <f>IF($A233="","",IFERROR(VLOOKUP($A233,Enquiry!$A:$K,4,0),"-"))</f>
        <v/>
      </c>
      <c r="D233" t="str">
        <f>IF($A233="","",IFERROR(VLOOKUP($A233,Enquiry!$A:$K,5,0),"-"))</f>
        <v/>
      </c>
      <c r="E233" s="9"/>
      <c r="F233" s="9"/>
      <c r="G233" s="6"/>
      <c r="K233" s="10" t="str">
        <f t="shared" si="3"/>
        <v/>
      </c>
    </row>
    <row r="234" spans="2:11" ht="15" customHeight="1" x14ac:dyDescent="0.35">
      <c r="B234" t="str">
        <f>IF($A234="","",IFERROR(VLOOKUP($A234,Enquiry!$A:$K,3,0),"-"))</f>
        <v/>
      </c>
      <c r="C234" t="str">
        <f>IF($A234="","",IFERROR(VLOOKUP($A234,Enquiry!$A:$K,4,0),"-"))</f>
        <v/>
      </c>
      <c r="D234" t="str">
        <f>IF($A234="","",IFERROR(VLOOKUP($A234,Enquiry!$A:$K,5,0),"-"))</f>
        <v/>
      </c>
      <c r="E234" s="9"/>
      <c r="F234" s="9"/>
      <c r="G234" s="6"/>
      <c r="K234" s="10" t="str">
        <f t="shared" si="3"/>
        <v/>
      </c>
    </row>
    <row r="235" spans="2:11" ht="15" customHeight="1" x14ac:dyDescent="0.35">
      <c r="B235" t="str">
        <f>IF($A235="","",IFERROR(VLOOKUP($A235,Enquiry!$A:$K,3,0),"-"))</f>
        <v/>
      </c>
      <c r="C235" t="str">
        <f>IF($A235="","",IFERROR(VLOOKUP($A235,Enquiry!$A:$K,4,0),"-"))</f>
        <v/>
      </c>
      <c r="D235" t="str">
        <f>IF($A235="","",IFERROR(VLOOKUP($A235,Enquiry!$A:$K,5,0),"-"))</f>
        <v/>
      </c>
      <c r="E235" s="9"/>
      <c r="F235" s="9"/>
      <c r="G235" s="6"/>
      <c r="K235" s="10" t="str">
        <f t="shared" si="3"/>
        <v/>
      </c>
    </row>
    <row r="236" spans="2:11" ht="15" customHeight="1" x14ac:dyDescent="0.35">
      <c r="B236" t="str">
        <f>IF($A236="","",IFERROR(VLOOKUP($A236,Enquiry!$A:$K,3,0),"-"))</f>
        <v/>
      </c>
      <c r="C236" t="str">
        <f>IF($A236="","",IFERROR(VLOOKUP($A236,Enquiry!$A:$K,4,0),"-"))</f>
        <v/>
      </c>
      <c r="D236" t="str">
        <f>IF($A236="","",IFERROR(VLOOKUP($A236,Enquiry!$A:$K,5,0),"-"))</f>
        <v/>
      </c>
      <c r="E236" s="9"/>
      <c r="F236" s="9"/>
      <c r="G236" s="6"/>
      <c r="K236" s="10" t="str">
        <f t="shared" si="3"/>
        <v/>
      </c>
    </row>
    <row r="237" spans="2:11" ht="15" customHeight="1" x14ac:dyDescent="0.35">
      <c r="B237" t="str">
        <f>IF($A237="","",IFERROR(VLOOKUP($A237,Enquiry!$A:$K,3,0),"-"))</f>
        <v/>
      </c>
      <c r="C237" t="str">
        <f>IF($A237="","",IFERROR(VLOOKUP($A237,Enquiry!$A:$K,4,0),"-"))</f>
        <v/>
      </c>
      <c r="D237" t="str">
        <f>IF($A237="","",IFERROR(VLOOKUP($A237,Enquiry!$A:$K,5,0),"-"))</f>
        <v/>
      </c>
      <c r="E237" s="9"/>
      <c r="F237" s="9"/>
      <c r="G237" s="6"/>
      <c r="K237" s="10" t="str">
        <f t="shared" si="3"/>
        <v/>
      </c>
    </row>
    <row r="238" spans="2:11" ht="15" customHeight="1" x14ac:dyDescent="0.35">
      <c r="B238" t="str">
        <f>IF($A238="","",IFERROR(VLOOKUP($A238,Enquiry!$A:$K,3,0),"-"))</f>
        <v/>
      </c>
      <c r="C238" t="str">
        <f>IF($A238="","",IFERROR(VLOOKUP($A238,Enquiry!$A:$K,4,0),"-"))</f>
        <v/>
      </c>
      <c r="D238" t="str">
        <f>IF($A238="","",IFERROR(VLOOKUP($A238,Enquiry!$A:$K,5,0),"-"))</f>
        <v/>
      </c>
      <c r="E238" s="9"/>
      <c r="F238" s="9"/>
      <c r="G238" s="6"/>
      <c r="K238" s="10" t="str">
        <f t="shared" si="3"/>
        <v/>
      </c>
    </row>
    <row r="239" spans="2:11" ht="15" customHeight="1" x14ac:dyDescent="0.35">
      <c r="B239" t="str">
        <f>IF($A239="","",IFERROR(VLOOKUP($A239,Enquiry!$A:$K,3,0),"-"))</f>
        <v/>
      </c>
      <c r="C239" t="str">
        <f>IF($A239="","",IFERROR(VLOOKUP($A239,Enquiry!$A:$K,4,0),"-"))</f>
        <v/>
      </c>
      <c r="D239" t="str">
        <f>IF($A239="","",IFERROR(VLOOKUP($A239,Enquiry!$A:$K,5,0),"-"))</f>
        <v/>
      </c>
      <c r="E239" s="9"/>
      <c r="F239" s="9"/>
      <c r="G239" s="6"/>
      <c r="K239" s="10" t="str">
        <f t="shared" si="3"/>
        <v/>
      </c>
    </row>
    <row r="240" spans="2:11" ht="15" customHeight="1" x14ac:dyDescent="0.35">
      <c r="B240" t="str">
        <f>IF($A240="","",IFERROR(VLOOKUP($A240,Enquiry!$A:$K,3,0),"-"))</f>
        <v/>
      </c>
      <c r="C240" t="str">
        <f>IF($A240="","",IFERROR(VLOOKUP($A240,Enquiry!$A:$K,4,0),"-"))</f>
        <v/>
      </c>
      <c r="D240" t="str">
        <f>IF($A240="","",IFERROR(VLOOKUP($A240,Enquiry!$A:$K,5,0),"-"))</f>
        <v/>
      </c>
      <c r="E240" s="9"/>
      <c r="F240" s="9"/>
      <c r="G240" s="6"/>
      <c r="K240" s="10" t="str">
        <f t="shared" si="3"/>
        <v/>
      </c>
    </row>
    <row r="241" spans="2:11" ht="15" customHeight="1" x14ac:dyDescent="0.35">
      <c r="B241" t="str">
        <f>IF($A241="","",IFERROR(VLOOKUP($A241,Enquiry!$A:$K,3,0),"-"))</f>
        <v/>
      </c>
      <c r="C241" t="str">
        <f>IF($A241="","",IFERROR(VLOOKUP($A241,Enquiry!$A:$K,4,0),"-"))</f>
        <v/>
      </c>
      <c r="D241" t="str">
        <f>IF($A241="","",IFERROR(VLOOKUP($A241,Enquiry!$A:$K,5,0),"-"))</f>
        <v/>
      </c>
      <c r="E241" s="9"/>
      <c r="F241" s="9"/>
      <c r="G241" s="6"/>
      <c r="K241" s="10" t="str">
        <f t="shared" si="3"/>
        <v/>
      </c>
    </row>
    <row r="242" spans="2:11" ht="15" customHeight="1" x14ac:dyDescent="0.35">
      <c r="B242" t="str">
        <f>IF($A242="","",IFERROR(VLOOKUP($A242,Enquiry!$A:$K,3,0),"-"))</f>
        <v/>
      </c>
      <c r="C242" t="str">
        <f>IF($A242="","",IFERROR(VLOOKUP($A242,Enquiry!$A:$K,4,0),"-"))</f>
        <v/>
      </c>
      <c r="D242" t="str">
        <f>IF($A242="","",IFERROR(VLOOKUP($A242,Enquiry!$A:$K,5,0),"-"))</f>
        <v/>
      </c>
      <c r="E242" s="9"/>
      <c r="F242" s="9"/>
      <c r="G242" s="6"/>
      <c r="K242" s="10" t="str">
        <f t="shared" si="3"/>
        <v/>
      </c>
    </row>
    <row r="243" spans="2:11" ht="15" customHeight="1" x14ac:dyDescent="0.35">
      <c r="B243" t="str">
        <f>IF($A243="","",IFERROR(VLOOKUP($A243,Enquiry!$A:$K,3,0),"-"))</f>
        <v/>
      </c>
      <c r="C243" t="str">
        <f>IF($A243="","",IFERROR(VLOOKUP($A243,Enquiry!$A:$K,4,0),"-"))</f>
        <v/>
      </c>
      <c r="D243" t="str">
        <f>IF($A243="","",IFERROR(VLOOKUP($A243,Enquiry!$A:$K,5,0),"-"))</f>
        <v/>
      </c>
      <c r="E243" s="9"/>
      <c r="F243" s="9"/>
      <c r="G243" s="6"/>
      <c r="K243" s="10" t="str">
        <f t="shared" si="3"/>
        <v/>
      </c>
    </row>
    <row r="244" spans="2:11" ht="15" customHeight="1" x14ac:dyDescent="0.35">
      <c r="B244" t="str">
        <f>IF($A244="","",IFERROR(VLOOKUP($A244,Enquiry!$A:$K,3,0),"-"))</f>
        <v/>
      </c>
      <c r="C244" t="str">
        <f>IF($A244="","",IFERROR(VLOOKUP($A244,Enquiry!$A:$K,4,0),"-"))</f>
        <v/>
      </c>
      <c r="D244" t="str">
        <f>IF($A244="","",IFERROR(VLOOKUP($A244,Enquiry!$A:$K,5,0),"-"))</f>
        <v/>
      </c>
      <c r="E244" s="9"/>
      <c r="F244" s="9"/>
      <c r="G244" s="6"/>
      <c r="K244" s="10" t="str">
        <f t="shared" si="3"/>
        <v/>
      </c>
    </row>
    <row r="245" spans="2:11" ht="15" customHeight="1" x14ac:dyDescent="0.35">
      <c r="B245" t="str">
        <f>IF($A245="","",IFERROR(VLOOKUP($A245,Enquiry!$A:$K,3,0),"-"))</f>
        <v/>
      </c>
      <c r="C245" t="str">
        <f>IF($A245="","",IFERROR(VLOOKUP($A245,Enquiry!$A:$K,4,0),"-"))</f>
        <v/>
      </c>
      <c r="D245" t="str">
        <f>IF($A245="","",IFERROR(VLOOKUP($A245,Enquiry!$A:$K,5,0),"-"))</f>
        <v/>
      </c>
      <c r="E245" s="9"/>
      <c r="F245" s="9"/>
      <c r="G245" s="6"/>
      <c r="K245" s="10" t="str">
        <f t="shared" si="3"/>
        <v/>
      </c>
    </row>
    <row r="246" spans="2:11" ht="15" customHeight="1" x14ac:dyDescent="0.35">
      <c r="B246" t="str">
        <f>IF($A246="","",IFERROR(VLOOKUP($A246,Enquiry!$A:$K,3,0),"-"))</f>
        <v/>
      </c>
      <c r="C246" t="str">
        <f>IF($A246="","",IFERROR(VLOOKUP($A246,Enquiry!$A:$K,4,0),"-"))</f>
        <v/>
      </c>
      <c r="D246" t="str">
        <f>IF($A246="","",IFERROR(VLOOKUP($A246,Enquiry!$A:$K,5,0),"-"))</f>
        <v/>
      </c>
      <c r="E246" s="9"/>
      <c r="F246" s="9"/>
      <c r="G246" s="6"/>
      <c r="K246" s="10" t="str">
        <f t="shared" si="3"/>
        <v/>
      </c>
    </row>
    <row r="247" spans="2:11" ht="15" customHeight="1" x14ac:dyDescent="0.35">
      <c r="B247" t="str">
        <f>IF($A247="","",IFERROR(VLOOKUP($A247,Enquiry!$A:$K,3,0),"-"))</f>
        <v/>
      </c>
      <c r="C247" t="str">
        <f>IF($A247="","",IFERROR(VLOOKUP($A247,Enquiry!$A:$K,4,0),"-"))</f>
        <v/>
      </c>
      <c r="D247" t="str">
        <f>IF($A247="","",IFERROR(VLOOKUP($A247,Enquiry!$A:$K,5,0),"-"))</f>
        <v/>
      </c>
      <c r="E247" s="9"/>
      <c r="F247" s="9"/>
      <c r="G247" s="6"/>
      <c r="K247" s="10" t="str">
        <f t="shared" si="3"/>
        <v/>
      </c>
    </row>
    <row r="248" spans="2:11" ht="15" customHeight="1" x14ac:dyDescent="0.35">
      <c r="B248" t="str">
        <f>IF($A248="","",IFERROR(VLOOKUP($A248,Enquiry!$A:$K,3,0),"-"))</f>
        <v/>
      </c>
      <c r="C248" t="str">
        <f>IF($A248="","",IFERROR(VLOOKUP($A248,Enquiry!$A:$K,4,0),"-"))</f>
        <v/>
      </c>
      <c r="D248" t="str">
        <f>IF($A248="","",IFERROR(VLOOKUP($A248,Enquiry!$A:$K,5,0),"-"))</f>
        <v/>
      </c>
      <c r="E248" s="9"/>
      <c r="F248" s="9"/>
      <c r="G248" s="6"/>
      <c r="K248" s="10" t="str">
        <f t="shared" si="3"/>
        <v/>
      </c>
    </row>
    <row r="249" spans="2:11" ht="15" customHeight="1" x14ac:dyDescent="0.35">
      <c r="B249" t="str">
        <f>IF($A249="","",IFERROR(VLOOKUP($A249,Enquiry!$A:$K,3,0),"-"))</f>
        <v/>
      </c>
      <c r="C249" t="str">
        <f>IF($A249="","",IFERROR(VLOOKUP($A249,Enquiry!$A:$K,4,0),"-"))</f>
        <v/>
      </c>
      <c r="D249" t="str">
        <f>IF($A249="","",IFERROR(VLOOKUP($A249,Enquiry!$A:$K,5,0),"-"))</f>
        <v/>
      </c>
      <c r="E249" s="9"/>
      <c r="F249" s="9"/>
      <c r="G249" s="6"/>
      <c r="K249" s="10" t="str">
        <f t="shared" si="3"/>
        <v/>
      </c>
    </row>
    <row r="250" spans="2:11" ht="15" customHeight="1" x14ac:dyDescent="0.35">
      <c r="B250" t="str">
        <f>IF($A250="","",IFERROR(VLOOKUP($A250,Enquiry!$A:$K,3,0),"-"))</f>
        <v/>
      </c>
      <c r="C250" t="str">
        <f>IF($A250="","",IFERROR(VLOOKUP($A250,Enquiry!$A:$K,4,0),"-"))</f>
        <v/>
      </c>
      <c r="D250" t="str">
        <f>IF($A250="","",IFERROR(VLOOKUP($A250,Enquiry!$A:$K,5,0),"-"))</f>
        <v/>
      </c>
      <c r="E250" s="9"/>
      <c r="F250" s="9"/>
      <c r="G250" s="6"/>
      <c r="K250" s="10" t="str">
        <f t="shared" si="3"/>
        <v/>
      </c>
    </row>
    <row r="251" spans="2:11" ht="15" customHeight="1" x14ac:dyDescent="0.35">
      <c r="B251" t="str">
        <f>IF($A251="","",IFERROR(VLOOKUP($A251,Enquiry!$A:$K,3,0),"-"))</f>
        <v/>
      </c>
      <c r="C251" t="str">
        <f>IF($A251="","",IFERROR(VLOOKUP($A251,Enquiry!$A:$K,4,0),"-"))</f>
        <v/>
      </c>
      <c r="D251" t="str">
        <f>IF($A251="","",IFERROR(VLOOKUP($A251,Enquiry!$A:$K,5,0),"-"))</f>
        <v/>
      </c>
      <c r="E251" s="9"/>
      <c r="F251" s="9"/>
      <c r="G251" s="6"/>
      <c r="K251" s="10" t="str">
        <f t="shared" si="3"/>
        <v/>
      </c>
    </row>
    <row r="252" spans="2:11" ht="15" customHeight="1" x14ac:dyDescent="0.35">
      <c r="B252" t="str">
        <f>IF($A252="","",IFERROR(VLOOKUP($A252,Enquiry!$A:$K,3,0),"-"))</f>
        <v/>
      </c>
      <c r="C252" t="str">
        <f>IF($A252="","",IFERROR(VLOOKUP($A252,Enquiry!$A:$K,4,0),"-"))</f>
        <v/>
      </c>
      <c r="D252" t="str">
        <f>IF($A252="","",IFERROR(VLOOKUP($A252,Enquiry!$A:$K,5,0),"-"))</f>
        <v/>
      </c>
      <c r="E252" s="9"/>
      <c r="F252" s="9"/>
      <c r="G252" s="6"/>
      <c r="K252" s="10" t="str">
        <f t="shared" si="3"/>
        <v/>
      </c>
    </row>
    <row r="253" spans="2:11" ht="15" customHeight="1" x14ac:dyDescent="0.35">
      <c r="B253" t="str">
        <f>IF($A253="","",IFERROR(VLOOKUP($A253,Enquiry!$A:$K,3,0),"-"))</f>
        <v/>
      </c>
      <c r="C253" t="str">
        <f>IF($A253="","",IFERROR(VLOOKUP($A253,Enquiry!$A:$K,4,0),"-"))</f>
        <v/>
      </c>
      <c r="D253" t="str">
        <f>IF($A253="","",IFERROR(VLOOKUP($A253,Enquiry!$A:$K,5,0),"-"))</f>
        <v/>
      </c>
      <c r="E253" s="9"/>
      <c r="F253" s="9"/>
      <c r="G253" s="6"/>
      <c r="K253" s="10" t="str">
        <f t="shared" si="3"/>
        <v/>
      </c>
    </row>
    <row r="254" spans="2:11" ht="15" customHeight="1" x14ac:dyDescent="0.35">
      <c r="B254" t="str">
        <f>IF($A254="","",IFERROR(VLOOKUP($A254,Enquiry!$A:$K,3,0),"-"))</f>
        <v/>
      </c>
      <c r="C254" t="str">
        <f>IF($A254="","",IFERROR(VLOOKUP($A254,Enquiry!$A:$K,4,0),"-"))</f>
        <v/>
      </c>
      <c r="D254" t="str">
        <f>IF($A254="","",IFERROR(VLOOKUP($A254,Enquiry!$A:$K,5,0),"-"))</f>
        <v/>
      </c>
      <c r="E254" s="9"/>
      <c r="F254" s="9"/>
      <c r="G254" s="6"/>
      <c r="K254" s="10" t="str">
        <f t="shared" si="3"/>
        <v/>
      </c>
    </row>
    <row r="255" spans="2:11" ht="15" customHeight="1" x14ac:dyDescent="0.35">
      <c r="B255" t="str">
        <f>IF($A255="","",IFERROR(VLOOKUP($A255,Enquiry!$A:$K,3,0),"-"))</f>
        <v/>
      </c>
      <c r="C255" t="str">
        <f>IF($A255="","",IFERROR(VLOOKUP($A255,Enquiry!$A:$K,4,0),"-"))</f>
        <v/>
      </c>
      <c r="D255" t="str">
        <f>IF($A255="","",IFERROR(VLOOKUP($A255,Enquiry!$A:$K,5,0),"-"))</f>
        <v/>
      </c>
      <c r="E255" s="9"/>
      <c r="F255" s="9"/>
      <c r="G255" s="6"/>
      <c r="K255" s="10" t="str">
        <f t="shared" si="3"/>
        <v/>
      </c>
    </row>
    <row r="256" spans="2:11" ht="15" customHeight="1" x14ac:dyDescent="0.35">
      <c r="B256" t="str">
        <f>IF($A256="","",IFERROR(VLOOKUP($A256,Enquiry!$A:$K,3,0),"-"))</f>
        <v/>
      </c>
      <c r="C256" t="str">
        <f>IF($A256="","",IFERROR(VLOOKUP($A256,Enquiry!$A:$K,4,0),"-"))</f>
        <v/>
      </c>
      <c r="D256" t="str">
        <f>IF($A256="","",IFERROR(VLOOKUP($A256,Enquiry!$A:$K,5,0),"-"))</f>
        <v/>
      </c>
      <c r="E256" s="9"/>
      <c r="F256" s="9"/>
      <c r="G256" s="6"/>
      <c r="K256" s="10" t="str">
        <f t="shared" si="3"/>
        <v/>
      </c>
    </row>
    <row r="257" spans="2:11" ht="15" customHeight="1" x14ac:dyDescent="0.35">
      <c r="B257" t="str">
        <f>IF($A257="","",IFERROR(VLOOKUP($A257,Enquiry!$A:$K,3,0),"-"))</f>
        <v/>
      </c>
      <c r="C257" t="str">
        <f>IF($A257="","",IFERROR(VLOOKUP($A257,Enquiry!$A:$K,4,0),"-"))</f>
        <v/>
      </c>
      <c r="D257" t="str">
        <f>IF($A257="","",IFERROR(VLOOKUP($A257,Enquiry!$A:$K,5,0),"-"))</f>
        <v/>
      </c>
      <c r="E257" s="9"/>
      <c r="F257" s="9"/>
      <c r="G257" s="6"/>
      <c r="K257" s="10" t="str">
        <f t="shared" si="3"/>
        <v/>
      </c>
    </row>
    <row r="258" spans="2:11" ht="15" customHeight="1" x14ac:dyDescent="0.35">
      <c r="B258" t="str">
        <f>IF($A258="","",IFERROR(VLOOKUP($A258,Enquiry!$A:$K,3,0),"-"))</f>
        <v/>
      </c>
      <c r="C258" t="str">
        <f>IF($A258="","",IFERROR(VLOOKUP($A258,Enquiry!$A:$K,4,0),"-"))</f>
        <v/>
      </c>
      <c r="D258" t="str">
        <f>IF($A258="","",IFERROR(VLOOKUP($A258,Enquiry!$A:$K,5,0),"-"))</f>
        <v/>
      </c>
      <c r="E258" s="9"/>
      <c r="F258" s="9"/>
      <c r="G258" s="6"/>
      <c r="K258" s="10" t="str">
        <f t="shared" si="3"/>
        <v/>
      </c>
    </row>
    <row r="259" spans="2:11" ht="15" customHeight="1" x14ac:dyDescent="0.35">
      <c r="B259" t="str">
        <f>IF($A259="","",IFERROR(VLOOKUP($A259,Enquiry!$A:$K,3,0),"-"))</f>
        <v/>
      </c>
      <c r="C259" t="str">
        <f>IF($A259="","",IFERROR(VLOOKUP($A259,Enquiry!$A:$K,4,0),"-"))</f>
        <v/>
      </c>
      <c r="D259" t="str">
        <f>IF($A259="","",IFERROR(VLOOKUP($A259,Enquiry!$A:$K,5,0),"-"))</f>
        <v/>
      </c>
      <c r="E259" s="9"/>
      <c r="F259" s="9"/>
      <c r="G259" s="6"/>
      <c r="K259" s="10" t="str">
        <f t="shared" si="3"/>
        <v/>
      </c>
    </row>
    <row r="260" spans="2:11" ht="15" customHeight="1" x14ac:dyDescent="0.35">
      <c r="B260" t="str">
        <f>IF($A260="","",IFERROR(VLOOKUP($A260,Enquiry!$A:$K,3,0),"-"))</f>
        <v/>
      </c>
      <c r="C260" t="str">
        <f>IF($A260="","",IFERROR(VLOOKUP($A260,Enquiry!$A:$K,4,0),"-"))</f>
        <v/>
      </c>
      <c r="D260" t="str">
        <f>IF($A260="","",IFERROR(VLOOKUP($A260,Enquiry!$A:$K,5,0),"-"))</f>
        <v/>
      </c>
      <c r="E260" s="9"/>
      <c r="F260" s="9"/>
      <c r="G260" s="6"/>
      <c r="K260" s="10" t="str">
        <f t="shared" si="3"/>
        <v/>
      </c>
    </row>
    <row r="261" spans="2:11" ht="15" customHeight="1" x14ac:dyDescent="0.35">
      <c r="B261" t="str">
        <f>IF($A261="","",IFERROR(VLOOKUP($A261,Enquiry!$A:$K,3,0),"-"))</f>
        <v/>
      </c>
      <c r="C261" t="str">
        <f>IF($A261="","",IFERROR(VLOOKUP($A261,Enquiry!$A:$K,4,0),"-"))</f>
        <v/>
      </c>
      <c r="D261" t="str">
        <f>IF($A261="","",IFERROR(VLOOKUP($A261,Enquiry!$A:$K,5,0),"-"))</f>
        <v/>
      </c>
      <c r="E261" s="9"/>
      <c r="F261" s="9"/>
      <c r="G261" s="6"/>
      <c r="K261" s="10" t="str">
        <f t="shared" si="3"/>
        <v/>
      </c>
    </row>
    <row r="262" spans="2:11" ht="15" customHeight="1" x14ac:dyDescent="0.35">
      <c r="B262" t="str">
        <f>IF($A262="","",IFERROR(VLOOKUP($A262,Enquiry!$A:$K,3,0),"-"))</f>
        <v/>
      </c>
      <c r="C262" t="str">
        <f>IF($A262="","",IFERROR(VLOOKUP($A262,Enquiry!$A:$K,4,0),"-"))</f>
        <v/>
      </c>
      <c r="D262" t="str">
        <f>IF($A262="","",IFERROR(VLOOKUP($A262,Enquiry!$A:$K,5,0),"-"))</f>
        <v/>
      </c>
      <c r="E262" s="9"/>
      <c r="F262" s="9"/>
      <c r="G262" s="6"/>
      <c r="K262" s="10" t="str">
        <f t="shared" si="3"/>
        <v/>
      </c>
    </row>
    <row r="263" spans="2:11" ht="15" customHeight="1" x14ac:dyDescent="0.35">
      <c r="B263" t="str">
        <f>IF($A263="","",IFERROR(VLOOKUP($A263,Enquiry!$A:$K,3,0),"-"))</f>
        <v/>
      </c>
      <c r="C263" t="str">
        <f>IF($A263="","",IFERROR(VLOOKUP($A263,Enquiry!$A:$K,4,0),"-"))</f>
        <v/>
      </c>
      <c r="D263" t="str">
        <f>IF($A263="","",IFERROR(VLOOKUP($A263,Enquiry!$A:$K,5,0),"-"))</f>
        <v/>
      </c>
      <c r="E263" s="9"/>
      <c r="F263" s="9"/>
      <c r="G263" s="6"/>
      <c r="K263" s="10" t="str">
        <f t="shared" si="3"/>
        <v/>
      </c>
    </row>
    <row r="264" spans="2:11" ht="15" customHeight="1" x14ac:dyDescent="0.35">
      <c r="B264" t="str">
        <f>IF($A264="","",IFERROR(VLOOKUP($A264,Enquiry!$A:$K,3,0),"-"))</f>
        <v/>
      </c>
      <c r="C264" t="str">
        <f>IF($A264="","",IFERROR(VLOOKUP($A264,Enquiry!$A:$K,4,0),"-"))</f>
        <v/>
      </c>
      <c r="D264" t="str">
        <f>IF($A264="","",IFERROR(VLOOKUP($A264,Enquiry!$A:$K,5,0),"-"))</f>
        <v/>
      </c>
      <c r="E264" s="9"/>
      <c r="F264" s="9"/>
      <c r="G264" s="6"/>
      <c r="K264" s="10" t="str">
        <f t="shared" si="3"/>
        <v/>
      </c>
    </row>
    <row r="265" spans="2:11" ht="15" customHeight="1" x14ac:dyDescent="0.35">
      <c r="B265" t="str">
        <f>IF($A265="","",IFERROR(VLOOKUP($A265,Enquiry!$A:$K,3,0),"-"))</f>
        <v/>
      </c>
      <c r="C265" t="str">
        <f>IF($A265="","",IFERROR(VLOOKUP($A265,Enquiry!$A:$K,4,0),"-"))</f>
        <v/>
      </c>
      <c r="D265" t="str">
        <f>IF($A265="","",IFERROR(VLOOKUP($A265,Enquiry!$A:$K,5,0),"-"))</f>
        <v/>
      </c>
      <c r="E265" s="9"/>
      <c r="F265" s="9"/>
      <c r="G265" s="6"/>
      <c r="K265" s="10" t="str">
        <f t="shared" si="3"/>
        <v/>
      </c>
    </row>
    <row r="266" spans="2:11" ht="15" customHeight="1" x14ac:dyDescent="0.35">
      <c r="B266" t="str">
        <f>IF($A266="","",IFERROR(VLOOKUP($A266,Enquiry!$A:$K,3,0),"-"))</f>
        <v/>
      </c>
      <c r="C266" t="str">
        <f>IF($A266="","",IFERROR(VLOOKUP($A266,Enquiry!$A:$K,4,0),"-"))</f>
        <v/>
      </c>
      <c r="D266" t="str">
        <f>IF($A266="","",IFERROR(VLOOKUP($A266,Enquiry!$A:$K,5,0),"-"))</f>
        <v/>
      </c>
      <c r="E266" s="9"/>
      <c r="F266" s="9"/>
      <c r="G266" s="6"/>
      <c r="K266" s="10" t="str">
        <f t="shared" si="3"/>
        <v/>
      </c>
    </row>
    <row r="267" spans="2:11" ht="15" customHeight="1" x14ac:dyDescent="0.35">
      <c r="B267" t="str">
        <f>IF($A267="","",IFERROR(VLOOKUP($A267,Enquiry!$A:$K,3,0),"-"))</f>
        <v/>
      </c>
      <c r="C267" t="str">
        <f>IF($A267="","",IFERROR(VLOOKUP($A267,Enquiry!$A:$K,4,0),"-"))</f>
        <v/>
      </c>
      <c r="D267" t="str">
        <f>IF($A267="","",IFERROR(VLOOKUP($A267,Enquiry!$A:$K,5,0),"-"))</f>
        <v/>
      </c>
      <c r="E267" s="9"/>
      <c r="F267" s="9"/>
      <c r="G267" s="6"/>
      <c r="K267" s="10" t="str">
        <f t="shared" si="3"/>
        <v/>
      </c>
    </row>
    <row r="268" spans="2:11" ht="15" customHeight="1" x14ac:dyDescent="0.35">
      <c r="B268" t="str">
        <f>IF($A268="","",IFERROR(VLOOKUP($A268,Enquiry!$A:$K,3,0),"-"))</f>
        <v/>
      </c>
      <c r="C268" t="str">
        <f>IF($A268="","",IFERROR(VLOOKUP($A268,Enquiry!$A:$K,4,0),"-"))</f>
        <v/>
      </c>
      <c r="D268" t="str">
        <f>IF($A268="","",IFERROR(VLOOKUP($A268,Enquiry!$A:$K,5,0),"-"))</f>
        <v/>
      </c>
      <c r="E268" s="9"/>
      <c r="F268" s="9"/>
      <c r="G268" s="6"/>
      <c r="K268" s="10" t="str">
        <f t="shared" si="3"/>
        <v/>
      </c>
    </row>
    <row r="269" spans="2:11" ht="15" customHeight="1" x14ac:dyDescent="0.35">
      <c r="B269" t="str">
        <f>IF($A269="","",IFERROR(VLOOKUP($A269,Enquiry!$A:$K,3,0),"-"))</f>
        <v/>
      </c>
      <c r="C269" t="str">
        <f>IF($A269="","",IFERROR(VLOOKUP($A269,Enquiry!$A:$K,4,0),"-"))</f>
        <v/>
      </c>
      <c r="D269" t="str">
        <f>IF($A269="","",IFERROR(VLOOKUP($A269,Enquiry!$A:$K,5,0),"-"))</f>
        <v/>
      </c>
      <c r="E269" s="9"/>
      <c r="F269" s="9"/>
      <c r="G269" s="6"/>
      <c r="K269" s="10" t="str">
        <f t="shared" si="3"/>
        <v/>
      </c>
    </row>
    <row r="270" spans="2:11" ht="15" customHeight="1" x14ac:dyDescent="0.35">
      <c r="B270" t="str">
        <f>IF($A270="","",IFERROR(VLOOKUP($A270,Enquiry!$A:$K,3,0),"-"))</f>
        <v/>
      </c>
      <c r="C270" t="str">
        <f>IF($A270="","",IFERROR(VLOOKUP($A270,Enquiry!$A:$K,4,0),"-"))</f>
        <v/>
      </c>
      <c r="D270" t="str">
        <f>IF($A270="","",IFERROR(VLOOKUP($A270,Enquiry!$A:$K,5,0),"-"))</f>
        <v/>
      </c>
      <c r="E270" s="9"/>
      <c r="F270" s="9"/>
      <c r="G270" s="6"/>
      <c r="K270" s="10" t="str">
        <f t="shared" si="3"/>
        <v/>
      </c>
    </row>
    <row r="271" spans="2:11" ht="15" customHeight="1" x14ac:dyDescent="0.35">
      <c r="B271" t="str">
        <f>IF($A271="","",IFERROR(VLOOKUP($A271,Enquiry!$A:$K,3,0),"-"))</f>
        <v/>
      </c>
      <c r="C271" t="str">
        <f>IF($A271="","",IFERROR(VLOOKUP($A271,Enquiry!$A:$K,4,0),"-"))</f>
        <v/>
      </c>
      <c r="D271" t="str">
        <f>IF($A271="","",IFERROR(VLOOKUP($A271,Enquiry!$A:$K,5,0),"-"))</f>
        <v/>
      </c>
      <c r="E271" s="9"/>
      <c r="F271" s="9"/>
      <c r="G271" s="6"/>
      <c r="K271" s="10" t="str">
        <f t="shared" si="3"/>
        <v/>
      </c>
    </row>
    <row r="272" spans="2:11" ht="15" customHeight="1" x14ac:dyDescent="0.35">
      <c r="B272" t="str">
        <f>IF($A272="","",IFERROR(VLOOKUP($A272,Enquiry!$A:$K,3,0),"-"))</f>
        <v/>
      </c>
      <c r="C272" t="str">
        <f>IF($A272="","",IFERROR(VLOOKUP($A272,Enquiry!$A:$K,4,0),"-"))</f>
        <v/>
      </c>
      <c r="D272" t="str">
        <f>IF($A272="","",IFERROR(VLOOKUP($A272,Enquiry!$A:$K,5,0),"-"))</f>
        <v/>
      </c>
      <c r="E272" s="9"/>
      <c r="F272" s="9"/>
      <c r="G272" s="6"/>
      <c r="K272" s="10" t="str">
        <f t="shared" si="3"/>
        <v/>
      </c>
    </row>
    <row r="273" spans="2:11" ht="15" customHeight="1" x14ac:dyDescent="0.35">
      <c r="B273" t="str">
        <f>IF($A273="","",IFERROR(VLOOKUP($A273,Enquiry!$A:$K,3,0),"-"))</f>
        <v/>
      </c>
      <c r="C273" t="str">
        <f>IF($A273="","",IFERROR(VLOOKUP($A273,Enquiry!$A:$K,4,0),"-"))</f>
        <v/>
      </c>
      <c r="D273" t="str">
        <f>IF($A273="","",IFERROR(VLOOKUP($A273,Enquiry!$A:$K,5,0),"-"))</f>
        <v/>
      </c>
      <c r="E273" s="9"/>
      <c r="F273" s="9"/>
      <c r="G273" s="6"/>
      <c r="K273" s="10" t="str">
        <f t="shared" si="3"/>
        <v/>
      </c>
    </row>
    <row r="274" spans="2:11" ht="15" customHeight="1" x14ac:dyDescent="0.35">
      <c r="B274" t="str">
        <f>IF($A274="","",IFERROR(VLOOKUP($A274,Enquiry!$A:$K,3,0),"-"))</f>
        <v/>
      </c>
      <c r="C274" t="str">
        <f>IF($A274="","",IFERROR(VLOOKUP($A274,Enquiry!$A:$K,4,0),"-"))</f>
        <v/>
      </c>
      <c r="D274" t="str">
        <f>IF($A274="","",IFERROR(VLOOKUP($A274,Enquiry!$A:$K,5,0),"-"))</f>
        <v/>
      </c>
      <c r="E274" s="9"/>
      <c r="F274" s="9"/>
      <c r="G274" s="6"/>
      <c r="K274" s="10" t="str">
        <f t="shared" si="3"/>
        <v/>
      </c>
    </row>
    <row r="275" spans="2:11" ht="15" customHeight="1" x14ac:dyDescent="0.35">
      <c r="B275" t="str">
        <f>IF($A275="","",IFERROR(VLOOKUP($A275,Enquiry!$A:$K,3,0),"-"))</f>
        <v/>
      </c>
      <c r="C275" t="str">
        <f>IF($A275="","",IFERROR(VLOOKUP($A275,Enquiry!$A:$K,4,0),"-"))</f>
        <v/>
      </c>
      <c r="D275" t="str">
        <f>IF($A275="","",IFERROR(VLOOKUP($A275,Enquiry!$A:$K,5,0),"-"))</f>
        <v/>
      </c>
      <c r="E275" s="9"/>
      <c r="F275" s="9"/>
      <c r="G275" s="6"/>
      <c r="K275" s="10" t="str">
        <f t="shared" si="3"/>
        <v/>
      </c>
    </row>
    <row r="276" spans="2:11" ht="15" customHeight="1" x14ac:dyDescent="0.35">
      <c r="B276" t="str">
        <f>IF($A276="","",IFERROR(VLOOKUP($A276,Enquiry!$A:$K,3,0),"-"))</f>
        <v/>
      </c>
      <c r="C276" t="str">
        <f>IF($A276="","",IFERROR(VLOOKUP($A276,Enquiry!$A:$K,4,0),"-"))</f>
        <v/>
      </c>
      <c r="D276" t="str">
        <f>IF($A276="","",IFERROR(VLOOKUP($A276,Enquiry!$A:$K,5,0),"-"))</f>
        <v/>
      </c>
      <c r="E276" s="9"/>
      <c r="F276" s="9"/>
      <c r="G276" s="6"/>
      <c r="K276" s="10" t="str">
        <f t="shared" si="3"/>
        <v/>
      </c>
    </row>
    <row r="277" spans="2:11" ht="15" customHeight="1" x14ac:dyDescent="0.35">
      <c r="B277" t="str">
        <f>IF($A277="","",IFERROR(VLOOKUP($A277,Enquiry!$A:$K,3,0),"-"))</f>
        <v/>
      </c>
      <c r="C277" t="str">
        <f>IF($A277="","",IFERROR(VLOOKUP($A277,Enquiry!$A:$K,4,0),"-"))</f>
        <v/>
      </c>
      <c r="D277" t="str">
        <f>IF($A277="","",IFERROR(VLOOKUP($A277,Enquiry!$A:$K,5,0),"-"))</f>
        <v/>
      </c>
      <c r="E277" s="9"/>
      <c r="F277" s="9"/>
      <c r="G277" s="6"/>
      <c r="K277" s="10" t="str">
        <f t="shared" si="3"/>
        <v/>
      </c>
    </row>
    <row r="278" spans="2:11" ht="15" customHeight="1" x14ac:dyDescent="0.35">
      <c r="B278" t="str">
        <f>IF($A278="","",IFERROR(VLOOKUP($A278,Enquiry!$A:$K,3,0),"-"))</f>
        <v/>
      </c>
      <c r="C278" t="str">
        <f>IF($A278="","",IFERROR(VLOOKUP($A278,Enquiry!$A:$K,4,0),"-"))</f>
        <v/>
      </c>
      <c r="D278" t="str">
        <f>IF($A278="","",IFERROR(VLOOKUP($A278,Enquiry!$A:$K,5,0),"-"))</f>
        <v/>
      </c>
      <c r="E278" s="9"/>
      <c r="F278" s="9"/>
      <c r="G278" s="6"/>
      <c r="K278" s="10" t="str">
        <f t="shared" si="3"/>
        <v/>
      </c>
    </row>
    <row r="279" spans="2:11" ht="15" customHeight="1" x14ac:dyDescent="0.35">
      <c r="B279" t="str">
        <f>IF($A279="","",IFERROR(VLOOKUP($A279,Enquiry!$A:$K,3,0),"-"))</f>
        <v/>
      </c>
      <c r="C279" t="str">
        <f>IF($A279="","",IFERROR(VLOOKUP($A279,Enquiry!$A:$K,4,0),"-"))</f>
        <v/>
      </c>
      <c r="D279" t="str">
        <f>IF($A279="","",IFERROR(VLOOKUP($A279,Enquiry!$A:$K,5,0),"-"))</f>
        <v/>
      </c>
      <c r="E279" s="9"/>
      <c r="F279" s="9"/>
      <c r="G279" s="6"/>
      <c r="K279" s="10" t="str">
        <f t="shared" si="3"/>
        <v/>
      </c>
    </row>
    <row r="280" spans="2:11" ht="15" customHeight="1" x14ac:dyDescent="0.35">
      <c r="B280" t="str">
        <f>IF($A280="","",IFERROR(VLOOKUP($A280,Enquiry!$A:$K,3,0),"-"))</f>
        <v/>
      </c>
      <c r="C280" t="str">
        <f>IF($A280="","",IFERROR(VLOOKUP($A280,Enquiry!$A:$K,4,0),"-"))</f>
        <v/>
      </c>
      <c r="D280" t="str">
        <f>IF($A280="","",IFERROR(VLOOKUP($A280,Enquiry!$A:$K,5,0),"-"))</f>
        <v/>
      </c>
      <c r="E280" s="9"/>
      <c r="F280" s="9"/>
      <c r="G280" s="6"/>
      <c r="K280" s="10" t="str">
        <f t="shared" si="3"/>
        <v/>
      </c>
    </row>
    <row r="281" spans="2:11" ht="15" customHeight="1" x14ac:dyDescent="0.35">
      <c r="B281" t="str">
        <f>IF($A281="","",IFERROR(VLOOKUP($A281,Enquiry!$A:$K,3,0),"-"))</f>
        <v/>
      </c>
      <c r="C281" t="str">
        <f>IF($A281="","",IFERROR(VLOOKUP($A281,Enquiry!$A:$K,4,0),"-"))</f>
        <v/>
      </c>
      <c r="D281" t="str">
        <f>IF($A281="","",IFERROR(VLOOKUP($A281,Enquiry!$A:$K,5,0),"-"))</f>
        <v/>
      </c>
      <c r="E281" s="9"/>
      <c r="F281" s="9"/>
      <c r="G281" s="6"/>
      <c r="K281" s="10" t="str">
        <f t="shared" si="3"/>
        <v/>
      </c>
    </row>
    <row r="282" spans="2:11" ht="15" customHeight="1" x14ac:dyDescent="0.35">
      <c r="B282" t="str">
        <f>IF($A282="","",IFERROR(VLOOKUP($A282,Enquiry!$A:$K,3,0),"-"))</f>
        <v/>
      </c>
      <c r="C282" t="str">
        <f>IF($A282="","",IFERROR(VLOOKUP($A282,Enquiry!$A:$K,4,0),"-"))</f>
        <v/>
      </c>
      <c r="D282" t="str">
        <f>IF($A282="","",IFERROR(VLOOKUP($A282,Enquiry!$A:$K,5,0),"-"))</f>
        <v/>
      </c>
      <c r="E282" s="9"/>
      <c r="F282" s="9"/>
      <c r="G282" s="6"/>
      <c r="K282" s="10" t="str">
        <f t="shared" si="3"/>
        <v/>
      </c>
    </row>
    <row r="283" spans="2:11" ht="15" customHeight="1" x14ac:dyDescent="0.35">
      <c r="B283" t="str">
        <f>IF($A283="","",IFERROR(VLOOKUP($A283,Enquiry!$A:$K,3,0),"-"))</f>
        <v/>
      </c>
      <c r="C283" t="str">
        <f>IF($A283="","",IFERROR(VLOOKUP($A283,Enquiry!$A:$K,4,0),"-"))</f>
        <v/>
      </c>
      <c r="D283" t="str">
        <f>IF($A283="","",IFERROR(VLOOKUP($A283,Enquiry!$A:$K,5,0),"-"))</f>
        <v/>
      </c>
      <c r="E283" s="9"/>
      <c r="F283" s="9"/>
      <c r="G283" s="6"/>
      <c r="K283" s="10" t="str">
        <f t="shared" si="3"/>
        <v/>
      </c>
    </row>
    <row r="284" spans="2:11" ht="15" customHeight="1" x14ac:dyDescent="0.35">
      <c r="B284" t="str">
        <f>IF($A284="","",IFERROR(VLOOKUP($A284,Enquiry!$A:$K,3,0),"-"))</f>
        <v/>
      </c>
      <c r="C284" t="str">
        <f>IF($A284="","",IFERROR(VLOOKUP($A284,Enquiry!$A:$K,4,0),"-"))</f>
        <v/>
      </c>
      <c r="D284" t="str">
        <f>IF($A284="","",IFERROR(VLOOKUP($A284,Enquiry!$A:$K,5,0),"-"))</f>
        <v/>
      </c>
      <c r="E284" s="9"/>
      <c r="F284" s="9"/>
      <c r="G284" s="6"/>
      <c r="K284" s="10" t="str">
        <f t="shared" si="3"/>
        <v/>
      </c>
    </row>
    <row r="285" spans="2:11" ht="15" customHeight="1" x14ac:dyDescent="0.35">
      <c r="B285" t="str">
        <f>IF($A285="","",IFERROR(VLOOKUP($A285,Enquiry!$A:$K,3,0),"-"))</f>
        <v/>
      </c>
      <c r="C285" t="str">
        <f>IF($A285="","",IFERROR(VLOOKUP($A285,Enquiry!$A:$K,4,0),"-"))</f>
        <v/>
      </c>
      <c r="D285" t="str">
        <f>IF($A285="","",IFERROR(VLOOKUP($A285,Enquiry!$A:$K,5,0),"-"))</f>
        <v/>
      </c>
      <c r="E285" s="9"/>
      <c r="F285" s="9"/>
      <c r="G285" s="6"/>
      <c r="K285" s="10" t="str">
        <f t="shared" si="3"/>
        <v/>
      </c>
    </row>
    <row r="286" spans="2:11" ht="15" customHeight="1" x14ac:dyDescent="0.35">
      <c r="B286" t="str">
        <f>IF($A286="","",IFERROR(VLOOKUP($A286,Enquiry!$A:$K,3,0),"-"))</f>
        <v/>
      </c>
      <c r="C286" t="str">
        <f>IF($A286="","",IFERROR(VLOOKUP($A286,Enquiry!$A:$K,4,0),"-"))</f>
        <v/>
      </c>
      <c r="D286" t="str">
        <f>IF($A286="","",IFERROR(VLOOKUP($A286,Enquiry!$A:$K,5,0),"-"))</f>
        <v/>
      </c>
      <c r="E286" s="9"/>
      <c r="F286" s="9"/>
      <c r="G286" s="6"/>
      <c r="K286" s="10" t="str">
        <f t="shared" si="3"/>
        <v/>
      </c>
    </row>
    <row r="287" spans="2:11" ht="15" customHeight="1" x14ac:dyDescent="0.35">
      <c r="B287" t="str">
        <f>IF($A287="","",IFERROR(VLOOKUP($A287,Enquiry!$A:$K,3,0),"-"))</f>
        <v/>
      </c>
      <c r="C287" t="str">
        <f>IF($A287="","",IFERROR(VLOOKUP($A287,Enquiry!$A:$K,4,0),"-"))</f>
        <v/>
      </c>
      <c r="D287" t="str">
        <f>IF($A287="","",IFERROR(VLOOKUP($A287,Enquiry!$A:$K,5,0),"-"))</f>
        <v/>
      </c>
      <c r="E287" s="9"/>
      <c r="F287" s="9"/>
      <c r="G287" s="6"/>
      <c r="K287" s="10" t="str">
        <f t="shared" si="3"/>
        <v/>
      </c>
    </row>
    <row r="288" spans="2:11" ht="15" customHeight="1" x14ac:dyDescent="0.35">
      <c r="B288" t="str">
        <f>IF($A288="","",IFERROR(VLOOKUP($A288,Enquiry!$A:$K,3,0),"-"))</f>
        <v/>
      </c>
      <c r="C288" t="str">
        <f>IF($A288="","",IFERROR(VLOOKUP($A288,Enquiry!$A:$K,4,0),"-"))</f>
        <v/>
      </c>
      <c r="D288" t="str">
        <f>IF($A288="","",IFERROR(VLOOKUP($A288,Enquiry!$A:$K,5,0),"-"))</f>
        <v/>
      </c>
      <c r="E288" s="9"/>
      <c r="F288" s="9"/>
      <c r="G288" s="6"/>
      <c r="K288" s="10" t="str">
        <f t="shared" si="3"/>
        <v/>
      </c>
    </row>
    <row r="289" spans="2:11" ht="15" customHeight="1" x14ac:dyDescent="0.35">
      <c r="B289" t="str">
        <f>IF($A289="","",IFERROR(VLOOKUP($A289,Enquiry!$A:$K,3,0),"-"))</f>
        <v/>
      </c>
      <c r="C289" t="str">
        <f>IF($A289="","",IFERROR(VLOOKUP($A289,Enquiry!$A:$K,4,0),"-"))</f>
        <v/>
      </c>
      <c r="D289" t="str">
        <f>IF($A289="","",IFERROR(VLOOKUP($A289,Enquiry!$A:$K,5,0),"-"))</f>
        <v/>
      </c>
      <c r="E289" s="9"/>
      <c r="F289" s="9"/>
      <c r="G289" s="6"/>
      <c r="K289" s="10" t="str">
        <f t="shared" ref="K289:K352" si="4">IF(A289="","",IF(H289="Win","✅ Move to PO Workflow","⬜ Not Won Yet"))</f>
        <v/>
      </c>
    </row>
    <row r="290" spans="2:11" ht="15" customHeight="1" x14ac:dyDescent="0.35">
      <c r="B290" t="str">
        <f>IF($A290="","",IFERROR(VLOOKUP($A290,Enquiry!$A:$K,3,0),"-"))</f>
        <v/>
      </c>
      <c r="C290" t="str">
        <f>IF($A290="","",IFERROR(VLOOKUP($A290,Enquiry!$A:$K,4,0),"-"))</f>
        <v/>
      </c>
      <c r="D290" t="str">
        <f>IF($A290="","",IFERROR(VLOOKUP($A290,Enquiry!$A:$K,5,0),"-"))</f>
        <v/>
      </c>
      <c r="E290" s="9"/>
      <c r="F290" s="9"/>
      <c r="G290" s="6"/>
      <c r="K290" s="10" t="str">
        <f t="shared" si="4"/>
        <v/>
      </c>
    </row>
    <row r="291" spans="2:11" ht="15" customHeight="1" x14ac:dyDescent="0.35">
      <c r="B291" t="str">
        <f>IF($A291="","",IFERROR(VLOOKUP($A291,Enquiry!$A:$K,3,0),"-"))</f>
        <v/>
      </c>
      <c r="C291" t="str">
        <f>IF($A291="","",IFERROR(VLOOKUP($A291,Enquiry!$A:$K,4,0),"-"))</f>
        <v/>
      </c>
      <c r="D291" t="str">
        <f>IF($A291="","",IFERROR(VLOOKUP($A291,Enquiry!$A:$K,5,0),"-"))</f>
        <v/>
      </c>
      <c r="E291" s="9"/>
      <c r="F291" s="9"/>
      <c r="G291" s="6"/>
      <c r="K291" s="10" t="str">
        <f t="shared" si="4"/>
        <v/>
      </c>
    </row>
    <row r="292" spans="2:11" ht="15" customHeight="1" x14ac:dyDescent="0.35">
      <c r="B292" t="str">
        <f>IF($A292="","",IFERROR(VLOOKUP($A292,Enquiry!$A:$K,3,0),"-"))</f>
        <v/>
      </c>
      <c r="C292" t="str">
        <f>IF($A292="","",IFERROR(VLOOKUP($A292,Enquiry!$A:$K,4,0),"-"))</f>
        <v/>
      </c>
      <c r="D292" t="str">
        <f>IF($A292="","",IFERROR(VLOOKUP($A292,Enquiry!$A:$K,5,0),"-"))</f>
        <v/>
      </c>
      <c r="E292" s="9"/>
      <c r="F292" s="9"/>
      <c r="G292" s="6"/>
      <c r="K292" s="10" t="str">
        <f t="shared" si="4"/>
        <v/>
      </c>
    </row>
    <row r="293" spans="2:11" ht="15" customHeight="1" x14ac:dyDescent="0.35">
      <c r="B293" t="str">
        <f>IF($A293="","",IFERROR(VLOOKUP($A293,Enquiry!$A:$K,3,0),"-"))</f>
        <v/>
      </c>
      <c r="C293" t="str">
        <f>IF($A293="","",IFERROR(VLOOKUP($A293,Enquiry!$A:$K,4,0),"-"))</f>
        <v/>
      </c>
      <c r="D293" t="str">
        <f>IF($A293="","",IFERROR(VLOOKUP($A293,Enquiry!$A:$K,5,0),"-"))</f>
        <v/>
      </c>
      <c r="E293" s="9"/>
      <c r="F293" s="9"/>
      <c r="G293" s="6"/>
      <c r="K293" s="10" t="str">
        <f t="shared" si="4"/>
        <v/>
      </c>
    </row>
    <row r="294" spans="2:11" ht="15" customHeight="1" x14ac:dyDescent="0.35">
      <c r="B294" t="str">
        <f>IF($A294="","",IFERROR(VLOOKUP($A294,Enquiry!$A:$K,3,0),"-"))</f>
        <v/>
      </c>
      <c r="C294" t="str">
        <f>IF($A294="","",IFERROR(VLOOKUP($A294,Enquiry!$A:$K,4,0),"-"))</f>
        <v/>
      </c>
      <c r="D294" t="str">
        <f>IF($A294="","",IFERROR(VLOOKUP($A294,Enquiry!$A:$K,5,0),"-"))</f>
        <v/>
      </c>
      <c r="E294" s="9"/>
      <c r="F294" s="9"/>
      <c r="G294" s="6"/>
      <c r="K294" s="10" t="str">
        <f t="shared" si="4"/>
        <v/>
      </c>
    </row>
    <row r="295" spans="2:11" ht="15" customHeight="1" x14ac:dyDescent="0.35">
      <c r="B295" t="str">
        <f>IF($A295="","",IFERROR(VLOOKUP($A295,Enquiry!$A:$K,3,0),"-"))</f>
        <v/>
      </c>
      <c r="C295" t="str">
        <f>IF($A295="","",IFERROR(VLOOKUP($A295,Enquiry!$A:$K,4,0),"-"))</f>
        <v/>
      </c>
      <c r="D295" t="str">
        <f>IF($A295="","",IFERROR(VLOOKUP($A295,Enquiry!$A:$K,5,0),"-"))</f>
        <v/>
      </c>
      <c r="E295" s="9"/>
      <c r="F295" s="9"/>
      <c r="G295" s="6"/>
      <c r="K295" s="10" t="str">
        <f t="shared" si="4"/>
        <v/>
      </c>
    </row>
    <row r="296" spans="2:11" ht="15" customHeight="1" x14ac:dyDescent="0.35">
      <c r="B296" t="str">
        <f>IF($A296="","",IFERROR(VLOOKUP($A296,Enquiry!$A:$K,3,0),"-"))</f>
        <v/>
      </c>
      <c r="C296" t="str">
        <f>IF($A296="","",IFERROR(VLOOKUP($A296,Enquiry!$A:$K,4,0),"-"))</f>
        <v/>
      </c>
      <c r="D296" t="str">
        <f>IF($A296="","",IFERROR(VLOOKUP($A296,Enquiry!$A:$K,5,0),"-"))</f>
        <v/>
      </c>
      <c r="E296" s="9"/>
      <c r="F296" s="9"/>
      <c r="G296" s="6"/>
      <c r="K296" s="10" t="str">
        <f t="shared" si="4"/>
        <v/>
      </c>
    </row>
    <row r="297" spans="2:11" ht="15" customHeight="1" x14ac:dyDescent="0.35">
      <c r="B297" t="str">
        <f>IF($A297="","",IFERROR(VLOOKUP($A297,Enquiry!$A:$K,3,0),"-"))</f>
        <v/>
      </c>
      <c r="C297" t="str">
        <f>IF($A297="","",IFERROR(VLOOKUP($A297,Enquiry!$A:$K,4,0),"-"))</f>
        <v/>
      </c>
      <c r="D297" t="str">
        <f>IF($A297="","",IFERROR(VLOOKUP($A297,Enquiry!$A:$K,5,0),"-"))</f>
        <v/>
      </c>
      <c r="E297" s="9"/>
      <c r="F297" s="9"/>
      <c r="G297" s="6"/>
      <c r="K297" s="10" t="str">
        <f t="shared" si="4"/>
        <v/>
      </c>
    </row>
    <row r="298" spans="2:11" ht="15" customHeight="1" x14ac:dyDescent="0.35">
      <c r="B298" t="str">
        <f>IF($A298="","",IFERROR(VLOOKUP($A298,Enquiry!$A:$K,3,0),"-"))</f>
        <v/>
      </c>
      <c r="C298" t="str">
        <f>IF($A298="","",IFERROR(VLOOKUP($A298,Enquiry!$A:$K,4,0),"-"))</f>
        <v/>
      </c>
      <c r="D298" t="str">
        <f>IF($A298="","",IFERROR(VLOOKUP($A298,Enquiry!$A:$K,5,0),"-"))</f>
        <v/>
      </c>
      <c r="E298" s="9"/>
      <c r="F298" s="9"/>
      <c r="G298" s="6"/>
      <c r="K298" s="10" t="str">
        <f t="shared" si="4"/>
        <v/>
      </c>
    </row>
    <row r="299" spans="2:11" ht="15" customHeight="1" x14ac:dyDescent="0.35">
      <c r="B299" t="str">
        <f>IF($A299="","",IFERROR(VLOOKUP($A299,Enquiry!$A:$K,3,0),"-"))</f>
        <v/>
      </c>
      <c r="C299" t="str">
        <f>IF($A299="","",IFERROR(VLOOKUP($A299,Enquiry!$A:$K,4,0),"-"))</f>
        <v/>
      </c>
      <c r="D299" t="str">
        <f>IF($A299="","",IFERROR(VLOOKUP($A299,Enquiry!$A:$K,5,0),"-"))</f>
        <v/>
      </c>
      <c r="E299" s="9"/>
      <c r="F299" s="9"/>
      <c r="G299" s="6"/>
      <c r="K299" s="10" t="str">
        <f t="shared" si="4"/>
        <v/>
      </c>
    </row>
    <row r="300" spans="2:11" ht="15" customHeight="1" x14ac:dyDescent="0.35">
      <c r="B300" t="str">
        <f>IF($A300="","",IFERROR(VLOOKUP($A300,Enquiry!$A:$K,3,0),"-"))</f>
        <v/>
      </c>
      <c r="C300" t="str">
        <f>IF($A300="","",IFERROR(VLOOKUP($A300,Enquiry!$A:$K,4,0),"-"))</f>
        <v/>
      </c>
      <c r="D300" t="str">
        <f>IF($A300="","",IFERROR(VLOOKUP($A300,Enquiry!$A:$K,5,0),"-"))</f>
        <v/>
      </c>
      <c r="E300" s="9"/>
      <c r="F300" s="9"/>
      <c r="G300" s="6"/>
      <c r="K300" s="10" t="str">
        <f t="shared" si="4"/>
        <v/>
      </c>
    </row>
    <row r="301" spans="2:11" ht="15" customHeight="1" x14ac:dyDescent="0.35">
      <c r="B301" t="str">
        <f>IF($A301="","",IFERROR(VLOOKUP($A301,Enquiry!$A:$K,3,0),"-"))</f>
        <v/>
      </c>
      <c r="C301" t="str">
        <f>IF($A301="","",IFERROR(VLOOKUP($A301,Enquiry!$A:$K,4,0),"-"))</f>
        <v/>
      </c>
      <c r="D301" t="str">
        <f>IF($A301="","",IFERROR(VLOOKUP($A301,Enquiry!$A:$K,5,0),"-"))</f>
        <v/>
      </c>
      <c r="E301" s="9"/>
      <c r="F301" s="9"/>
      <c r="G301" s="6"/>
      <c r="K301" s="10" t="str">
        <f t="shared" si="4"/>
        <v/>
      </c>
    </row>
    <row r="302" spans="2:11" ht="15" customHeight="1" x14ac:dyDescent="0.35">
      <c r="B302" t="str">
        <f>IF($A302="","",IFERROR(VLOOKUP($A302,Enquiry!$A:$K,3,0),"-"))</f>
        <v/>
      </c>
      <c r="C302" t="str">
        <f>IF($A302="","",IFERROR(VLOOKUP($A302,Enquiry!$A:$K,4,0),"-"))</f>
        <v/>
      </c>
      <c r="D302" t="str">
        <f>IF($A302="","",IFERROR(VLOOKUP($A302,Enquiry!$A:$K,5,0),"-"))</f>
        <v/>
      </c>
      <c r="E302" s="9"/>
      <c r="F302" s="9"/>
      <c r="G302" s="6"/>
      <c r="K302" s="10" t="str">
        <f t="shared" si="4"/>
        <v/>
      </c>
    </row>
    <row r="303" spans="2:11" ht="15" customHeight="1" x14ac:dyDescent="0.35">
      <c r="B303" t="str">
        <f>IF($A303="","",IFERROR(VLOOKUP($A303,Enquiry!$A:$K,3,0),"-"))</f>
        <v/>
      </c>
      <c r="C303" t="str">
        <f>IF($A303="","",IFERROR(VLOOKUP($A303,Enquiry!$A:$K,4,0),"-"))</f>
        <v/>
      </c>
      <c r="D303" t="str">
        <f>IF($A303="","",IFERROR(VLOOKUP($A303,Enquiry!$A:$K,5,0),"-"))</f>
        <v/>
      </c>
      <c r="E303" s="9"/>
      <c r="F303" s="9"/>
      <c r="G303" s="6"/>
      <c r="K303" s="10" t="str">
        <f t="shared" si="4"/>
        <v/>
      </c>
    </row>
    <row r="304" spans="2:11" ht="15" customHeight="1" x14ac:dyDescent="0.35">
      <c r="B304" t="str">
        <f>IF($A304="","",IFERROR(VLOOKUP($A304,Enquiry!$A:$K,3,0),"-"))</f>
        <v/>
      </c>
      <c r="C304" t="str">
        <f>IF($A304="","",IFERROR(VLOOKUP($A304,Enquiry!$A:$K,4,0),"-"))</f>
        <v/>
      </c>
      <c r="D304" t="str">
        <f>IF($A304="","",IFERROR(VLOOKUP($A304,Enquiry!$A:$K,5,0),"-"))</f>
        <v/>
      </c>
      <c r="E304" s="9"/>
      <c r="F304" s="9"/>
      <c r="G304" s="6"/>
      <c r="K304" s="10" t="str">
        <f t="shared" si="4"/>
        <v/>
      </c>
    </row>
    <row r="305" spans="2:11" ht="15" customHeight="1" x14ac:dyDescent="0.35">
      <c r="B305" t="str">
        <f>IF($A305="","",IFERROR(VLOOKUP($A305,Enquiry!$A:$K,3,0),"-"))</f>
        <v/>
      </c>
      <c r="C305" t="str">
        <f>IF($A305="","",IFERROR(VLOOKUP($A305,Enquiry!$A:$K,4,0),"-"))</f>
        <v/>
      </c>
      <c r="D305" t="str">
        <f>IF($A305="","",IFERROR(VLOOKUP($A305,Enquiry!$A:$K,5,0),"-"))</f>
        <v/>
      </c>
      <c r="E305" s="9"/>
      <c r="F305" s="9"/>
      <c r="G305" s="6"/>
      <c r="K305" s="10" t="str">
        <f t="shared" si="4"/>
        <v/>
      </c>
    </row>
    <row r="306" spans="2:11" ht="15" customHeight="1" x14ac:dyDescent="0.35">
      <c r="B306" t="str">
        <f>IF($A306="","",IFERROR(VLOOKUP($A306,Enquiry!$A:$K,3,0),"-"))</f>
        <v/>
      </c>
      <c r="C306" t="str">
        <f>IF($A306="","",IFERROR(VLOOKUP($A306,Enquiry!$A:$K,4,0),"-"))</f>
        <v/>
      </c>
      <c r="D306" t="str">
        <f>IF($A306="","",IFERROR(VLOOKUP($A306,Enquiry!$A:$K,5,0),"-"))</f>
        <v/>
      </c>
      <c r="E306" s="9"/>
      <c r="F306" s="9"/>
      <c r="G306" s="6"/>
      <c r="K306" s="10" t="str">
        <f t="shared" si="4"/>
        <v/>
      </c>
    </row>
    <row r="307" spans="2:11" ht="15" customHeight="1" x14ac:dyDescent="0.35">
      <c r="B307" t="str">
        <f>IF($A307="","",IFERROR(VLOOKUP($A307,Enquiry!$A:$K,3,0),"-"))</f>
        <v/>
      </c>
      <c r="C307" t="str">
        <f>IF($A307="","",IFERROR(VLOOKUP($A307,Enquiry!$A:$K,4,0),"-"))</f>
        <v/>
      </c>
      <c r="D307" t="str">
        <f>IF($A307="","",IFERROR(VLOOKUP($A307,Enquiry!$A:$K,5,0),"-"))</f>
        <v/>
      </c>
      <c r="E307" s="9"/>
      <c r="F307" s="9"/>
      <c r="G307" s="6"/>
      <c r="K307" s="10" t="str">
        <f t="shared" si="4"/>
        <v/>
      </c>
    </row>
    <row r="308" spans="2:11" ht="15" customHeight="1" x14ac:dyDescent="0.35">
      <c r="B308" t="str">
        <f>IF($A308="","",IFERROR(VLOOKUP($A308,Enquiry!$A:$K,3,0),"-"))</f>
        <v/>
      </c>
      <c r="C308" t="str">
        <f>IF($A308="","",IFERROR(VLOOKUP($A308,Enquiry!$A:$K,4,0),"-"))</f>
        <v/>
      </c>
      <c r="D308" t="str">
        <f>IF($A308="","",IFERROR(VLOOKUP($A308,Enquiry!$A:$K,5,0),"-"))</f>
        <v/>
      </c>
      <c r="E308" s="9"/>
      <c r="F308" s="9"/>
      <c r="G308" s="6"/>
      <c r="K308" s="10" t="str">
        <f t="shared" si="4"/>
        <v/>
      </c>
    </row>
    <row r="309" spans="2:11" ht="15" customHeight="1" x14ac:dyDescent="0.35">
      <c r="B309" t="str">
        <f>IF($A309="","",IFERROR(VLOOKUP($A309,Enquiry!$A:$K,3,0),"-"))</f>
        <v/>
      </c>
      <c r="C309" t="str">
        <f>IF($A309="","",IFERROR(VLOOKUP($A309,Enquiry!$A:$K,4,0),"-"))</f>
        <v/>
      </c>
      <c r="D309" t="str">
        <f>IF($A309="","",IFERROR(VLOOKUP($A309,Enquiry!$A:$K,5,0),"-"))</f>
        <v/>
      </c>
      <c r="E309" s="9"/>
      <c r="F309" s="9"/>
      <c r="G309" s="6"/>
      <c r="K309" s="10" t="str">
        <f t="shared" si="4"/>
        <v/>
      </c>
    </row>
    <row r="310" spans="2:11" ht="15" customHeight="1" x14ac:dyDescent="0.35">
      <c r="B310" t="str">
        <f>IF($A310="","",IFERROR(VLOOKUP($A310,Enquiry!$A:$K,3,0),"-"))</f>
        <v/>
      </c>
      <c r="C310" t="str">
        <f>IF($A310="","",IFERROR(VLOOKUP($A310,Enquiry!$A:$K,4,0),"-"))</f>
        <v/>
      </c>
      <c r="D310" t="str">
        <f>IF($A310="","",IFERROR(VLOOKUP($A310,Enquiry!$A:$K,5,0),"-"))</f>
        <v/>
      </c>
      <c r="E310" s="9"/>
      <c r="F310" s="9"/>
      <c r="G310" s="6"/>
      <c r="K310" s="10" t="str">
        <f t="shared" si="4"/>
        <v/>
      </c>
    </row>
    <row r="311" spans="2:11" ht="15" customHeight="1" x14ac:dyDescent="0.35">
      <c r="B311" t="str">
        <f>IF($A311="","",IFERROR(VLOOKUP($A311,Enquiry!$A:$K,3,0),"-"))</f>
        <v/>
      </c>
      <c r="C311" t="str">
        <f>IF($A311="","",IFERROR(VLOOKUP($A311,Enquiry!$A:$K,4,0),"-"))</f>
        <v/>
      </c>
      <c r="D311" t="str">
        <f>IF($A311="","",IFERROR(VLOOKUP($A311,Enquiry!$A:$K,5,0),"-"))</f>
        <v/>
      </c>
      <c r="E311" s="9"/>
      <c r="F311" s="9"/>
      <c r="G311" s="6"/>
      <c r="K311" s="10" t="str">
        <f t="shared" si="4"/>
        <v/>
      </c>
    </row>
    <row r="312" spans="2:11" ht="15" customHeight="1" x14ac:dyDescent="0.35">
      <c r="B312" t="str">
        <f>IF($A312="","",IFERROR(VLOOKUP($A312,Enquiry!$A:$K,3,0),"-"))</f>
        <v/>
      </c>
      <c r="C312" t="str">
        <f>IF($A312="","",IFERROR(VLOOKUP($A312,Enquiry!$A:$K,4,0),"-"))</f>
        <v/>
      </c>
      <c r="D312" t="str">
        <f>IF($A312="","",IFERROR(VLOOKUP($A312,Enquiry!$A:$K,5,0),"-"))</f>
        <v/>
      </c>
      <c r="E312" s="9"/>
      <c r="F312" s="9"/>
      <c r="G312" s="6"/>
      <c r="K312" s="10" t="str">
        <f t="shared" si="4"/>
        <v/>
      </c>
    </row>
    <row r="313" spans="2:11" ht="15" customHeight="1" x14ac:dyDescent="0.35">
      <c r="B313" t="str">
        <f>IF($A313="","",IFERROR(VLOOKUP($A313,Enquiry!$A:$K,3,0),"-"))</f>
        <v/>
      </c>
      <c r="C313" t="str">
        <f>IF($A313="","",IFERROR(VLOOKUP($A313,Enquiry!$A:$K,4,0),"-"))</f>
        <v/>
      </c>
      <c r="D313" t="str">
        <f>IF($A313="","",IFERROR(VLOOKUP($A313,Enquiry!$A:$K,5,0),"-"))</f>
        <v/>
      </c>
      <c r="E313" s="9"/>
      <c r="F313" s="9"/>
      <c r="G313" s="6"/>
      <c r="K313" s="10" t="str">
        <f t="shared" si="4"/>
        <v/>
      </c>
    </row>
    <row r="314" spans="2:11" ht="15" customHeight="1" x14ac:dyDescent="0.35">
      <c r="B314" t="str">
        <f>IF($A314="","",IFERROR(VLOOKUP($A314,Enquiry!$A:$K,3,0),"-"))</f>
        <v/>
      </c>
      <c r="C314" t="str">
        <f>IF($A314="","",IFERROR(VLOOKUP($A314,Enquiry!$A:$K,4,0),"-"))</f>
        <v/>
      </c>
      <c r="D314" t="str">
        <f>IF($A314="","",IFERROR(VLOOKUP($A314,Enquiry!$A:$K,5,0),"-"))</f>
        <v/>
      </c>
      <c r="E314" s="9"/>
      <c r="F314" s="9"/>
      <c r="G314" s="6"/>
      <c r="K314" s="10" t="str">
        <f t="shared" si="4"/>
        <v/>
      </c>
    </row>
    <row r="315" spans="2:11" ht="15" customHeight="1" x14ac:dyDescent="0.35">
      <c r="B315" t="str">
        <f>IF($A315="","",IFERROR(VLOOKUP($A315,Enquiry!$A:$K,3,0),"-"))</f>
        <v/>
      </c>
      <c r="C315" t="str">
        <f>IF($A315="","",IFERROR(VLOOKUP($A315,Enquiry!$A:$K,4,0),"-"))</f>
        <v/>
      </c>
      <c r="D315" t="str">
        <f>IF($A315="","",IFERROR(VLOOKUP($A315,Enquiry!$A:$K,5,0),"-"))</f>
        <v/>
      </c>
      <c r="E315" s="9"/>
      <c r="F315" s="9"/>
      <c r="G315" s="6"/>
      <c r="K315" s="10" t="str">
        <f t="shared" si="4"/>
        <v/>
      </c>
    </row>
    <row r="316" spans="2:11" ht="15" customHeight="1" x14ac:dyDescent="0.35">
      <c r="B316" t="str">
        <f>IF($A316="","",IFERROR(VLOOKUP($A316,Enquiry!$A:$K,3,0),"-"))</f>
        <v/>
      </c>
      <c r="C316" t="str">
        <f>IF($A316="","",IFERROR(VLOOKUP($A316,Enquiry!$A:$K,4,0),"-"))</f>
        <v/>
      </c>
      <c r="D316" t="str">
        <f>IF($A316="","",IFERROR(VLOOKUP($A316,Enquiry!$A:$K,5,0),"-"))</f>
        <v/>
      </c>
      <c r="E316" s="9"/>
      <c r="F316" s="9"/>
      <c r="G316" s="6"/>
      <c r="K316" s="10" t="str">
        <f t="shared" si="4"/>
        <v/>
      </c>
    </row>
    <row r="317" spans="2:11" ht="15" customHeight="1" x14ac:dyDescent="0.35">
      <c r="B317" t="str">
        <f>IF($A317="","",IFERROR(VLOOKUP($A317,Enquiry!$A:$K,3,0),"-"))</f>
        <v/>
      </c>
      <c r="C317" t="str">
        <f>IF($A317="","",IFERROR(VLOOKUP($A317,Enquiry!$A:$K,4,0),"-"))</f>
        <v/>
      </c>
      <c r="D317" t="str">
        <f>IF($A317="","",IFERROR(VLOOKUP($A317,Enquiry!$A:$K,5,0),"-"))</f>
        <v/>
      </c>
      <c r="E317" s="9"/>
      <c r="F317" s="9"/>
      <c r="G317" s="6"/>
      <c r="K317" s="10" t="str">
        <f t="shared" si="4"/>
        <v/>
      </c>
    </row>
    <row r="318" spans="2:11" ht="15" customHeight="1" x14ac:dyDescent="0.35">
      <c r="B318" t="str">
        <f>IF($A318="","",IFERROR(VLOOKUP($A318,Enquiry!$A:$K,3,0),"-"))</f>
        <v/>
      </c>
      <c r="C318" t="str">
        <f>IF($A318="","",IFERROR(VLOOKUP($A318,Enquiry!$A:$K,4,0),"-"))</f>
        <v/>
      </c>
      <c r="D318" t="str">
        <f>IF($A318="","",IFERROR(VLOOKUP($A318,Enquiry!$A:$K,5,0),"-"))</f>
        <v/>
      </c>
      <c r="E318" s="9"/>
      <c r="F318" s="9"/>
      <c r="G318" s="6"/>
      <c r="K318" s="10" t="str">
        <f t="shared" si="4"/>
        <v/>
      </c>
    </row>
    <row r="319" spans="2:11" ht="15" customHeight="1" x14ac:dyDescent="0.35">
      <c r="B319" t="str">
        <f>IF($A319="","",IFERROR(VLOOKUP($A319,Enquiry!$A:$K,3,0),"-"))</f>
        <v/>
      </c>
      <c r="C319" t="str">
        <f>IF($A319="","",IFERROR(VLOOKUP($A319,Enquiry!$A:$K,4,0),"-"))</f>
        <v/>
      </c>
      <c r="D319" t="str">
        <f>IF($A319="","",IFERROR(VLOOKUP($A319,Enquiry!$A:$K,5,0),"-"))</f>
        <v/>
      </c>
      <c r="E319" s="9"/>
      <c r="F319" s="9"/>
      <c r="G319" s="6"/>
      <c r="K319" s="10" t="str">
        <f t="shared" si="4"/>
        <v/>
      </c>
    </row>
    <row r="320" spans="2:11" ht="15" customHeight="1" x14ac:dyDescent="0.35">
      <c r="B320" t="str">
        <f>IF($A320="","",IFERROR(VLOOKUP($A320,Enquiry!$A:$K,3,0),"-"))</f>
        <v/>
      </c>
      <c r="C320" t="str">
        <f>IF($A320="","",IFERROR(VLOOKUP($A320,Enquiry!$A:$K,4,0),"-"))</f>
        <v/>
      </c>
      <c r="D320" t="str">
        <f>IF($A320="","",IFERROR(VLOOKUP($A320,Enquiry!$A:$K,5,0),"-"))</f>
        <v/>
      </c>
      <c r="E320" s="9"/>
      <c r="F320" s="9"/>
      <c r="G320" s="6"/>
      <c r="K320" s="10" t="str">
        <f t="shared" si="4"/>
        <v/>
      </c>
    </row>
    <row r="321" spans="2:11" ht="15" customHeight="1" x14ac:dyDescent="0.35">
      <c r="B321" t="str">
        <f>IF($A321="","",IFERROR(VLOOKUP($A321,Enquiry!$A:$K,3,0),"-"))</f>
        <v/>
      </c>
      <c r="C321" t="str">
        <f>IF($A321="","",IFERROR(VLOOKUP($A321,Enquiry!$A:$K,4,0),"-"))</f>
        <v/>
      </c>
      <c r="D321" t="str">
        <f>IF($A321="","",IFERROR(VLOOKUP($A321,Enquiry!$A:$K,5,0),"-"))</f>
        <v/>
      </c>
      <c r="E321" s="9"/>
      <c r="F321" s="9"/>
      <c r="G321" s="6"/>
      <c r="K321" s="10" t="str">
        <f t="shared" si="4"/>
        <v/>
      </c>
    </row>
    <row r="322" spans="2:11" ht="15" customHeight="1" x14ac:dyDescent="0.35">
      <c r="B322" t="str">
        <f>IF($A322="","",IFERROR(VLOOKUP($A322,Enquiry!$A:$K,3,0),"-"))</f>
        <v/>
      </c>
      <c r="C322" t="str">
        <f>IF($A322="","",IFERROR(VLOOKUP($A322,Enquiry!$A:$K,4,0),"-"))</f>
        <v/>
      </c>
      <c r="D322" t="str">
        <f>IF($A322="","",IFERROR(VLOOKUP($A322,Enquiry!$A:$K,5,0),"-"))</f>
        <v/>
      </c>
      <c r="E322" s="9"/>
      <c r="F322" s="9"/>
      <c r="G322" s="6"/>
      <c r="K322" s="10" t="str">
        <f t="shared" si="4"/>
        <v/>
      </c>
    </row>
    <row r="323" spans="2:11" ht="15" customHeight="1" x14ac:dyDescent="0.35">
      <c r="B323" t="str">
        <f>IF($A323="","",IFERROR(VLOOKUP($A323,Enquiry!$A:$K,3,0),"-"))</f>
        <v/>
      </c>
      <c r="C323" t="str">
        <f>IF($A323="","",IFERROR(VLOOKUP($A323,Enquiry!$A:$K,4,0),"-"))</f>
        <v/>
      </c>
      <c r="D323" t="str">
        <f>IF($A323="","",IFERROR(VLOOKUP($A323,Enquiry!$A:$K,5,0),"-"))</f>
        <v/>
      </c>
      <c r="E323" s="9"/>
      <c r="F323" s="9"/>
      <c r="G323" s="6"/>
      <c r="K323" s="10" t="str">
        <f t="shared" si="4"/>
        <v/>
      </c>
    </row>
    <row r="324" spans="2:11" ht="15" customHeight="1" x14ac:dyDescent="0.35">
      <c r="B324" t="str">
        <f>IF($A324="","",IFERROR(VLOOKUP($A324,Enquiry!$A:$K,3,0),"-"))</f>
        <v/>
      </c>
      <c r="C324" t="str">
        <f>IF($A324="","",IFERROR(VLOOKUP($A324,Enquiry!$A:$K,4,0),"-"))</f>
        <v/>
      </c>
      <c r="D324" t="str">
        <f>IF($A324="","",IFERROR(VLOOKUP($A324,Enquiry!$A:$K,5,0),"-"))</f>
        <v/>
      </c>
      <c r="E324" s="9"/>
      <c r="F324" s="9"/>
      <c r="G324" s="6"/>
      <c r="K324" s="10" t="str">
        <f t="shared" si="4"/>
        <v/>
      </c>
    </row>
    <row r="325" spans="2:11" ht="15" customHeight="1" x14ac:dyDescent="0.35">
      <c r="B325" t="str">
        <f>IF($A325="","",IFERROR(VLOOKUP($A325,Enquiry!$A:$K,3,0),"-"))</f>
        <v/>
      </c>
      <c r="C325" t="str">
        <f>IF($A325="","",IFERROR(VLOOKUP($A325,Enquiry!$A:$K,4,0),"-"))</f>
        <v/>
      </c>
      <c r="D325" t="str">
        <f>IF($A325="","",IFERROR(VLOOKUP($A325,Enquiry!$A:$K,5,0),"-"))</f>
        <v/>
      </c>
      <c r="E325" s="9"/>
      <c r="F325" s="9"/>
      <c r="G325" s="6"/>
      <c r="K325" s="10" t="str">
        <f t="shared" si="4"/>
        <v/>
      </c>
    </row>
    <row r="326" spans="2:11" ht="15" customHeight="1" x14ac:dyDescent="0.35">
      <c r="B326" t="str">
        <f>IF($A326="","",IFERROR(VLOOKUP($A326,Enquiry!$A:$K,3,0),"-"))</f>
        <v/>
      </c>
      <c r="C326" t="str">
        <f>IF($A326="","",IFERROR(VLOOKUP($A326,Enquiry!$A:$K,4,0),"-"))</f>
        <v/>
      </c>
      <c r="D326" t="str">
        <f>IF($A326="","",IFERROR(VLOOKUP($A326,Enquiry!$A:$K,5,0),"-"))</f>
        <v/>
      </c>
      <c r="E326" s="9"/>
      <c r="F326" s="9"/>
      <c r="G326" s="6"/>
      <c r="K326" s="10" t="str">
        <f t="shared" si="4"/>
        <v/>
      </c>
    </row>
    <row r="327" spans="2:11" ht="15" customHeight="1" x14ac:dyDescent="0.35">
      <c r="B327" t="str">
        <f>IF($A327="","",IFERROR(VLOOKUP($A327,Enquiry!$A:$K,3,0),"-"))</f>
        <v/>
      </c>
      <c r="C327" t="str">
        <f>IF($A327="","",IFERROR(VLOOKUP($A327,Enquiry!$A:$K,4,0),"-"))</f>
        <v/>
      </c>
      <c r="D327" t="str">
        <f>IF($A327="","",IFERROR(VLOOKUP($A327,Enquiry!$A:$K,5,0),"-"))</f>
        <v/>
      </c>
      <c r="E327" s="9"/>
      <c r="F327" s="9"/>
      <c r="G327" s="6"/>
      <c r="K327" s="10" t="str">
        <f t="shared" si="4"/>
        <v/>
      </c>
    </row>
    <row r="328" spans="2:11" ht="15" customHeight="1" x14ac:dyDescent="0.35">
      <c r="B328" t="str">
        <f>IF($A328="","",IFERROR(VLOOKUP($A328,Enquiry!$A:$K,3,0),"-"))</f>
        <v/>
      </c>
      <c r="C328" t="str">
        <f>IF($A328="","",IFERROR(VLOOKUP($A328,Enquiry!$A:$K,4,0),"-"))</f>
        <v/>
      </c>
      <c r="D328" t="str">
        <f>IF($A328="","",IFERROR(VLOOKUP($A328,Enquiry!$A:$K,5,0),"-"))</f>
        <v/>
      </c>
      <c r="E328" s="9"/>
      <c r="F328" s="9"/>
      <c r="G328" s="6"/>
      <c r="K328" s="10" t="str">
        <f t="shared" si="4"/>
        <v/>
      </c>
    </row>
    <row r="329" spans="2:11" ht="15" customHeight="1" x14ac:dyDescent="0.35">
      <c r="B329" t="str">
        <f>IF($A329="","",IFERROR(VLOOKUP($A329,Enquiry!$A:$K,3,0),"-"))</f>
        <v/>
      </c>
      <c r="C329" t="str">
        <f>IF($A329="","",IFERROR(VLOOKUP($A329,Enquiry!$A:$K,4,0),"-"))</f>
        <v/>
      </c>
      <c r="D329" t="str">
        <f>IF($A329="","",IFERROR(VLOOKUP($A329,Enquiry!$A:$K,5,0),"-"))</f>
        <v/>
      </c>
      <c r="E329" s="9"/>
      <c r="F329" s="9"/>
      <c r="G329" s="6"/>
      <c r="K329" s="10" t="str">
        <f t="shared" si="4"/>
        <v/>
      </c>
    </row>
    <row r="330" spans="2:11" ht="15" customHeight="1" x14ac:dyDescent="0.35">
      <c r="B330" t="str">
        <f>IF($A330="","",IFERROR(VLOOKUP($A330,Enquiry!$A:$K,3,0),"-"))</f>
        <v/>
      </c>
      <c r="C330" t="str">
        <f>IF($A330="","",IFERROR(VLOOKUP($A330,Enquiry!$A:$K,4,0),"-"))</f>
        <v/>
      </c>
      <c r="D330" t="str">
        <f>IF($A330="","",IFERROR(VLOOKUP($A330,Enquiry!$A:$K,5,0),"-"))</f>
        <v/>
      </c>
      <c r="E330" s="9"/>
      <c r="F330" s="9"/>
      <c r="G330" s="6"/>
      <c r="K330" s="10" t="str">
        <f t="shared" si="4"/>
        <v/>
      </c>
    </row>
    <row r="331" spans="2:11" ht="15" customHeight="1" x14ac:dyDescent="0.35">
      <c r="B331" t="str">
        <f>IF($A331="","",IFERROR(VLOOKUP($A331,Enquiry!$A:$K,3,0),"-"))</f>
        <v/>
      </c>
      <c r="C331" t="str">
        <f>IF($A331="","",IFERROR(VLOOKUP($A331,Enquiry!$A:$K,4,0),"-"))</f>
        <v/>
      </c>
      <c r="D331" t="str">
        <f>IF($A331="","",IFERROR(VLOOKUP($A331,Enquiry!$A:$K,5,0),"-"))</f>
        <v/>
      </c>
      <c r="E331" s="9"/>
      <c r="F331" s="9"/>
      <c r="G331" s="6"/>
      <c r="K331" s="10" t="str">
        <f t="shared" si="4"/>
        <v/>
      </c>
    </row>
    <row r="332" spans="2:11" ht="15" customHeight="1" x14ac:dyDescent="0.35">
      <c r="B332" t="str">
        <f>IF($A332="","",IFERROR(VLOOKUP($A332,Enquiry!$A:$K,3,0),"-"))</f>
        <v/>
      </c>
      <c r="C332" t="str">
        <f>IF($A332="","",IFERROR(VLOOKUP($A332,Enquiry!$A:$K,4,0),"-"))</f>
        <v/>
      </c>
      <c r="D332" t="str">
        <f>IF($A332="","",IFERROR(VLOOKUP($A332,Enquiry!$A:$K,5,0),"-"))</f>
        <v/>
      </c>
      <c r="E332" s="9"/>
      <c r="F332" s="9"/>
      <c r="G332" s="6"/>
      <c r="K332" s="10" t="str">
        <f t="shared" si="4"/>
        <v/>
      </c>
    </row>
    <row r="333" spans="2:11" ht="15" customHeight="1" x14ac:dyDescent="0.35">
      <c r="B333" t="str">
        <f>IF($A333="","",IFERROR(VLOOKUP($A333,Enquiry!$A:$K,3,0),"-"))</f>
        <v/>
      </c>
      <c r="C333" t="str">
        <f>IF($A333="","",IFERROR(VLOOKUP($A333,Enquiry!$A:$K,4,0),"-"))</f>
        <v/>
      </c>
      <c r="D333" t="str">
        <f>IF($A333="","",IFERROR(VLOOKUP($A333,Enquiry!$A:$K,5,0),"-"))</f>
        <v/>
      </c>
      <c r="E333" s="9"/>
      <c r="F333" s="9"/>
      <c r="G333" s="6"/>
      <c r="K333" s="10" t="str">
        <f t="shared" si="4"/>
        <v/>
      </c>
    </row>
    <row r="334" spans="2:11" ht="15" customHeight="1" x14ac:dyDescent="0.35">
      <c r="B334" t="str">
        <f>IF($A334="","",IFERROR(VLOOKUP($A334,Enquiry!$A:$K,3,0),"-"))</f>
        <v/>
      </c>
      <c r="C334" t="str">
        <f>IF($A334="","",IFERROR(VLOOKUP($A334,Enquiry!$A:$K,4,0),"-"))</f>
        <v/>
      </c>
      <c r="D334" t="str">
        <f>IF($A334="","",IFERROR(VLOOKUP($A334,Enquiry!$A:$K,5,0),"-"))</f>
        <v/>
      </c>
      <c r="E334" s="9"/>
      <c r="F334" s="9"/>
      <c r="G334" s="6"/>
      <c r="K334" s="10" t="str">
        <f t="shared" si="4"/>
        <v/>
      </c>
    </row>
    <row r="335" spans="2:11" ht="15" customHeight="1" x14ac:dyDescent="0.35">
      <c r="B335" t="str">
        <f>IF($A335="","",IFERROR(VLOOKUP($A335,Enquiry!$A:$K,3,0),"-"))</f>
        <v/>
      </c>
      <c r="C335" t="str">
        <f>IF($A335="","",IFERROR(VLOOKUP($A335,Enquiry!$A:$K,4,0),"-"))</f>
        <v/>
      </c>
      <c r="D335" t="str">
        <f>IF($A335="","",IFERROR(VLOOKUP($A335,Enquiry!$A:$K,5,0),"-"))</f>
        <v/>
      </c>
      <c r="E335" s="9"/>
      <c r="F335" s="9"/>
      <c r="G335" s="6"/>
      <c r="K335" s="10" t="str">
        <f t="shared" si="4"/>
        <v/>
      </c>
    </row>
    <row r="336" spans="2:11" ht="15" customHeight="1" x14ac:dyDescent="0.35">
      <c r="B336" t="str">
        <f>IF($A336="","",IFERROR(VLOOKUP($A336,Enquiry!$A:$K,3,0),"-"))</f>
        <v/>
      </c>
      <c r="C336" t="str">
        <f>IF($A336="","",IFERROR(VLOOKUP($A336,Enquiry!$A:$K,4,0),"-"))</f>
        <v/>
      </c>
      <c r="D336" t="str">
        <f>IF($A336="","",IFERROR(VLOOKUP($A336,Enquiry!$A:$K,5,0),"-"))</f>
        <v/>
      </c>
      <c r="E336" s="9"/>
      <c r="F336" s="9"/>
      <c r="G336" s="6"/>
      <c r="K336" s="10" t="str">
        <f t="shared" si="4"/>
        <v/>
      </c>
    </row>
    <row r="337" spans="2:11" ht="15" customHeight="1" x14ac:dyDescent="0.35">
      <c r="B337" t="str">
        <f>IF($A337="","",IFERROR(VLOOKUP($A337,Enquiry!$A:$K,3,0),"-"))</f>
        <v/>
      </c>
      <c r="C337" t="str">
        <f>IF($A337="","",IFERROR(VLOOKUP($A337,Enquiry!$A:$K,4,0),"-"))</f>
        <v/>
      </c>
      <c r="D337" t="str">
        <f>IF($A337="","",IFERROR(VLOOKUP($A337,Enquiry!$A:$K,5,0),"-"))</f>
        <v/>
      </c>
      <c r="E337" s="9"/>
      <c r="F337" s="9"/>
      <c r="G337" s="6"/>
      <c r="K337" s="10" t="str">
        <f t="shared" si="4"/>
        <v/>
      </c>
    </row>
    <row r="338" spans="2:11" ht="15" customHeight="1" x14ac:dyDescent="0.35">
      <c r="B338" t="str">
        <f>IF($A338="","",IFERROR(VLOOKUP($A338,Enquiry!$A:$K,3,0),"-"))</f>
        <v/>
      </c>
      <c r="C338" t="str">
        <f>IF($A338="","",IFERROR(VLOOKUP($A338,Enquiry!$A:$K,4,0),"-"))</f>
        <v/>
      </c>
      <c r="D338" t="str">
        <f>IF($A338="","",IFERROR(VLOOKUP($A338,Enquiry!$A:$K,5,0),"-"))</f>
        <v/>
      </c>
      <c r="E338" s="9"/>
      <c r="F338" s="9"/>
      <c r="G338" s="6"/>
      <c r="K338" s="10" t="str">
        <f t="shared" si="4"/>
        <v/>
      </c>
    </row>
    <row r="339" spans="2:11" ht="15" customHeight="1" x14ac:dyDescent="0.35">
      <c r="B339" t="str">
        <f>IF($A339="","",IFERROR(VLOOKUP($A339,Enquiry!$A:$K,3,0),"-"))</f>
        <v/>
      </c>
      <c r="C339" t="str">
        <f>IF($A339="","",IFERROR(VLOOKUP($A339,Enquiry!$A:$K,4,0),"-"))</f>
        <v/>
      </c>
      <c r="D339" t="str">
        <f>IF($A339="","",IFERROR(VLOOKUP($A339,Enquiry!$A:$K,5,0),"-"))</f>
        <v/>
      </c>
      <c r="E339" s="9"/>
      <c r="F339" s="9"/>
      <c r="G339" s="6"/>
      <c r="K339" s="10" t="str">
        <f t="shared" si="4"/>
        <v/>
      </c>
    </row>
    <row r="340" spans="2:11" ht="15" customHeight="1" x14ac:dyDescent="0.35">
      <c r="B340" t="str">
        <f>IF($A340="","",IFERROR(VLOOKUP($A340,Enquiry!$A:$K,3,0),"-"))</f>
        <v/>
      </c>
      <c r="C340" t="str">
        <f>IF($A340="","",IFERROR(VLOOKUP($A340,Enquiry!$A:$K,4,0),"-"))</f>
        <v/>
      </c>
      <c r="D340" t="str">
        <f>IF($A340="","",IFERROR(VLOOKUP($A340,Enquiry!$A:$K,5,0),"-"))</f>
        <v/>
      </c>
      <c r="E340" s="9"/>
      <c r="F340" s="9"/>
      <c r="G340" s="6"/>
      <c r="K340" s="10" t="str">
        <f t="shared" si="4"/>
        <v/>
      </c>
    </row>
    <row r="341" spans="2:11" ht="15" customHeight="1" x14ac:dyDescent="0.35">
      <c r="B341" t="str">
        <f>IF($A341="","",IFERROR(VLOOKUP($A341,Enquiry!$A:$K,3,0),"-"))</f>
        <v/>
      </c>
      <c r="C341" t="str">
        <f>IF($A341="","",IFERROR(VLOOKUP($A341,Enquiry!$A:$K,4,0),"-"))</f>
        <v/>
      </c>
      <c r="D341" t="str">
        <f>IF($A341="","",IFERROR(VLOOKUP($A341,Enquiry!$A:$K,5,0),"-"))</f>
        <v/>
      </c>
      <c r="E341" s="9"/>
      <c r="F341" s="9"/>
      <c r="G341" s="6"/>
      <c r="K341" s="10" t="str">
        <f t="shared" si="4"/>
        <v/>
      </c>
    </row>
    <row r="342" spans="2:11" ht="15" customHeight="1" x14ac:dyDescent="0.35">
      <c r="B342" t="str">
        <f>IF($A342="","",IFERROR(VLOOKUP($A342,Enquiry!$A:$K,3,0),"-"))</f>
        <v/>
      </c>
      <c r="C342" t="str">
        <f>IF($A342="","",IFERROR(VLOOKUP($A342,Enquiry!$A:$K,4,0),"-"))</f>
        <v/>
      </c>
      <c r="D342" t="str">
        <f>IF($A342="","",IFERROR(VLOOKUP($A342,Enquiry!$A:$K,5,0),"-"))</f>
        <v/>
      </c>
      <c r="E342" s="9"/>
      <c r="F342" s="9"/>
      <c r="G342" s="6"/>
      <c r="K342" s="10" t="str">
        <f t="shared" si="4"/>
        <v/>
      </c>
    </row>
    <row r="343" spans="2:11" ht="15" customHeight="1" x14ac:dyDescent="0.35">
      <c r="B343" t="str">
        <f>IF($A343="","",IFERROR(VLOOKUP($A343,Enquiry!$A:$K,3,0),"-"))</f>
        <v/>
      </c>
      <c r="C343" t="str">
        <f>IF($A343="","",IFERROR(VLOOKUP($A343,Enquiry!$A:$K,4,0),"-"))</f>
        <v/>
      </c>
      <c r="D343" t="str">
        <f>IF($A343="","",IFERROR(VLOOKUP($A343,Enquiry!$A:$K,5,0),"-"))</f>
        <v/>
      </c>
      <c r="E343" s="9"/>
      <c r="F343" s="9"/>
      <c r="G343" s="6"/>
      <c r="K343" s="10" t="str">
        <f t="shared" si="4"/>
        <v/>
      </c>
    </row>
    <row r="344" spans="2:11" ht="15" customHeight="1" x14ac:dyDescent="0.35">
      <c r="B344" t="str">
        <f>IF($A344="","",IFERROR(VLOOKUP($A344,Enquiry!$A:$K,3,0),"-"))</f>
        <v/>
      </c>
      <c r="C344" t="str">
        <f>IF($A344="","",IFERROR(VLOOKUP($A344,Enquiry!$A:$K,4,0),"-"))</f>
        <v/>
      </c>
      <c r="D344" t="str">
        <f>IF($A344="","",IFERROR(VLOOKUP($A344,Enquiry!$A:$K,5,0),"-"))</f>
        <v/>
      </c>
      <c r="E344" s="9"/>
      <c r="F344" s="9"/>
      <c r="G344" s="6"/>
      <c r="K344" s="10" t="str">
        <f t="shared" si="4"/>
        <v/>
      </c>
    </row>
    <row r="345" spans="2:11" ht="15" customHeight="1" x14ac:dyDescent="0.35">
      <c r="B345" t="str">
        <f>IF($A345="","",IFERROR(VLOOKUP($A345,Enquiry!$A:$K,3,0),"-"))</f>
        <v/>
      </c>
      <c r="C345" t="str">
        <f>IF($A345="","",IFERROR(VLOOKUP($A345,Enquiry!$A:$K,4,0),"-"))</f>
        <v/>
      </c>
      <c r="D345" t="str">
        <f>IF($A345="","",IFERROR(VLOOKUP($A345,Enquiry!$A:$K,5,0),"-"))</f>
        <v/>
      </c>
      <c r="E345" s="9"/>
      <c r="F345" s="9"/>
      <c r="G345" s="6"/>
      <c r="K345" s="10" t="str">
        <f t="shared" si="4"/>
        <v/>
      </c>
    </row>
    <row r="346" spans="2:11" ht="15" customHeight="1" x14ac:dyDescent="0.35">
      <c r="B346" t="str">
        <f>IF($A346="","",IFERROR(VLOOKUP($A346,Enquiry!$A:$K,3,0),"-"))</f>
        <v/>
      </c>
      <c r="C346" t="str">
        <f>IF($A346="","",IFERROR(VLOOKUP($A346,Enquiry!$A:$K,4,0),"-"))</f>
        <v/>
      </c>
      <c r="D346" t="str">
        <f>IF($A346="","",IFERROR(VLOOKUP($A346,Enquiry!$A:$K,5,0),"-"))</f>
        <v/>
      </c>
      <c r="E346" s="9"/>
      <c r="F346" s="9"/>
      <c r="G346" s="6"/>
      <c r="K346" s="10" t="str">
        <f t="shared" si="4"/>
        <v/>
      </c>
    </row>
    <row r="347" spans="2:11" ht="15" customHeight="1" x14ac:dyDescent="0.35">
      <c r="B347" t="str">
        <f>IF($A347="","",IFERROR(VLOOKUP($A347,Enquiry!$A:$K,3,0),"-"))</f>
        <v/>
      </c>
      <c r="C347" t="str">
        <f>IF($A347="","",IFERROR(VLOOKUP($A347,Enquiry!$A:$K,4,0),"-"))</f>
        <v/>
      </c>
      <c r="D347" t="str">
        <f>IF($A347="","",IFERROR(VLOOKUP($A347,Enquiry!$A:$K,5,0),"-"))</f>
        <v/>
      </c>
      <c r="E347" s="9"/>
      <c r="F347" s="9"/>
      <c r="G347" s="6"/>
      <c r="K347" s="10" t="str">
        <f t="shared" si="4"/>
        <v/>
      </c>
    </row>
    <row r="348" spans="2:11" ht="15" customHeight="1" x14ac:dyDescent="0.35">
      <c r="B348" t="str">
        <f>IF($A348="","",IFERROR(VLOOKUP($A348,Enquiry!$A:$K,3,0),"-"))</f>
        <v/>
      </c>
      <c r="C348" t="str">
        <f>IF($A348="","",IFERROR(VLOOKUP($A348,Enquiry!$A:$K,4,0),"-"))</f>
        <v/>
      </c>
      <c r="D348" t="str">
        <f>IF($A348="","",IFERROR(VLOOKUP($A348,Enquiry!$A:$K,5,0),"-"))</f>
        <v/>
      </c>
      <c r="E348" s="9"/>
      <c r="F348" s="9"/>
      <c r="G348" s="6"/>
      <c r="K348" s="10" t="str">
        <f t="shared" si="4"/>
        <v/>
      </c>
    </row>
    <row r="349" spans="2:11" ht="15" customHeight="1" x14ac:dyDescent="0.35">
      <c r="B349" t="str">
        <f>IF($A349="","",IFERROR(VLOOKUP($A349,Enquiry!$A:$K,3,0),"-"))</f>
        <v/>
      </c>
      <c r="C349" t="str">
        <f>IF($A349="","",IFERROR(VLOOKUP($A349,Enquiry!$A:$K,4,0),"-"))</f>
        <v/>
      </c>
      <c r="D349" t="str">
        <f>IF($A349="","",IFERROR(VLOOKUP($A349,Enquiry!$A:$K,5,0),"-"))</f>
        <v/>
      </c>
      <c r="E349" s="9"/>
      <c r="F349" s="9"/>
      <c r="G349" s="6"/>
      <c r="K349" s="10" t="str">
        <f t="shared" si="4"/>
        <v/>
      </c>
    </row>
    <row r="350" spans="2:11" ht="15" customHeight="1" x14ac:dyDescent="0.35">
      <c r="B350" t="str">
        <f>IF($A350="","",IFERROR(VLOOKUP($A350,Enquiry!$A:$K,3,0),"-"))</f>
        <v/>
      </c>
      <c r="C350" t="str">
        <f>IF($A350="","",IFERROR(VLOOKUP($A350,Enquiry!$A:$K,4,0),"-"))</f>
        <v/>
      </c>
      <c r="D350" t="str">
        <f>IF($A350="","",IFERROR(VLOOKUP($A350,Enquiry!$A:$K,5,0),"-"))</f>
        <v/>
      </c>
      <c r="E350" s="9"/>
      <c r="F350" s="9"/>
      <c r="G350" s="6"/>
      <c r="K350" s="10" t="str">
        <f t="shared" si="4"/>
        <v/>
      </c>
    </row>
    <row r="351" spans="2:11" ht="15" customHeight="1" x14ac:dyDescent="0.35">
      <c r="B351" t="str">
        <f>IF($A351="","",IFERROR(VLOOKUP($A351,Enquiry!$A:$K,3,0),"-"))</f>
        <v/>
      </c>
      <c r="C351" t="str">
        <f>IF($A351="","",IFERROR(VLOOKUP($A351,Enquiry!$A:$K,4,0),"-"))</f>
        <v/>
      </c>
      <c r="D351" t="str">
        <f>IF($A351="","",IFERROR(VLOOKUP($A351,Enquiry!$A:$K,5,0),"-"))</f>
        <v/>
      </c>
      <c r="E351" s="9"/>
      <c r="F351" s="9"/>
      <c r="G351" s="6"/>
      <c r="K351" s="10" t="str">
        <f t="shared" si="4"/>
        <v/>
      </c>
    </row>
    <row r="352" spans="2:11" ht="15" customHeight="1" x14ac:dyDescent="0.35">
      <c r="B352" t="str">
        <f>IF($A352="","",IFERROR(VLOOKUP($A352,Enquiry!$A:$K,3,0),"-"))</f>
        <v/>
      </c>
      <c r="C352" t="str">
        <f>IF($A352="","",IFERROR(VLOOKUP($A352,Enquiry!$A:$K,4,0),"-"))</f>
        <v/>
      </c>
      <c r="D352" t="str">
        <f>IF($A352="","",IFERROR(VLOOKUP($A352,Enquiry!$A:$K,5,0),"-"))</f>
        <v/>
      </c>
      <c r="E352" s="9"/>
      <c r="F352" s="9"/>
      <c r="G352" s="6"/>
      <c r="K352" s="10" t="str">
        <f t="shared" si="4"/>
        <v/>
      </c>
    </row>
    <row r="353" spans="2:11" ht="15" customHeight="1" x14ac:dyDescent="0.35">
      <c r="B353" t="str">
        <f>IF($A353="","",IFERROR(VLOOKUP($A353,Enquiry!$A:$K,3,0),"-"))</f>
        <v/>
      </c>
      <c r="C353" t="str">
        <f>IF($A353="","",IFERROR(VLOOKUP($A353,Enquiry!$A:$K,4,0),"-"))</f>
        <v/>
      </c>
      <c r="D353" t="str">
        <f>IF($A353="","",IFERROR(VLOOKUP($A353,Enquiry!$A:$K,5,0),"-"))</f>
        <v/>
      </c>
      <c r="E353" s="9"/>
      <c r="F353" s="9"/>
      <c r="G353" s="6"/>
      <c r="K353" s="10" t="str">
        <f t="shared" ref="K353:K416" si="5">IF(A353="","",IF(H353="Win","✅ Move to PO Workflow","⬜ Not Won Yet"))</f>
        <v/>
      </c>
    </row>
    <row r="354" spans="2:11" ht="15" customHeight="1" x14ac:dyDescent="0.35">
      <c r="B354" t="str">
        <f>IF($A354="","",IFERROR(VLOOKUP($A354,Enquiry!$A:$K,3,0),"-"))</f>
        <v/>
      </c>
      <c r="C354" t="str">
        <f>IF($A354="","",IFERROR(VLOOKUP($A354,Enquiry!$A:$K,4,0),"-"))</f>
        <v/>
      </c>
      <c r="D354" t="str">
        <f>IF($A354="","",IFERROR(VLOOKUP($A354,Enquiry!$A:$K,5,0),"-"))</f>
        <v/>
      </c>
      <c r="E354" s="9"/>
      <c r="F354" s="9"/>
      <c r="G354" s="6"/>
      <c r="K354" s="10" t="str">
        <f t="shared" si="5"/>
        <v/>
      </c>
    </row>
    <row r="355" spans="2:11" ht="15" customHeight="1" x14ac:dyDescent="0.35">
      <c r="B355" t="str">
        <f>IF($A355="","",IFERROR(VLOOKUP($A355,Enquiry!$A:$K,3,0),"-"))</f>
        <v/>
      </c>
      <c r="C355" t="str">
        <f>IF($A355="","",IFERROR(VLOOKUP($A355,Enquiry!$A:$K,4,0),"-"))</f>
        <v/>
      </c>
      <c r="D355" t="str">
        <f>IF($A355="","",IFERROR(VLOOKUP($A355,Enquiry!$A:$K,5,0),"-"))</f>
        <v/>
      </c>
      <c r="E355" s="9"/>
      <c r="F355" s="9"/>
      <c r="G355" s="6"/>
      <c r="K355" s="10" t="str">
        <f t="shared" si="5"/>
        <v/>
      </c>
    </row>
    <row r="356" spans="2:11" ht="15" customHeight="1" x14ac:dyDescent="0.35">
      <c r="B356" t="str">
        <f>IF($A356="","",IFERROR(VLOOKUP($A356,Enquiry!$A:$K,3,0),"-"))</f>
        <v/>
      </c>
      <c r="C356" t="str">
        <f>IF($A356="","",IFERROR(VLOOKUP($A356,Enquiry!$A:$K,4,0),"-"))</f>
        <v/>
      </c>
      <c r="D356" t="str">
        <f>IF($A356="","",IFERROR(VLOOKUP($A356,Enquiry!$A:$K,5,0),"-"))</f>
        <v/>
      </c>
      <c r="E356" s="9"/>
      <c r="F356" s="9"/>
      <c r="G356" s="6"/>
      <c r="K356" s="10" t="str">
        <f t="shared" si="5"/>
        <v/>
      </c>
    </row>
    <row r="357" spans="2:11" ht="15" customHeight="1" x14ac:dyDescent="0.35">
      <c r="B357" t="str">
        <f>IF($A357="","",IFERROR(VLOOKUP($A357,Enquiry!$A:$K,3,0),"-"))</f>
        <v/>
      </c>
      <c r="C357" t="str">
        <f>IF($A357="","",IFERROR(VLOOKUP($A357,Enquiry!$A:$K,4,0),"-"))</f>
        <v/>
      </c>
      <c r="D357" t="str">
        <f>IF($A357="","",IFERROR(VLOOKUP($A357,Enquiry!$A:$K,5,0),"-"))</f>
        <v/>
      </c>
      <c r="E357" s="9"/>
      <c r="F357" s="9"/>
      <c r="G357" s="6"/>
      <c r="K357" s="10" t="str">
        <f t="shared" si="5"/>
        <v/>
      </c>
    </row>
    <row r="358" spans="2:11" ht="15" customHeight="1" x14ac:dyDescent="0.35">
      <c r="B358" t="str">
        <f>IF($A358="","",IFERROR(VLOOKUP($A358,Enquiry!$A:$K,3,0),"-"))</f>
        <v/>
      </c>
      <c r="C358" t="str">
        <f>IF($A358="","",IFERROR(VLOOKUP($A358,Enquiry!$A:$K,4,0),"-"))</f>
        <v/>
      </c>
      <c r="D358" t="str">
        <f>IF($A358="","",IFERROR(VLOOKUP($A358,Enquiry!$A:$K,5,0),"-"))</f>
        <v/>
      </c>
      <c r="E358" s="9"/>
      <c r="F358" s="9"/>
      <c r="G358" s="6"/>
      <c r="K358" s="10" t="str">
        <f t="shared" si="5"/>
        <v/>
      </c>
    </row>
    <row r="359" spans="2:11" ht="15" customHeight="1" x14ac:dyDescent="0.35">
      <c r="B359" t="str">
        <f>IF($A359="","",IFERROR(VLOOKUP($A359,Enquiry!$A:$K,3,0),"-"))</f>
        <v/>
      </c>
      <c r="C359" t="str">
        <f>IF($A359="","",IFERROR(VLOOKUP($A359,Enquiry!$A:$K,4,0),"-"))</f>
        <v/>
      </c>
      <c r="D359" t="str">
        <f>IF($A359="","",IFERROR(VLOOKUP($A359,Enquiry!$A:$K,5,0),"-"))</f>
        <v/>
      </c>
      <c r="E359" s="9"/>
      <c r="F359" s="9"/>
      <c r="G359" s="6"/>
      <c r="K359" s="10" t="str">
        <f t="shared" si="5"/>
        <v/>
      </c>
    </row>
    <row r="360" spans="2:11" ht="15" customHeight="1" x14ac:dyDescent="0.35">
      <c r="B360" t="str">
        <f>IF($A360="","",IFERROR(VLOOKUP($A360,Enquiry!$A:$K,3,0),"-"))</f>
        <v/>
      </c>
      <c r="C360" t="str">
        <f>IF($A360="","",IFERROR(VLOOKUP($A360,Enquiry!$A:$K,4,0),"-"))</f>
        <v/>
      </c>
      <c r="D360" t="str">
        <f>IF($A360="","",IFERROR(VLOOKUP($A360,Enquiry!$A:$K,5,0),"-"))</f>
        <v/>
      </c>
      <c r="E360" s="9"/>
      <c r="F360" s="9"/>
      <c r="G360" s="6"/>
      <c r="K360" s="10" t="str">
        <f t="shared" si="5"/>
        <v/>
      </c>
    </row>
    <row r="361" spans="2:11" ht="15" customHeight="1" x14ac:dyDescent="0.35">
      <c r="B361" t="str">
        <f>IF($A361="","",IFERROR(VLOOKUP($A361,Enquiry!$A:$K,3,0),"-"))</f>
        <v/>
      </c>
      <c r="C361" t="str">
        <f>IF($A361="","",IFERROR(VLOOKUP($A361,Enquiry!$A:$K,4,0),"-"))</f>
        <v/>
      </c>
      <c r="D361" t="str">
        <f>IF($A361="","",IFERROR(VLOOKUP($A361,Enquiry!$A:$K,5,0),"-"))</f>
        <v/>
      </c>
      <c r="E361" s="9"/>
      <c r="F361" s="9"/>
      <c r="G361" s="6"/>
      <c r="K361" s="10" t="str">
        <f t="shared" si="5"/>
        <v/>
      </c>
    </row>
    <row r="362" spans="2:11" ht="15" customHeight="1" x14ac:dyDescent="0.35">
      <c r="B362" t="str">
        <f>IF($A362="","",IFERROR(VLOOKUP($A362,Enquiry!$A:$K,3,0),"-"))</f>
        <v/>
      </c>
      <c r="C362" t="str">
        <f>IF($A362="","",IFERROR(VLOOKUP($A362,Enquiry!$A:$K,4,0),"-"))</f>
        <v/>
      </c>
      <c r="D362" t="str">
        <f>IF($A362="","",IFERROR(VLOOKUP($A362,Enquiry!$A:$K,5,0),"-"))</f>
        <v/>
      </c>
      <c r="E362" s="9"/>
      <c r="F362" s="9"/>
      <c r="G362" s="6"/>
      <c r="K362" s="10" t="str">
        <f t="shared" si="5"/>
        <v/>
      </c>
    </row>
    <row r="363" spans="2:11" ht="15" customHeight="1" x14ac:dyDescent="0.35">
      <c r="B363" t="str">
        <f>IF($A363="","",IFERROR(VLOOKUP($A363,Enquiry!$A:$K,3,0),"-"))</f>
        <v/>
      </c>
      <c r="C363" t="str">
        <f>IF($A363="","",IFERROR(VLOOKUP($A363,Enquiry!$A:$K,4,0),"-"))</f>
        <v/>
      </c>
      <c r="D363" t="str">
        <f>IF($A363="","",IFERROR(VLOOKUP($A363,Enquiry!$A:$K,5,0),"-"))</f>
        <v/>
      </c>
      <c r="E363" s="9"/>
      <c r="F363" s="9"/>
      <c r="G363" s="6"/>
      <c r="K363" s="10" t="str">
        <f t="shared" si="5"/>
        <v/>
      </c>
    </row>
    <row r="364" spans="2:11" ht="15" customHeight="1" x14ac:dyDescent="0.35">
      <c r="B364" t="str">
        <f>IF($A364="","",IFERROR(VLOOKUP($A364,Enquiry!$A:$K,3,0),"-"))</f>
        <v/>
      </c>
      <c r="C364" t="str">
        <f>IF($A364="","",IFERROR(VLOOKUP($A364,Enquiry!$A:$K,4,0),"-"))</f>
        <v/>
      </c>
      <c r="D364" t="str">
        <f>IF($A364="","",IFERROR(VLOOKUP($A364,Enquiry!$A:$K,5,0),"-"))</f>
        <v/>
      </c>
      <c r="E364" s="9"/>
      <c r="F364" s="9"/>
      <c r="G364" s="6"/>
      <c r="K364" s="10" t="str">
        <f t="shared" si="5"/>
        <v/>
      </c>
    </row>
    <row r="365" spans="2:11" ht="15" customHeight="1" x14ac:dyDescent="0.35">
      <c r="B365" t="str">
        <f>IF($A365="","",IFERROR(VLOOKUP($A365,Enquiry!$A:$K,3,0),"-"))</f>
        <v/>
      </c>
      <c r="C365" t="str">
        <f>IF($A365="","",IFERROR(VLOOKUP($A365,Enquiry!$A:$K,4,0),"-"))</f>
        <v/>
      </c>
      <c r="D365" t="str">
        <f>IF($A365="","",IFERROR(VLOOKUP($A365,Enquiry!$A:$K,5,0),"-"))</f>
        <v/>
      </c>
      <c r="E365" s="9"/>
      <c r="F365" s="9"/>
      <c r="G365" s="6"/>
      <c r="K365" s="10" t="str">
        <f t="shared" si="5"/>
        <v/>
      </c>
    </row>
    <row r="366" spans="2:11" ht="15" customHeight="1" x14ac:dyDescent="0.35">
      <c r="B366" t="str">
        <f>IF($A366="","",IFERROR(VLOOKUP($A366,Enquiry!$A:$K,3,0),"-"))</f>
        <v/>
      </c>
      <c r="C366" t="str">
        <f>IF($A366="","",IFERROR(VLOOKUP($A366,Enquiry!$A:$K,4,0),"-"))</f>
        <v/>
      </c>
      <c r="D366" t="str">
        <f>IF($A366="","",IFERROR(VLOOKUP($A366,Enquiry!$A:$K,5,0),"-"))</f>
        <v/>
      </c>
      <c r="E366" s="9"/>
      <c r="F366" s="9"/>
      <c r="G366" s="6"/>
      <c r="K366" s="10" t="str">
        <f t="shared" si="5"/>
        <v/>
      </c>
    </row>
    <row r="367" spans="2:11" ht="15" customHeight="1" x14ac:dyDescent="0.35">
      <c r="B367" t="str">
        <f>IF($A367="","",IFERROR(VLOOKUP($A367,Enquiry!$A:$K,3,0),"-"))</f>
        <v/>
      </c>
      <c r="C367" t="str">
        <f>IF($A367="","",IFERROR(VLOOKUP($A367,Enquiry!$A:$K,4,0),"-"))</f>
        <v/>
      </c>
      <c r="D367" t="str">
        <f>IF($A367="","",IFERROR(VLOOKUP($A367,Enquiry!$A:$K,5,0),"-"))</f>
        <v/>
      </c>
      <c r="E367" s="9"/>
      <c r="F367" s="9"/>
      <c r="G367" s="6"/>
      <c r="K367" s="10" t="str">
        <f t="shared" si="5"/>
        <v/>
      </c>
    </row>
    <row r="368" spans="2:11" ht="15" customHeight="1" x14ac:dyDescent="0.35">
      <c r="B368" t="str">
        <f>IF($A368="","",IFERROR(VLOOKUP($A368,Enquiry!$A:$K,3,0),"-"))</f>
        <v/>
      </c>
      <c r="C368" t="str">
        <f>IF($A368="","",IFERROR(VLOOKUP($A368,Enquiry!$A:$K,4,0),"-"))</f>
        <v/>
      </c>
      <c r="D368" t="str">
        <f>IF($A368="","",IFERROR(VLOOKUP($A368,Enquiry!$A:$K,5,0),"-"))</f>
        <v/>
      </c>
      <c r="E368" s="9"/>
      <c r="F368" s="9"/>
      <c r="G368" s="6"/>
      <c r="K368" s="10" t="str">
        <f t="shared" si="5"/>
        <v/>
      </c>
    </row>
    <row r="369" spans="2:11" ht="15" customHeight="1" x14ac:dyDescent="0.35">
      <c r="B369" t="str">
        <f>IF($A369="","",IFERROR(VLOOKUP($A369,Enquiry!$A:$K,3,0),"-"))</f>
        <v/>
      </c>
      <c r="C369" t="str">
        <f>IF($A369="","",IFERROR(VLOOKUP($A369,Enquiry!$A:$K,4,0),"-"))</f>
        <v/>
      </c>
      <c r="D369" t="str">
        <f>IF($A369="","",IFERROR(VLOOKUP($A369,Enquiry!$A:$K,5,0),"-"))</f>
        <v/>
      </c>
      <c r="E369" s="9"/>
      <c r="F369" s="9"/>
      <c r="G369" s="6"/>
      <c r="K369" s="10" t="str">
        <f t="shared" si="5"/>
        <v/>
      </c>
    </row>
    <row r="370" spans="2:11" ht="15" customHeight="1" x14ac:dyDescent="0.35">
      <c r="B370" t="str">
        <f>IF($A370="","",IFERROR(VLOOKUP($A370,Enquiry!$A:$K,3,0),"-"))</f>
        <v/>
      </c>
      <c r="C370" t="str">
        <f>IF($A370="","",IFERROR(VLOOKUP($A370,Enquiry!$A:$K,4,0),"-"))</f>
        <v/>
      </c>
      <c r="D370" t="str">
        <f>IF($A370="","",IFERROR(VLOOKUP($A370,Enquiry!$A:$K,5,0),"-"))</f>
        <v/>
      </c>
      <c r="E370" s="9"/>
      <c r="F370" s="9"/>
      <c r="G370" s="6"/>
      <c r="K370" s="10" t="str">
        <f t="shared" si="5"/>
        <v/>
      </c>
    </row>
    <row r="371" spans="2:11" ht="15" customHeight="1" x14ac:dyDescent="0.35">
      <c r="B371" t="str">
        <f>IF($A371="","",IFERROR(VLOOKUP($A371,Enquiry!$A:$K,3,0),"-"))</f>
        <v/>
      </c>
      <c r="C371" t="str">
        <f>IF($A371="","",IFERROR(VLOOKUP($A371,Enquiry!$A:$K,4,0),"-"))</f>
        <v/>
      </c>
      <c r="D371" t="str">
        <f>IF($A371="","",IFERROR(VLOOKUP($A371,Enquiry!$A:$K,5,0),"-"))</f>
        <v/>
      </c>
      <c r="E371" s="9"/>
      <c r="F371" s="9"/>
      <c r="G371" s="6"/>
      <c r="K371" s="10" t="str">
        <f t="shared" si="5"/>
        <v/>
      </c>
    </row>
    <row r="372" spans="2:11" ht="15" customHeight="1" x14ac:dyDescent="0.35">
      <c r="B372" t="str">
        <f>IF($A372="","",IFERROR(VLOOKUP($A372,Enquiry!$A:$K,3,0),"-"))</f>
        <v/>
      </c>
      <c r="C372" t="str">
        <f>IF($A372="","",IFERROR(VLOOKUP($A372,Enquiry!$A:$K,4,0),"-"))</f>
        <v/>
      </c>
      <c r="D372" t="str">
        <f>IF($A372="","",IFERROR(VLOOKUP($A372,Enquiry!$A:$K,5,0),"-"))</f>
        <v/>
      </c>
      <c r="E372" s="9"/>
      <c r="F372" s="9"/>
      <c r="G372" s="6"/>
      <c r="K372" s="10" t="str">
        <f t="shared" si="5"/>
        <v/>
      </c>
    </row>
    <row r="373" spans="2:11" ht="15" customHeight="1" x14ac:dyDescent="0.35">
      <c r="B373" t="str">
        <f>IF($A373="","",IFERROR(VLOOKUP($A373,Enquiry!$A:$K,3,0),"-"))</f>
        <v/>
      </c>
      <c r="C373" t="str">
        <f>IF($A373="","",IFERROR(VLOOKUP($A373,Enquiry!$A:$K,4,0),"-"))</f>
        <v/>
      </c>
      <c r="D373" t="str">
        <f>IF($A373="","",IFERROR(VLOOKUP($A373,Enquiry!$A:$K,5,0),"-"))</f>
        <v/>
      </c>
      <c r="E373" s="9"/>
      <c r="F373" s="9"/>
      <c r="G373" s="6"/>
      <c r="K373" s="10" t="str">
        <f t="shared" si="5"/>
        <v/>
      </c>
    </row>
    <row r="374" spans="2:11" ht="15" customHeight="1" x14ac:dyDescent="0.35">
      <c r="B374" t="str">
        <f>IF($A374="","",IFERROR(VLOOKUP($A374,Enquiry!$A:$K,3,0),"-"))</f>
        <v/>
      </c>
      <c r="C374" t="str">
        <f>IF($A374="","",IFERROR(VLOOKUP($A374,Enquiry!$A:$K,4,0),"-"))</f>
        <v/>
      </c>
      <c r="D374" t="str">
        <f>IF($A374="","",IFERROR(VLOOKUP($A374,Enquiry!$A:$K,5,0),"-"))</f>
        <v/>
      </c>
      <c r="E374" s="9"/>
      <c r="F374" s="9"/>
      <c r="G374" s="6"/>
      <c r="K374" s="10" t="str">
        <f t="shared" si="5"/>
        <v/>
      </c>
    </row>
    <row r="375" spans="2:11" ht="15" customHeight="1" x14ac:dyDescent="0.35">
      <c r="B375" t="str">
        <f>IF($A375="","",IFERROR(VLOOKUP($A375,Enquiry!$A:$K,3,0),"-"))</f>
        <v/>
      </c>
      <c r="C375" t="str">
        <f>IF($A375="","",IFERROR(VLOOKUP($A375,Enquiry!$A:$K,4,0),"-"))</f>
        <v/>
      </c>
      <c r="D375" t="str">
        <f>IF($A375="","",IFERROR(VLOOKUP($A375,Enquiry!$A:$K,5,0),"-"))</f>
        <v/>
      </c>
      <c r="E375" s="9"/>
      <c r="F375" s="9"/>
      <c r="G375" s="6"/>
      <c r="K375" s="10" t="str">
        <f t="shared" si="5"/>
        <v/>
      </c>
    </row>
    <row r="376" spans="2:11" ht="15" customHeight="1" x14ac:dyDescent="0.35">
      <c r="B376" t="str">
        <f>IF($A376="","",IFERROR(VLOOKUP($A376,Enquiry!$A:$K,3,0),"-"))</f>
        <v/>
      </c>
      <c r="C376" t="str">
        <f>IF($A376="","",IFERROR(VLOOKUP($A376,Enquiry!$A:$K,4,0),"-"))</f>
        <v/>
      </c>
      <c r="D376" t="str">
        <f>IF($A376="","",IFERROR(VLOOKUP($A376,Enquiry!$A:$K,5,0),"-"))</f>
        <v/>
      </c>
      <c r="E376" s="9"/>
      <c r="F376" s="9"/>
      <c r="G376" s="6"/>
      <c r="K376" s="10" t="str">
        <f t="shared" si="5"/>
        <v/>
      </c>
    </row>
    <row r="377" spans="2:11" ht="15" customHeight="1" x14ac:dyDescent="0.35">
      <c r="B377" t="str">
        <f>IF($A377="","",IFERROR(VLOOKUP($A377,Enquiry!$A:$K,3,0),"-"))</f>
        <v/>
      </c>
      <c r="C377" t="str">
        <f>IF($A377="","",IFERROR(VLOOKUP($A377,Enquiry!$A:$K,4,0),"-"))</f>
        <v/>
      </c>
      <c r="D377" t="str">
        <f>IF($A377="","",IFERROR(VLOOKUP($A377,Enquiry!$A:$K,5,0),"-"))</f>
        <v/>
      </c>
      <c r="E377" s="9"/>
      <c r="F377" s="9"/>
      <c r="G377" s="6"/>
      <c r="K377" s="10" t="str">
        <f t="shared" si="5"/>
        <v/>
      </c>
    </row>
    <row r="378" spans="2:11" ht="15" customHeight="1" x14ac:dyDescent="0.35">
      <c r="B378" t="str">
        <f>IF($A378="","",IFERROR(VLOOKUP($A378,Enquiry!$A:$K,3,0),"-"))</f>
        <v/>
      </c>
      <c r="C378" t="str">
        <f>IF($A378="","",IFERROR(VLOOKUP($A378,Enquiry!$A:$K,4,0),"-"))</f>
        <v/>
      </c>
      <c r="D378" t="str">
        <f>IF($A378="","",IFERROR(VLOOKUP($A378,Enquiry!$A:$K,5,0),"-"))</f>
        <v/>
      </c>
      <c r="E378" s="9"/>
      <c r="F378" s="9"/>
      <c r="G378" s="6"/>
      <c r="K378" s="10" t="str">
        <f t="shared" si="5"/>
        <v/>
      </c>
    </row>
    <row r="379" spans="2:11" ht="15" customHeight="1" x14ac:dyDescent="0.35">
      <c r="B379" t="str">
        <f>IF($A379="","",IFERROR(VLOOKUP($A379,Enquiry!$A:$K,3,0),"-"))</f>
        <v/>
      </c>
      <c r="C379" t="str">
        <f>IF($A379="","",IFERROR(VLOOKUP($A379,Enquiry!$A:$K,4,0),"-"))</f>
        <v/>
      </c>
      <c r="D379" t="str">
        <f>IF($A379="","",IFERROR(VLOOKUP($A379,Enquiry!$A:$K,5,0),"-"))</f>
        <v/>
      </c>
      <c r="E379" s="9"/>
      <c r="F379" s="9"/>
      <c r="G379" s="6"/>
      <c r="K379" s="10" t="str">
        <f t="shared" si="5"/>
        <v/>
      </c>
    </row>
    <row r="380" spans="2:11" ht="15" customHeight="1" x14ac:dyDescent="0.35">
      <c r="B380" t="str">
        <f>IF($A380="","",IFERROR(VLOOKUP($A380,Enquiry!$A:$K,3,0),"-"))</f>
        <v/>
      </c>
      <c r="C380" t="str">
        <f>IF($A380="","",IFERROR(VLOOKUP($A380,Enquiry!$A:$K,4,0),"-"))</f>
        <v/>
      </c>
      <c r="D380" t="str">
        <f>IF($A380="","",IFERROR(VLOOKUP($A380,Enquiry!$A:$K,5,0),"-"))</f>
        <v/>
      </c>
      <c r="E380" s="9"/>
      <c r="F380" s="9"/>
      <c r="G380" s="6"/>
      <c r="K380" s="10" t="str">
        <f t="shared" si="5"/>
        <v/>
      </c>
    </row>
    <row r="381" spans="2:11" ht="15" customHeight="1" x14ac:dyDescent="0.35">
      <c r="B381" t="str">
        <f>IF($A381="","",IFERROR(VLOOKUP($A381,Enquiry!$A:$K,3,0),"-"))</f>
        <v/>
      </c>
      <c r="C381" t="str">
        <f>IF($A381="","",IFERROR(VLOOKUP($A381,Enquiry!$A:$K,4,0),"-"))</f>
        <v/>
      </c>
      <c r="D381" t="str">
        <f>IF($A381="","",IFERROR(VLOOKUP($A381,Enquiry!$A:$K,5,0),"-"))</f>
        <v/>
      </c>
      <c r="E381" s="9"/>
      <c r="F381" s="9"/>
      <c r="G381" s="6"/>
      <c r="K381" s="10" t="str">
        <f t="shared" si="5"/>
        <v/>
      </c>
    </row>
    <row r="382" spans="2:11" ht="15" customHeight="1" x14ac:dyDescent="0.35">
      <c r="B382" t="str">
        <f>IF($A382="","",IFERROR(VLOOKUP($A382,Enquiry!$A:$K,3,0),"-"))</f>
        <v/>
      </c>
      <c r="C382" t="str">
        <f>IF($A382="","",IFERROR(VLOOKUP($A382,Enquiry!$A:$K,4,0),"-"))</f>
        <v/>
      </c>
      <c r="D382" t="str">
        <f>IF($A382="","",IFERROR(VLOOKUP($A382,Enquiry!$A:$K,5,0),"-"))</f>
        <v/>
      </c>
      <c r="E382" s="9"/>
      <c r="F382" s="9"/>
      <c r="G382" s="6"/>
      <c r="K382" s="10" t="str">
        <f t="shared" si="5"/>
        <v/>
      </c>
    </row>
    <row r="383" spans="2:11" ht="15" customHeight="1" x14ac:dyDescent="0.35">
      <c r="B383" t="str">
        <f>IF($A383="","",IFERROR(VLOOKUP($A383,Enquiry!$A:$K,3,0),"-"))</f>
        <v/>
      </c>
      <c r="C383" t="str">
        <f>IF($A383="","",IFERROR(VLOOKUP($A383,Enquiry!$A:$K,4,0),"-"))</f>
        <v/>
      </c>
      <c r="D383" t="str">
        <f>IF($A383="","",IFERROR(VLOOKUP($A383,Enquiry!$A:$K,5,0),"-"))</f>
        <v/>
      </c>
      <c r="E383" s="9"/>
      <c r="F383" s="9"/>
      <c r="G383" s="6"/>
      <c r="K383" s="10" t="str">
        <f t="shared" si="5"/>
        <v/>
      </c>
    </row>
    <row r="384" spans="2:11" ht="15" customHeight="1" x14ac:dyDescent="0.35">
      <c r="B384" t="str">
        <f>IF($A384="","",IFERROR(VLOOKUP($A384,Enquiry!$A:$K,3,0),"-"))</f>
        <v/>
      </c>
      <c r="C384" t="str">
        <f>IF($A384="","",IFERROR(VLOOKUP($A384,Enquiry!$A:$K,4,0),"-"))</f>
        <v/>
      </c>
      <c r="D384" t="str">
        <f>IF($A384="","",IFERROR(VLOOKUP($A384,Enquiry!$A:$K,5,0),"-"))</f>
        <v/>
      </c>
      <c r="E384" s="9"/>
      <c r="F384" s="9"/>
      <c r="G384" s="6"/>
      <c r="K384" s="10" t="str">
        <f t="shared" si="5"/>
        <v/>
      </c>
    </row>
    <row r="385" spans="2:11" ht="15" customHeight="1" x14ac:dyDescent="0.35">
      <c r="B385" t="str">
        <f>IF($A385="","",IFERROR(VLOOKUP($A385,Enquiry!$A:$K,3,0),"-"))</f>
        <v/>
      </c>
      <c r="C385" t="str">
        <f>IF($A385="","",IFERROR(VLOOKUP($A385,Enquiry!$A:$K,4,0),"-"))</f>
        <v/>
      </c>
      <c r="D385" t="str">
        <f>IF($A385="","",IFERROR(VLOOKUP($A385,Enquiry!$A:$K,5,0),"-"))</f>
        <v/>
      </c>
      <c r="E385" s="9"/>
      <c r="F385" s="9"/>
      <c r="G385" s="6"/>
      <c r="K385" s="10" t="str">
        <f t="shared" si="5"/>
        <v/>
      </c>
    </row>
    <row r="386" spans="2:11" ht="15" customHeight="1" x14ac:dyDescent="0.35">
      <c r="B386" t="str">
        <f>IF($A386="","",IFERROR(VLOOKUP($A386,Enquiry!$A:$K,3,0),"-"))</f>
        <v/>
      </c>
      <c r="C386" t="str">
        <f>IF($A386="","",IFERROR(VLOOKUP($A386,Enquiry!$A:$K,4,0),"-"))</f>
        <v/>
      </c>
      <c r="D386" t="str">
        <f>IF($A386="","",IFERROR(VLOOKUP($A386,Enquiry!$A:$K,5,0),"-"))</f>
        <v/>
      </c>
      <c r="E386" s="9"/>
      <c r="F386" s="9"/>
      <c r="G386" s="6"/>
      <c r="K386" s="10" t="str">
        <f t="shared" si="5"/>
        <v/>
      </c>
    </row>
    <row r="387" spans="2:11" ht="15" customHeight="1" x14ac:dyDescent="0.35">
      <c r="B387" t="str">
        <f>IF($A387="","",IFERROR(VLOOKUP($A387,Enquiry!$A:$K,3,0),"-"))</f>
        <v/>
      </c>
      <c r="C387" t="str">
        <f>IF($A387="","",IFERROR(VLOOKUP($A387,Enquiry!$A:$K,4,0),"-"))</f>
        <v/>
      </c>
      <c r="D387" t="str">
        <f>IF($A387="","",IFERROR(VLOOKUP($A387,Enquiry!$A:$K,5,0),"-"))</f>
        <v/>
      </c>
      <c r="E387" s="9"/>
      <c r="F387" s="9"/>
      <c r="G387" s="6"/>
      <c r="K387" s="10" t="str">
        <f t="shared" si="5"/>
        <v/>
      </c>
    </row>
    <row r="388" spans="2:11" ht="15" customHeight="1" x14ac:dyDescent="0.35">
      <c r="B388" t="str">
        <f>IF($A388="","",IFERROR(VLOOKUP($A388,Enquiry!$A:$K,3,0),"-"))</f>
        <v/>
      </c>
      <c r="C388" t="str">
        <f>IF($A388="","",IFERROR(VLOOKUP($A388,Enquiry!$A:$K,4,0),"-"))</f>
        <v/>
      </c>
      <c r="D388" t="str">
        <f>IF($A388="","",IFERROR(VLOOKUP($A388,Enquiry!$A:$K,5,0),"-"))</f>
        <v/>
      </c>
      <c r="E388" s="9"/>
      <c r="F388" s="9"/>
      <c r="G388" s="6"/>
      <c r="K388" s="10" t="str">
        <f t="shared" si="5"/>
        <v/>
      </c>
    </row>
    <row r="389" spans="2:11" ht="15" customHeight="1" x14ac:dyDescent="0.35">
      <c r="B389" t="str">
        <f>IF($A389="","",IFERROR(VLOOKUP($A389,Enquiry!$A:$K,3,0),"-"))</f>
        <v/>
      </c>
      <c r="C389" t="str">
        <f>IF($A389="","",IFERROR(VLOOKUP($A389,Enquiry!$A:$K,4,0),"-"))</f>
        <v/>
      </c>
      <c r="D389" t="str">
        <f>IF($A389="","",IFERROR(VLOOKUP($A389,Enquiry!$A:$K,5,0),"-"))</f>
        <v/>
      </c>
      <c r="E389" s="9"/>
      <c r="F389" s="9"/>
      <c r="G389" s="6"/>
      <c r="K389" s="10" t="str">
        <f t="shared" si="5"/>
        <v/>
      </c>
    </row>
    <row r="390" spans="2:11" ht="15" customHeight="1" x14ac:dyDescent="0.35">
      <c r="B390" t="str">
        <f>IF($A390="","",IFERROR(VLOOKUP($A390,Enquiry!$A:$K,3,0),"-"))</f>
        <v/>
      </c>
      <c r="C390" t="str">
        <f>IF($A390="","",IFERROR(VLOOKUP($A390,Enquiry!$A:$K,4,0),"-"))</f>
        <v/>
      </c>
      <c r="D390" t="str">
        <f>IF($A390="","",IFERROR(VLOOKUP($A390,Enquiry!$A:$K,5,0),"-"))</f>
        <v/>
      </c>
      <c r="E390" s="9"/>
      <c r="F390" s="9"/>
      <c r="G390" s="6"/>
      <c r="K390" s="10" t="str">
        <f t="shared" si="5"/>
        <v/>
      </c>
    </row>
    <row r="391" spans="2:11" ht="15" customHeight="1" x14ac:dyDescent="0.35">
      <c r="B391" t="str">
        <f>IF($A391="","",IFERROR(VLOOKUP($A391,Enquiry!$A:$K,3,0),"-"))</f>
        <v/>
      </c>
      <c r="C391" t="str">
        <f>IF($A391="","",IFERROR(VLOOKUP($A391,Enquiry!$A:$K,4,0),"-"))</f>
        <v/>
      </c>
      <c r="D391" t="str">
        <f>IF($A391="","",IFERROR(VLOOKUP($A391,Enquiry!$A:$K,5,0),"-"))</f>
        <v/>
      </c>
      <c r="E391" s="9"/>
      <c r="F391" s="9"/>
      <c r="G391" s="6"/>
      <c r="K391" s="10" t="str">
        <f t="shared" si="5"/>
        <v/>
      </c>
    </row>
    <row r="392" spans="2:11" ht="15" customHeight="1" x14ac:dyDescent="0.35">
      <c r="B392" t="str">
        <f>IF($A392="","",IFERROR(VLOOKUP($A392,Enquiry!$A:$K,3,0),"-"))</f>
        <v/>
      </c>
      <c r="C392" t="str">
        <f>IF($A392="","",IFERROR(VLOOKUP($A392,Enquiry!$A:$K,4,0),"-"))</f>
        <v/>
      </c>
      <c r="D392" t="str">
        <f>IF($A392="","",IFERROR(VLOOKUP($A392,Enquiry!$A:$K,5,0),"-"))</f>
        <v/>
      </c>
      <c r="E392" s="9"/>
      <c r="F392" s="9"/>
      <c r="G392" s="6"/>
      <c r="K392" s="10" t="str">
        <f t="shared" si="5"/>
        <v/>
      </c>
    </row>
    <row r="393" spans="2:11" ht="15" customHeight="1" x14ac:dyDescent="0.35">
      <c r="B393" t="str">
        <f>IF($A393="","",IFERROR(VLOOKUP($A393,Enquiry!$A:$K,3,0),"-"))</f>
        <v/>
      </c>
      <c r="C393" t="str">
        <f>IF($A393="","",IFERROR(VLOOKUP($A393,Enquiry!$A:$K,4,0),"-"))</f>
        <v/>
      </c>
      <c r="D393" t="str">
        <f>IF($A393="","",IFERROR(VLOOKUP($A393,Enquiry!$A:$K,5,0),"-"))</f>
        <v/>
      </c>
      <c r="E393" s="9"/>
      <c r="F393" s="9"/>
      <c r="G393" s="6"/>
      <c r="K393" s="10" t="str">
        <f t="shared" si="5"/>
        <v/>
      </c>
    </row>
    <row r="394" spans="2:11" ht="15" customHeight="1" x14ac:dyDescent="0.35">
      <c r="B394" t="str">
        <f>IF($A394="","",IFERROR(VLOOKUP($A394,Enquiry!$A:$K,3,0),"-"))</f>
        <v/>
      </c>
      <c r="C394" t="str">
        <f>IF($A394="","",IFERROR(VLOOKUP($A394,Enquiry!$A:$K,4,0),"-"))</f>
        <v/>
      </c>
      <c r="D394" t="str">
        <f>IF($A394="","",IFERROR(VLOOKUP($A394,Enquiry!$A:$K,5,0),"-"))</f>
        <v/>
      </c>
      <c r="E394" s="9"/>
      <c r="F394" s="9"/>
      <c r="G394" s="6"/>
      <c r="K394" s="10" t="str">
        <f t="shared" si="5"/>
        <v/>
      </c>
    </row>
    <row r="395" spans="2:11" ht="15" customHeight="1" x14ac:dyDescent="0.35">
      <c r="B395" t="str">
        <f>IF($A395="","",IFERROR(VLOOKUP($A395,Enquiry!$A:$K,3,0),"-"))</f>
        <v/>
      </c>
      <c r="C395" t="str">
        <f>IF($A395="","",IFERROR(VLOOKUP($A395,Enquiry!$A:$K,4,0),"-"))</f>
        <v/>
      </c>
      <c r="D395" t="str">
        <f>IF($A395="","",IFERROR(VLOOKUP($A395,Enquiry!$A:$K,5,0),"-"))</f>
        <v/>
      </c>
      <c r="E395" s="9"/>
      <c r="F395" s="9"/>
      <c r="G395" s="6"/>
      <c r="K395" s="10" t="str">
        <f t="shared" si="5"/>
        <v/>
      </c>
    </row>
    <row r="396" spans="2:11" ht="15" customHeight="1" x14ac:dyDescent="0.35">
      <c r="B396" t="str">
        <f>IF($A396="","",IFERROR(VLOOKUP($A396,Enquiry!$A:$K,3,0),"-"))</f>
        <v/>
      </c>
      <c r="C396" t="str">
        <f>IF($A396="","",IFERROR(VLOOKUP($A396,Enquiry!$A:$K,4,0),"-"))</f>
        <v/>
      </c>
      <c r="D396" t="str">
        <f>IF($A396="","",IFERROR(VLOOKUP($A396,Enquiry!$A:$K,5,0),"-"))</f>
        <v/>
      </c>
      <c r="E396" s="9"/>
      <c r="F396" s="9"/>
      <c r="G396" s="6"/>
      <c r="K396" s="10" t="str">
        <f t="shared" si="5"/>
        <v/>
      </c>
    </row>
    <row r="397" spans="2:11" ht="15" customHeight="1" x14ac:dyDescent="0.35">
      <c r="B397" t="str">
        <f>IF($A397="","",IFERROR(VLOOKUP($A397,Enquiry!$A:$K,3,0),"-"))</f>
        <v/>
      </c>
      <c r="C397" t="str">
        <f>IF($A397="","",IFERROR(VLOOKUP($A397,Enquiry!$A:$K,4,0),"-"))</f>
        <v/>
      </c>
      <c r="D397" t="str">
        <f>IF($A397="","",IFERROR(VLOOKUP($A397,Enquiry!$A:$K,5,0),"-"))</f>
        <v/>
      </c>
      <c r="E397" s="9"/>
      <c r="F397" s="9"/>
      <c r="G397" s="6"/>
      <c r="K397" s="10" t="str">
        <f t="shared" si="5"/>
        <v/>
      </c>
    </row>
    <row r="398" spans="2:11" ht="15" customHeight="1" x14ac:dyDescent="0.35">
      <c r="B398" t="str">
        <f>IF($A398="","",IFERROR(VLOOKUP($A398,Enquiry!$A:$K,3,0),"-"))</f>
        <v/>
      </c>
      <c r="C398" t="str">
        <f>IF($A398="","",IFERROR(VLOOKUP($A398,Enquiry!$A:$K,4,0),"-"))</f>
        <v/>
      </c>
      <c r="D398" t="str">
        <f>IF($A398="","",IFERROR(VLOOKUP($A398,Enquiry!$A:$K,5,0),"-"))</f>
        <v/>
      </c>
      <c r="E398" s="9"/>
      <c r="F398" s="9"/>
      <c r="G398" s="6"/>
      <c r="K398" s="10" t="str">
        <f t="shared" si="5"/>
        <v/>
      </c>
    </row>
    <row r="399" spans="2:11" ht="15" customHeight="1" x14ac:dyDescent="0.35">
      <c r="B399" t="str">
        <f>IF($A399="","",IFERROR(VLOOKUP($A399,Enquiry!$A:$K,3,0),"-"))</f>
        <v/>
      </c>
      <c r="C399" t="str">
        <f>IF($A399="","",IFERROR(VLOOKUP($A399,Enquiry!$A:$K,4,0),"-"))</f>
        <v/>
      </c>
      <c r="D399" t="str">
        <f>IF($A399="","",IFERROR(VLOOKUP($A399,Enquiry!$A:$K,5,0),"-"))</f>
        <v/>
      </c>
      <c r="E399" s="9"/>
      <c r="F399" s="9"/>
      <c r="G399" s="6"/>
      <c r="K399" s="10" t="str">
        <f t="shared" si="5"/>
        <v/>
      </c>
    </row>
    <row r="400" spans="2:11" ht="15" customHeight="1" x14ac:dyDescent="0.35">
      <c r="B400" t="str">
        <f>IF($A400="","",IFERROR(VLOOKUP($A400,Enquiry!$A:$K,3,0),"-"))</f>
        <v/>
      </c>
      <c r="C400" t="str">
        <f>IF($A400="","",IFERROR(VLOOKUP($A400,Enquiry!$A:$K,4,0),"-"))</f>
        <v/>
      </c>
      <c r="D400" t="str">
        <f>IF($A400="","",IFERROR(VLOOKUP($A400,Enquiry!$A:$K,5,0),"-"))</f>
        <v/>
      </c>
      <c r="E400" s="9"/>
      <c r="F400" s="9"/>
      <c r="G400" s="6"/>
      <c r="K400" s="10" t="str">
        <f t="shared" si="5"/>
        <v/>
      </c>
    </row>
    <row r="401" spans="2:11" ht="15" customHeight="1" x14ac:dyDescent="0.35">
      <c r="B401" t="str">
        <f>IF($A401="","",IFERROR(VLOOKUP($A401,Enquiry!$A:$K,3,0),"-"))</f>
        <v/>
      </c>
      <c r="C401" t="str">
        <f>IF($A401="","",IFERROR(VLOOKUP($A401,Enquiry!$A:$K,4,0),"-"))</f>
        <v/>
      </c>
      <c r="D401" t="str">
        <f>IF($A401="","",IFERROR(VLOOKUP($A401,Enquiry!$A:$K,5,0),"-"))</f>
        <v/>
      </c>
      <c r="E401" s="9"/>
      <c r="F401" s="9"/>
      <c r="G401" s="6"/>
      <c r="K401" s="10" t="str">
        <f t="shared" si="5"/>
        <v/>
      </c>
    </row>
    <row r="402" spans="2:11" ht="15" customHeight="1" x14ac:dyDescent="0.35">
      <c r="B402" t="str">
        <f>IF($A402="","",IFERROR(VLOOKUP($A402,Enquiry!$A:$K,3,0),"-"))</f>
        <v/>
      </c>
      <c r="C402" t="str">
        <f>IF($A402="","",IFERROR(VLOOKUP($A402,Enquiry!$A:$K,4,0),"-"))</f>
        <v/>
      </c>
      <c r="D402" t="str">
        <f>IF($A402="","",IFERROR(VLOOKUP($A402,Enquiry!$A:$K,5,0),"-"))</f>
        <v/>
      </c>
      <c r="E402" s="9"/>
      <c r="F402" s="9"/>
      <c r="G402" s="6"/>
      <c r="K402" s="10" t="str">
        <f t="shared" si="5"/>
        <v/>
      </c>
    </row>
    <row r="403" spans="2:11" ht="15" customHeight="1" x14ac:dyDescent="0.35">
      <c r="B403" t="str">
        <f>IF($A403="","",IFERROR(VLOOKUP($A403,Enquiry!$A:$K,3,0),"-"))</f>
        <v/>
      </c>
      <c r="C403" t="str">
        <f>IF($A403="","",IFERROR(VLOOKUP($A403,Enquiry!$A:$K,4,0),"-"))</f>
        <v/>
      </c>
      <c r="D403" t="str">
        <f>IF($A403="","",IFERROR(VLOOKUP($A403,Enquiry!$A:$K,5,0),"-"))</f>
        <v/>
      </c>
      <c r="E403" s="9"/>
      <c r="F403" s="9"/>
      <c r="G403" s="6"/>
      <c r="K403" s="10" t="str">
        <f t="shared" si="5"/>
        <v/>
      </c>
    </row>
    <row r="404" spans="2:11" ht="15" customHeight="1" x14ac:dyDescent="0.35">
      <c r="B404" t="str">
        <f>IF($A404="","",IFERROR(VLOOKUP($A404,Enquiry!$A:$K,3,0),"-"))</f>
        <v/>
      </c>
      <c r="C404" t="str">
        <f>IF($A404="","",IFERROR(VLOOKUP($A404,Enquiry!$A:$K,4,0),"-"))</f>
        <v/>
      </c>
      <c r="D404" t="str">
        <f>IF($A404="","",IFERROR(VLOOKUP($A404,Enquiry!$A:$K,5,0),"-"))</f>
        <v/>
      </c>
      <c r="E404" s="9"/>
      <c r="F404" s="9"/>
      <c r="G404" s="6"/>
      <c r="K404" s="10" t="str">
        <f t="shared" si="5"/>
        <v/>
      </c>
    </row>
    <row r="405" spans="2:11" ht="15" customHeight="1" x14ac:dyDescent="0.35">
      <c r="B405" t="str">
        <f>IF($A405="","",IFERROR(VLOOKUP($A405,Enquiry!$A:$K,3,0),"-"))</f>
        <v/>
      </c>
      <c r="C405" t="str">
        <f>IF($A405="","",IFERROR(VLOOKUP($A405,Enquiry!$A:$K,4,0),"-"))</f>
        <v/>
      </c>
      <c r="D405" t="str">
        <f>IF($A405="","",IFERROR(VLOOKUP($A405,Enquiry!$A:$K,5,0),"-"))</f>
        <v/>
      </c>
      <c r="E405" s="9"/>
      <c r="F405" s="9"/>
      <c r="G405" s="6"/>
      <c r="K405" s="10" t="str">
        <f t="shared" si="5"/>
        <v/>
      </c>
    </row>
    <row r="406" spans="2:11" ht="15" customHeight="1" x14ac:dyDescent="0.35">
      <c r="B406" t="str">
        <f>IF($A406="","",IFERROR(VLOOKUP($A406,Enquiry!$A:$K,3,0),"-"))</f>
        <v/>
      </c>
      <c r="C406" t="str">
        <f>IF($A406="","",IFERROR(VLOOKUP($A406,Enquiry!$A:$K,4,0),"-"))</f>
        <v/>
      </c>
      <c r="D406" t="str">
        <f>IF($A406="","",IFERROR(VLOOKUP($A406,Enquiry!$A:$K,5,0),"-"))</f>
        <v/>
      </c>
      <c r="E406" s="9"/>
      <c r="F406" s="9"/>
      <c r="G406" s="6"/>
      <c r="K406" s="10" t="str">
        <f t="shared" si="5"/>
        <v/>
      </c>
    </row>
    <row r="407" spans="2:11" ht="15" customHeight="1" x14ac:dyDescent="0.35">
      <c r="B407" t="str">
        <f>IF($A407="","",IFERROR(VLOOKUP($A407,Enquiry!$A:$K,3,0),"-"))</f>
        <v/>
      </c>
      <c r="C407" t="str">
        <f>IF($A407="","",IFERROR(VLOOKUP($A407,Enquiry!$A:$K,4,0),"-"))</f>
        <v/>
      </c>
      <c r="D407" t="str">
        <f>IF($A407="","",IFERROR(VLOOKUP($A407,Enquiry!$A:$K,5,0),"-"))</f>
        <v/>
      </c>
      <c r="E407" s="9"/>
      <c r="F407" s="9"/>
      <c r="G407" s="6"/>
      <c r="K407" s="10" t="str">
        <f t="shared" si="5"/>
        <v/>
      </c>
    </row>
    <row r="408" spans="2:11" ht="15" customHeight="1" x14ac:dyDescent="0.35">
      <c r="B408" t="str">
        <f>IF($A408="","",IFERROR(VLOOKUP($A408,Enquiry!$A:$K,3,0),"-"))</f>
        <v/>
      </c>
      <c r="C408" t="str">
        <f>IF($A408="","",IFERROR(VLOOKUP($A408,Enquiry!$A:$K,4,0),"-"))</f>
        <v/>
      </c>
      <c r="D408" t="str">
        <f>IF($A408="","",IFERROR(VLOOKUP($A408,Enquiry!$A:$K,5,0),"-"))</f>
        <v/>
      </c>
      <c r="E408" s="9"/>
      <c r="F408" s="9"/>
      <c r="G408" s="6"/>
      <c r="K408" s="10" t="str">
        <f t="shared" si="5"/>
        <v/>
      </c>
    </row>
    <row r="409" spans="2:11" ht="15" customHeight="1" x14ac:dyDescent="0.35">
      <c r="B409" t="str">
        <f>IF($A409="","",IFERROR(VLOOKUP($A409,Enquiry!$A:$K,3,0),"-"))</f>
        <v/>
      </c>
      <c r="C409" t="str">
        <f>IF($A409="","",IFERROR(VLOOKUP($A409,Enquiry!$A:$K,4,0),"-"))</f>
        <v/>
      </c>
      <c r="D409" t="str">
        <f>IF($A409="","",IFERROR(VLOOKUP($A409,Enquiry!$A:$K,5,0),"-"))</f>
        <v/>
      </c>
      <c r="E409" s="9"/>
      <c r="F409" s="9"/>
      <c r="G409" s="6"/>
      <c r="K409" s="10" t="str">
        <f t="shared" si="5"/>
        <v/>
      </c>
    </row>
    <row r="410" spans="2:11" ht="15" customHeight="1" x14ac:dyDescent="0.35">
      <c r="B410" t="str">
        <f>IF($A410="","",IFERROR(VLOOKUP($A410,Enquiry!$A:$K,3,0),"-"))</f>
        <v/>
      </c>
      <c r="C410" t="str">
        <f>IF($A410="","",IFERROR(VLOOKUP($A410,Enquiry!$A:$K,4,0),"-"))</f>
        <v/>
      </c>
      <c r="D410" t="str">
        <f>IF($A410="","",IFERROR(VLOOKUP($A410,Enquiry!$A:$K,5,0),"-"))</f>
        <v/>
      </c>
      <c r="E410" s="9"/>
      <c r="F410" s="9"/>
      <c r="G410" s="6"/>
      <c r="K410" s="10" t="str">
        <f t="shared" si="5"/>
        <v/>
      </c>
    </row>
    <row r="411" spans="2:11" ht="15" customHeight="1" x14ac:dyDescent="0.35">
      <c r="B411" t="str">
        <f>IF($A411="","",IFERROR(VLOOKUP($A411,Enquiry!$A:$K,3,0),"-"))</f>
        <v/>
      </c>
      <c r="C411" t="str">
        <f>IF($A411="","",IFERROR(VLOOKUP($A411,Enquiry!$A:$K,4,0),"-"))</f>
        <v/>
      </c>
      <c r="D411" t="str">
        <f>IF($A411="","",IFERROR(VLOOKUP($A411,Enquiry!$A:$K,5,0),"-"))</f>
        <v/>
      </c>
      <c r="E411" s="9"/>
      <c r="F411" s="9"/>
      <c r="G411" s="6"/>
      <c r="K411" s="10" t="str">
        <f t="shared" si="5"/>
        <v/>
      </c>
    </row>
    <row r="412" spans="2:11" ht="15" customHeight="1" x14ac:dyDescent="0.35">
      <c r="B412" t="str">
        <f>IF($A412="","",IFERROR(VLOOKUP($A412,Enquiry!$A:$K,3,0),"-"))</f>
        <v/>
      </c>
      <c r="C412" t="str">
        <f>IF($A412="","",IFERROR(VLOOKUP($A412,Enquiry!$A:$K,4,0),"-"))</f>
        <v/>
      </c>
      <c r="D412" t="str">
        <f>IF($A412="","",IFERROR(VLOOKUP($A412,Enquiry!$A:$K,5,0),"-"))</f>
        <v/>
      </c>
      <c r="E412" s="9"/>
      <c r="F412" s="9"/>
      <c r="G412" s="6"/>
      <c r="K412" s="10" t="str">
        <f t="shared" si="5"/>
        <v/>
      </c>
    </row>
    <row r="413" spans="2:11" ht="15" customHeight="1" x14ac:dyDescent="0.35">
      <c r="B413" t="str">
        <f>IF($A413="","",IFERROR(VLOOKUP($A413,Enquiry!$A:$K,3,0),"-"))</f>
        <v/>
      </c>
      <c r="C413" t="str">
        <f>IF($A413="","",IFERROR(VLOOKUP($A413,Enquiry!$A:$K,4,0),"-"))</f>
        <v/>
      </c>
      <c r="D413" t="str">
        <f>IF($A413="","",IFERROR(VLOOKUP($A413,Enquiry!$A:$K,5,0),"-"))</f>
        <v/>
      </c>
      <c r="E413" s="9"/>
      <c r="F413" s="9"/>
      <c r="G413" s="6"/>
      <c r="K413" s="10" t="str">
        <f t="shared" si="5"/>
        <v/>
      </c>
    </row>
    <row r="414" spans="2:11" ht="15" customHeight="1" x14ac:dyDescent="0.35">
      <c r="B414" t="str">
        <f>IF($A414="","",IFERROR(VLOOKUP($A414,Enquiry!$A:$K,3,0),"-"))</f>
        <v/>
      </c>
      <c r="C414" t="str">
        <f>IF($A414="","",IFERROR(VLOOKUP($A414,Enquiry!$A:$K,4,0),"-"))</f>
        <v/>
      </c>
      <c r="D414" t="str">
        <f>IF($A414="","",IFERROR(VLOOKUP($A414,Enquiry!$A:$K,5,0),"-"))</f>
        <v/>
      </c>
      <c r="E414" s="9"/>
      <c r="F414" s="9"/>
      <c r="G414" s="6"/>
      <c r="K414" s="10" t="str">
        <f t="shared" si="5"/>
        <v/>
      </c>
    </row>
    <row r="415" spans="2:11" ht="15" customHeight="1" x14ac:dyDescent="0.35">
      <c r="B415" t="str">
        <f>IF($A415="","",IFERROR(VLOOKUP($A415,Enquiry!$A:$K,3,0),"-"))</f>
        <v/>
      </c>
      <c r="C415" t="str">
        <f>IF($A415="","",IFERROR(VLOOKUP($A415,Enquiry!$A:$K,4,0),"-"))</f>
        <v/>
      </c>
      <c r="D415" t="str">
        <f>IF($A415="","",IFERROR(VLOOKUP($A415,Enquiry!$A:$K,5,0),"-"))</f>
        <v/>
      </c>
      <c r="E415" s="9"/>
      <c r="F415" s="9"/>
      <c r="G415" s="6"/>
      <c r="K415" s="10" t="str">
        <f t="shared" si="5"/>
        <v/>
      </c>
    </row>
    <row r="416" spans="2:11" ht="15" customHeight="1" x14ac:dyDescent="0.35">
      <c r="B416" t="str">
        <f>IF($A416="","",IFERROR(VLOOKUP($A416,Enquiry!$A:$K,3,0),"-"))</f>
        <v/>
      </c>
      <c r="C416" t="str">
        <f>IF($A416="","",IFERROR(VLOOKUP($A416,Enquiry!$A:$K,4,0),"-"))</f>
        <v/>
      </c>
      <c r="D416" t="str">
        <f>IF($A416="","",IFERROR(VLOOKUP($A416,Enquiry!$A:$K,5,0),"-"))</f>
        <v/>
      </c>
      <c r="E416" s="9"/>
      <c r="F416" s="9"/>
      <c r="G416" s="6"/>
      <c r="K416" s="10" t="str">
        <f t="shared" si="5"/>
        <v/>
      </c>
    </row>
    <row r="417" spans="2:11" ht="15" customHeight="1" x14ac:dyDescent="0.35">
      <c r="B417" t="str">
        <f>IF($A417="","",IFERROR(VLOOKUP($A417,Enquiry!$A:$K,3,0),"-"))</f>
        <v/>
      </c>
      <c r="C417" t="str">
        <f>IF($A417="","",IFERROR(VLOOKUP($A417,Enquiry!$A:$K,4,0),"-"))</f>
        <v/>
      </c>
      <c r="D417" t="str">
        <f>IF($A417="","",IFERROR(VLOOKUP($A417,Enquiry!$A:$K,5,0),"-"))</f>
        <v/>
      </c>
      <c r="E417" s="9"/>
      <c r="F417" s="9"/>
      <c r="G417" s="6"/>
      <c r="K417" s="10" t="str">
        <f t="shared" ref="K417:K480" si="6">IF(A417="","",IF(H417="Win","✅ Move to PO Workflow","⬜ Not Won Yet"))</f>
        <v/>
      </c>
    </row>
    <row r="418" spans="2:11" ht="15" customHeight="1" x14ac:dyDescent="0.35">
      <c r="B418" t="str">
        <f>IF($A418="","",IFERROR(VLOOKUP($A418,Enquiry!$A:$K,3,0),"-"))</f>
        <v/>
      </c>
      <c r="C418" t="str">
        <f>IF($A418="","",IFERROR(VLOOKUP($A418,Enquiry!$A:$K,4,0),"-"))</f>
        <v/>
      </c>
      <c r="D418" t="str">
        <f>IF($A418="","",IFERROR(VLOOKUP($A418,Enquiry!$A:$K,5,0),"-"))</f>
        <v/>
      </c>
      <c r="E418" s="9"/>
      <c r="F418" s="9"/>
      <c r="G418" s="6"/>
      <c r="K418" s="10" t="str">
        <f t="shared" si="6"/>
        <v/>
      </c>
    </row>
    <row r="419" spans="2:11" ht="15" customHeight="1" x14ac:dyDescent="0.35">
      <c r="B419" t="str">
        <f>IF($A419="","",IFERROR(VLOOKUP($A419,Enquiry!$A:$K,3,0),"-"))</f>
        <v/>
      </c>
      <c r="C419" t="str">
        <f>IF($A419="","",IFERROR(VLOOKUP($A419,Enquiry!$A:$K,4,0),"-"))</f>
        <v/>
      </c>
      <c r="D419" t="str">
        <f>IF($A419="","",IFERROR(VLOOKUP($A419,Enquiry!$A:$K,5,0),"-"))</f>
        <v/>
      </c>
      <c r="E419" s="9"/>
      <c r="F419" s="9"/>
      <c r="G419" s="6"/>
      <c r="K419" s="10" t="str">
        <f t="shared" si="6"/>
        <v/>
      </c>
    </row>
    <row r="420" spans="2:11" ht="15" customHeight="1" x14ac:dyDescent="0.35">
      <c r="B420" t="str">
        <f>IF($A420="","",IFERROR(VLOOKUP($A420,Enquiry!$A:$K,3,0),"-"))</f>
        <v/>
      </c>
      <c r="C420" t="str">
        <f>IF($A420="","",IFERROR(VLOOKUP($A420,Enquiry!$A:$K,4,0),"-"))</f>
        <v/>
      </c>
      <c r="D420" t="str">
        <f>IF($A420="","",IFERROR(VLOOKUP($A420,Enquiry!$A:$K,5,0),"-"))</f>
        <v/>
      </c>
      <c r="E420" s="9"/>
      <c r="F420" s="9"/>
      <c r="G420" s="6"/>
      <c r="K420" s="10" t="str">
        <f t="shared" si="6"/>
        <v/>
      </c>
    </row>
    <row r="421" spans="2:11" ht="15" customHeight="1" x14ac:dyDescent="0.35">
      <c r="B421" t="str">
        <f>IF($A421="","",IFERROR(VLOOKUP($A421,Enquiry!$A:$K,3,0),"-"))</f>
        <v/>
      </c>
      <c r="C421" t="str">
        <f>IF($A421="","",IFERROR(VLOOKUP($A421,Enquiry!$A:$K,4,0),"-"))</f>
        <v/>
      </c>
      <c r="D421" t="str">
        <f>IF($A421="","",IFERROR(VLOOKUP($A421,Enquiry!$A:$K,5,0),"-"))</f>
        <v/>
      </c>
      <c r="E421" s="9"/>
      <c r="F421" s="9"/>
      <c r="G421" s="6"/>
      <c r="K421" s="10" t="str">
        <f t="shared" si="6"/>
        <v/>
      </c>
    </row>
    <row r="422" spans="2:11" ht="15" customHeight="1" x14ac:dyDescent="0.35">
      <c r="B422" t="str">
        <f>IF($A422="","",IFERROR(VLOOKUP($A422,Enquiry!$A:$K,3,0),"-"))</f>
        <v/>
      </c>
      <c r="C422" t="str">
        <f>IF($A422="","",IFERROR(VLOOKUP($A422,Enquiry!$A:$K,4,0),"-"))</f>
        <v/>
      </c>
      <c r="D422" t="str">
        <f>IF($A422="","",IFERROR(VLOOKUP($A422,Enquiry!$A:$K,5,0),"-"))</f>
        <v/>
      </c>
      <c r="E422" s="9"/>
      <c r="F422" s="9"/>
      <c r="G422" s="6"/>
      <c r="K422" s="10" t="str">
        <f t="shared" si="6"/>
        <v/>
      </c>
    </row>
    <row r="423" spans="2:11" ht="15" customHeight="1" x14ac:dyDescent="0.35">
      <c r="B423" t="str">
        <f>IF($A423="","",IFERROR(VLOOKUP($A423,Enquiry!$A:$K,3,0),"-"))</f>
        <v/>
      </c>
      <c r="C423" t="str">
        <f>IF($A423="","",IFERROR(VLOOKUP($A423,Enquiry!$A:$K,4,0),"-"))</f>
        <v/>
      </c>
      <c r="D423" t="str">
        <f>IF($A423="","",IFERROR(VLOOKUP($A423,Enquiry!$A:$K,5,0),"-"))</f>
        <v/>
      </c>
      <c r="E423" s="9"/>
      <c r="F423" s="9"/>
      <c r="G423" s="6"/>
      <c r="K423" s="10" t="str">
        <f t="shared" si="6"/>
        <v/>
      </c>
    </row>
    <row r="424" spans="2:11" ht="15" customHeight="1" x14ac:dyDescent="0.35">
      <c r="B424" t="str">
        <f>IF($A424="","",IFERROR(VLOOKUP($A424,Enquiry!$A:$K,3,0),"-"))</f>
        <v/>
      </c>
      <c r="C424" t="str">
        <f>IF($A424="","",IFERROR(VLOOKUP($A424,Enquiry!$A:$K,4,0),"-"))</f>
        <v/>
      </c>
      <c r="D424" t="str">
        <f>IF($A424="","",IFERROR(VLOOKUP($A424,Enquiry!$A:$K,5,0),"-"))</f>
        <v/>
      </c>
      <c r="E424" s="9"/>
      <c r="F424" s="9"/>
      <c r="G424" s="6"/>
      <c r="K424" s="10" t="str">
        <f t="shared" si="6"/>
        <v/>
      </c>
    </row>
    <row r="425" spans="2:11" ht="15" customHeight="1" x14ac:dyDescent="0.35">
      <c r="B425" t="str">
        <f>IF($A425="","",IFERROR(VLOOKUP($A425,Enquiry!$A:$K,3,0),"-"))</f>
        <v/>
      </c>
      <c r="C425" t="str">
        <f>IF($A425="","",IFERROR(VLOOKUP($A425,Enquiry!$A:$K,4,0),"-"))</f>
        <v/>
      </c>
      <c r="D425" t="str">
        <f>IF($A425="","",IFERROR(VLOOKUP($A425,Enquiry!$A:$K,5,0),"-"))</f>
        <v/>
      </c>
      <c r="E425" s="9"/>
      <c r="F425" s="9"/>
      <c r="G425" s="6"/>
      <c r="K425" s="10" t="str">
        <f t="shared" si="6"/>
        <v/>
      </c>
    </row>
    <row r="426" spans="2:11" ht="15" customHeight="1" x14ac:dyDescent="0.35">
      <c r="B426" t="str">
        <f>IF($A426="","",IFERROR(VLOOKUP($A426,Enquiry!$A:$K,3,0),"-"))</f>
        <v/>
      </c>
      <c r="C426" t="str">
        <f>IF($A426="","",IFERROR(VLOOKUP($A426,Enquiry!$A:$K,4,0),"-"))</f>
        <v/>
      </c>
      <c r="D426" t="str">
        <f>IF($A426="","",IFERROR(VLOOKUP($A426,Enquiry!$A:$K,5,0),"-"))</f>
        <v/>
      </c>
      <c r="E426" s="9"/>
      <c r="F426" s="9"/>
      <c r="G426" s="6"/>
      <c r="K426" s="10" t="str">
        <f t="shared" si="6"/>
        <v/>
      </c>
    </row>
    <row r="427" spans="2:11" ht="15" customHeight="1" x14ac:dyDescent="0.35">
      <c r="B427" t="str">
        <f>IF($A427="","",IFERROR(VLOOKUP($A427,Enquiry!$A:$K,3,0),"-"))</f>
        <v/>
      </c>
      <c r="C427" t="str">
        <f>IF($A427="","",IFERROR(VLOOKUP($A427,Enquiry!$A:$K,4,0),"-"))</f>
        <v/>
      </c>
      <c r="D427" t="str">
        <f>IF($A427="","",IFERROR(VLOOKUP($A427,Enquiry!$A:$K,5,0),"-"))</f>
        <v/>
      </c>
      <c r="E427" s="9"/>
      <c r="F427" s="9"/>
      <c r="G427" s="6"/>
      <c r="K427" s="10" t="str">
        <f t="shared" si="6"/>
        <v/>
      </c>
    </row>
    <row r="428" spans="2:11" ht="15" customHeight="1" x14ac:dyDescent="0.35">
      <c r="B428" t="str">
        <f>IF($A428="","",IFERROR(VLOOKUP($A428,Enquiry!$A:$K,3,0),"-"))</f>
        <v/>
      </c>
      <c r="C428" t="str">
        <f>IF($A428="","",IFERROR(VLOOKUP($A428,Enquiry!$A:$K,4,0),"-"))</f>
        <v/>
      </c>
      <c r="D428" t="str">
        <f>IF($A428="","",IFERROR(VLOOKUP($A428,Enquiry!$A:$K,5,0),"-"))</f>
        <v/>
      </c>
      <c r="E428" s="9"/>
      <c r="F428" s="9"/>
      <c r="G428" s="6"/>
      <c r="K428" s="10" t="str">
        <f t="shared" si="6"/>
        <v/>
      </c>
    </row>
    <row r="429" spans="2:11" ht="15" customHeight="1" x14ac:dyDescent="0.35">
      <c r="B429" t="str">
        <f>IF($A429="","",IFERROR(VLOOKUP($A429,Enquiry!$A:$K,3,0),"-"))</f>
        <v/>
      </c>
      <c r="C429" t="str">
        <f>IF($A429="","",IFERROR(VLOOKUP($A429,Enquiry!$A:$K,4,0),"-"))</f>
        <v/>
      </c>
      <c r="D429" t="str">
        <f>IF($A429="","",IFERROR(VLOOKUP($A429,Enquiry!$A:$K,5,0),"-"))</f>
        <v/>
      </c>
      <c r="E429" s="9"/>
      <c r="F429" s="9"/>
      <c r="G429" s="6"/>
      <c r="K429" s="10" t="str">
        <f t="shared" si="6"/>
        <v/>
      </c>
    </row>
    <row r="430" spans="2:11" ht="15" customHeight="1" x14ac:dyDescent="0.35">
      <c r="B430" t="str">
        <f>IF($A430="","",IFERROR(VLOOKUP($A430,Enquiry!$A:$K,3,0),"-"))</f>
        <v/>
      </c>
      <c r="C430" t="str">
        <f>IF($A430="","",IFERROR(VLOOKUP($A430,Enquiry!$A:$K,4,0),"-"))</f>
        <v/>
      </c>
      <c r="D430" t="str">
        <f>IF($A430="","",IFERROR(VLOOKUP($A430,Enquiry!$A:$K,5,0),"-"))</f>
        <v/>
      </c>
      <c r="E430" s="9"/>
      <c r="F430" s="9"/>
      <c r="G430" s="6"/>
      <c r="K430" s="10" t="str">
        <f t="shared" si="6"/>
        <v/>
      </c>
    </row>
    <row r="431" spans="2:11" ht="15" customHeight="1" x14ac:dyDescent="0.35">
      <c r="B431" t="str">
        <f>IF($A431="","",IFERROR(VLOOKUP($A431,Enquiry!$A:$K,3,0),"-"))</f>
        <v/>
      </c>
      <c r="C431" t="str">
        <f>IF($A431="","",IFERROR(VLOOKUP($A431,Enquiry!$A:$K,4,0),"-"))</f>
        <v/>
      </c>
      <c r="D431" t="str">
        <f>IF($A431="","",IFERROR(VLOOKUP($A431,Enquiry!$A:$K,5,0),"-"))</f>
        <v/>
      </c>
      <c r="E431" s="9"/>
      <c r="F431" s="9"/>
      <c r="G431" s="6"/>
      <c r="K431" s="10" t="str">
        <f t="shared" si="6"/>
        <v/>
      </c>
    </row>
    <row r="432" spans="2:11" ht="15" customHeight="1" x14ac:dyDescent="0.35">
      <c r="B432" t="str">
        <f>IF($A432="","",IFERROR(VLOOKUP($A432,Enquiry!$A:$K,3,0),"-"))</f>
        <v/>
      </c>
      <c r="C432" t="str">
        <f>IF($A432="","",IFERROR(VLOOKUP($A432,Enquiry!$A:$K,4,0),"-"))</f>
        <v/>
      </c>
      <c r="D432" t="str">
        <f>IF($A432="","",IFERROR(VLOOKUP($A432,Enquiry!$A:$K,5,0),"-"))</f>
        <v/>
      </c>
      <c r="E432" s="9"/>
      <c r="F432" s="9"/>
      <c r="G432" s="6"/>
      <c r="K432" s="10" t="str">
        <f t="shared" si="6"/>
        <v/>
      </c>
    </row>
    <row r="433" spans="2:11" ht="15" customHeight="1" x14ac:dyDescent="0.35">
      <c r="B433" t="str">
        <f>IF($A433="","",IFERROR(VLOOKUP($A433,Enquiry!$A:$K,3,0),"-"))</f>
        <v/>
      </c>
      <c r="C433" t="str">
        <f>IF($A433="","",IFERROR(VLOOKUP($A433,Enquiry!$A:$K,4,0),"-"))</f>
        <v/>
      </c>
      <c r="D433" t="str">
        <f>IF($A433="","",IFERROR(VLOOKUP($A433,Enquiry!$A:$K,5,0),"-"))</f>
        <v/>
      </c>
      <c r="E433" s="9"/>
      <c r="F433" s="9"/>
      <c r="G433" s="6"/>
      <c r="K433" s="10" t="str">
        <f t="shared" si="6"/>
        <v/>
      </c>
    </row>
    <row r="434" spans="2:11" ht="15" customHeight="1" x14ac:dyDescent="0.35">
      <c r="B434" t="str">
        <f>IF($A434="","",IFERROR(VLOOKUP($A434,Enquiry!$A:$K,3,0),"-"))</f>
        <v/>
      </c>
      <c r="C434" t="str">
        <f>IF($A434="","",IFERROR(VLOOKUP($A434,Enquiry!$A:$K,4,0),"-"))</f>
        <v/>
      </c>
      <c r="D434" t="str">
        <f>IF($A434="","",IFERROR(VLOOKUP($A434,Enquiry!$A:$K,5,0),"-"))</f>
        <v/>
      </c>
      <c r="E434" s="9"/>
      <c r="F434" s="9"/>
      <c r="G434" s="6"/>
      <c r="K434" s="10" t="str">
        <f t="shared" si="6"/>
        <v/>
      </c>
    </row>
    <row r="435" spans="2:11" ht="15" customHeight="1" x14ac:dyDescent="0.35">
      <c r="B435" t="str">
        <f>IF($A435="","",IFERROR(VLOOKUP($A435,Enquiry!$A:$K,3,0),"-"))</f>
        <v/>
      </c>
      <c r="C435" t="str">
        <f>IF($A435="","",IFERROR(VLOOKUP($A435,Enquiry!$A:$K,4,0),"-"))</f>
        <v/>
      </c>
      <c r="D435" t="str">
        <f>IF($A435="","",IFERROR(VLOOKUP($A435,Enquiry!$A:$K,5,0),"-"))</f>
        <v/>
      </c>
      <c r="E435" s="9"/>
      <c r="F435" s="9"/>
      <c r="G435" s="6"/>
      <c r="K435" s="10" t="str">
        <f t="shared" si="6"/>
        <v/>
      </c>
    </row>
    <row r="436" spans="2:11" ht="15" customHeight="1" x14ac:dyDescent="0.35">
      <c r="B436" t="str">
        <f>IF($A436="","",IFERROR(VLOOKUP($A436,Enquiry!$A:$K,3,0),"-"))</f>
        <v/>
      </c>
      <c r="C436" t="str">
        <f>IF($A436="","",IFERROR(VLOOKUP($A436,Enquiry!$A:$K,4,0),"-"))</f>
        <v/>
      </c>
      <c r="D436" t="str">
        <f>IF($A436="","",IFERROR(VLOOKUP($A436,Enquiry!$A:$K,5,0),"-"))</f>
        <v/>
      </c>
      <c r="E436" s="9"/>
      <c r="F436" s="9"/>
      <c r="G436" s="6"/>
      <c r="K436" s="10" t="str">
        <f t="shared" si="6"/>
        <v/>
      </c>
    </row>
    <row r="437" spans="2:11" ht="15" customHeight="1" x14ac:dyDescent="0.35">
      <c r="B437" t="str">
        <f>IF($A437="","",IFERROR(VLOOKUP($A437,Enquiry!$A:$K,3,0),"-"))</f>
        <v/>
      </c>
      <c r="C437" t="str">
        <f>IF($A437="","",IFERROR(VLOOKUP($A437,Enquiry!$A:$K,4,0),"-"))</f>
        <v/>
      </c>
      <c r="D437" t="str">
        <f>IF($A437="","",IFERROR(VLOOKUP($A437,Enquiry!$A:$K,5,0),"-"))</f>
        <v/>
      </c>
      <c r="E437" s="9"/>
      <c r="F437" s="9"/>
      <c r="G437" s="6"/>
      <c r="K437" s="10" t="str">
        <f t="shared" si="6"/>
        <v/>
      </c>
    </row>
    <row r="438" spans="2:11" ht="15" customHeight="1" x14ac:dyDescent="0.35">
      <c r="B438" t="str">
        <f>IF($A438="","",IFERROR(VLOOKUP($A438,Enquiry!$A:$K,3,0),"-"))</f>
        <v/>
      </c>
      <c r="C438" t="str">
        <f>IF($A438="","",IFERROR(VLOOKUP($A438,Enquiry!$A:$K,4,0),"-"))</f>
        <v/>
      </c>
      <c r="D438" t="str">
        <f>IF($A438="","",IFERROR(VLOOKUP($A438,Enquiry!$A:$K,5,0),"-"))</f>
        <v/>
      </c>
      <c r="E438" s="9"/>
      <c r="F438" s="9"/>
      <c r="G438" s="6"/>
      <c r="K438" s="10" t="str">
        <f t="shared" si="6"/>
        <v/>
      </c>
    </row>
    <row r="439" spans="2:11" ht="15" customHeight="1" x14ac:dyDescent="0.35">
      <c r="B439" t="str">
        <f>IF($A439="","",IFERROR(VLOOKUP($A439,Enquiry!$A:$K,3,0),"-"))</f>
        <v/>
      </c>
      <c r="C439" t="str">
        <f>IF($A439="","",IFERROR(VLOOKUP($A439,Enquiry!$A:$K,4,0),"-"))</f>
        <v/>
      </c>
      <c r="D439" t="str">
        <f>IF($A439="","",IFERROR(VLOOKUP($A439,Enquiry!$A:$K,5,0),"-"))</f>
        <v/>
      </c>
      <c r="E439" s="9"/>
      <c r="F439" s="9"/>
      <c r="G439" s="6"/>
      <c r="K439" s="10" t="str">
        <f t="shared" si="6"/>
        <v/>
      </c>
    </row>
    <row r="440" spans="2:11" ht="15" customHeight="1" x14ac:dyDescent="0.35">
      <c r="B440" t="str">
        <f>IF($A440="","",IFERROR(VLOOKUP($A440,Enquiry!$A:$K,3,0),"-"))</f>
        <v/>
      </c>
      <c r="C440" t="str">
        <f>IF($A440="","",IFERROR(VLOOKUP($A440,Enquiry!$A:$K,4,0),"-"))</f>
        <v/>
      </c>
      <c r="D440" t="str">
        <f>IF($A440="","",IFERROR(VLOOKUP($A440,Enquiry!$A:$K,5,0),"-"))</f>
        <v/>
      </c>
      <c r="E440" s="9"/>
      <c r="F440" s="9"/>
      <c r="G440" s="6"/>
      <c r="K440" s="10" t="str">
        <f t="shared" si="6"/>
        <v/>
      </c>
    </row>
    <row r="441" spans="2:11" ht="15" customHeight="1" x14ac:dyDescent="0.35">
      <c r="B441" t="str">
        <f>IF($A441="","",IFERROR(VLOOKUP($A441,Enquiry!$A:$K,3,0),"-"))</f>
        <v/>
      </c>
      <c r="C441" t="str">
        <f>IF($A441="","",IFERROR(VLOOKUP($A441,Enquiry!$A:$K,4,0),"-"))</f>
        <v/>
      </c>
      <c r="D441" t="str">
        <f>IF($A441="","",IFERROR(VLOOKUP($A441,Enquiry!$A:$K,5,0),"-"))</f>
        <v/>
      </c>
      <c r="E441" s="9"/>
      <c r="F441" s="9"/>
      <c r="G441" s="6"/>
      <c r="K441" s="10" t="str">
        <f t="shared" si="6"/>
        <v/>
      </c>
    </row>
    <row r="442" spans="2:11" ht="15" customHeight="1" x14ac:dyDescent="0.35">
      <c r="B442" t="str">
        <f>IF($A442="","",IFERROR(VLOOKUP($A442,Enquiry!$A:$K,3,0),"-"))</f>
        <v/>
      </c>
      <c r="C442" t="str">
        <f>IF($A442="","",IFERROR(VLOOKUP($A442,Enquiry!$A:$K,4,0),"-"))</f>
        <v/>
      </c>
      <c r="D442" t="str">
        <f>IF($A442="","",IFERROR(VLOOKUP($A442,Enquiry!$A:$K,5,0),"-"))</f>
        <v/>
      </c>
      <c r="E442" s="9"/>
      <c r="F442" s="9"/>
      <c r="G442" s="6"/>
      <c r="K442" s="10" t="str">
        <f t="shared" si="6"/>
        <v/>
      </c>
    </row>
    <row r="443" spans="2:11" ht="15" customHeight="1" x14ac:dyDescent="0.35">
      <c r="B443" t="str">
        <f>IF($A443="","",IFERROR(VLOOKUP($A443,Enquiry!$A:$K,3,0),"-"))</f>
        <v/>
      </c>
      <c r="C443" t="str">
        <f>IF($A443="","",IFERROR(VLOOKUP($A443,Enquiry!$A:$K,4,0),"-"))</f>
        <v/>
      </c>
      <c r="D443" t="str">
        <f>IF($A443="","",IFERROR(VLOOKUP($A443,Enquiry!$A:$K,5,0),"-"))</f>
        <v/>
      </c>
      <c r="E443" s="9"/>
      <c r="F443" s="9"/>
      <c r="G443" s="6"/>
      <c r="K443" s="10" t="str">
        <f t="shared" si="6"/>
        <v/>
      </c>
    </row>
    <row r="444" spans="2:11" ht="15" customHeight="1" x14ac:dyDescent="0.35">
      <c r="B444" t="str">
        <f>IF($A444="","",IFERROR(VLOOKUP($A444,Enquiry!$A:$K,3,0),"-"))</f>
        <v/>
      </c>
      <c r="C444" t="str">
        <f>IF($A444="","",IFERROR(VLOOKUP($A444,Enquiry!$A:$K,4,0),"-"))</f>
        <v/>
      </c>
      <c r="D444" t="str">
        <f>IF($A444="","",IFERROR(VLOOKUP($A444,Enquiry!$A:$K,5,0),"-"))</f>
        <v/>
      </c>
      <c r="E444" s="9"/>
      <c r="F444" s="9"/>
      <c r="G444" s="6"/>
      <c r="K444" s="10" t="str">
        <f t="shared" si="6"/>
        <v/>
      </c>
    </row>
    <row r="445" spans="2:11" ht="15" customHeight="1" x14ac:dyDescent="0.35">
      <c r="B445" t="str">
        <f>IF($A445="","",IFERROR(VLOOKUP($A445,Enquiry!$A:$K,3,0),"-"))</f>
        <v/>
      </c>
      <c r="C445" t="str">
        <f>IF($A445="","",IFERROR(VLOOKUP($A445,Enquiry!$A:$K,4,0),"-"))</f>
        <v/>
      </c>
      <c r="D445" t="str">
        <f>IF($A445="","",IFERROR(VLOOKUP($A445,Enquiry!$A:$K,5,0),"-"))</f>
        <v/>
      </c>
      <c r="E445" s="9"/>
      <c r="F445" s="9"/>
      <c r="G445" s="6"/>
      <c r="K445" s="10" t="str">
        <f t="shared" si="6"/>
        <v/>
      </c>
    </row>
    <row r="446" spans="2:11" ht="15" customHeight="1" x14ac:dyDescent="0.35">
      <c r="B446" t="str">
        <f>IF($A446="","",IFERROR(VLOOKUP($A446,Enquiry!$A:$K,3,0),"-"))</f>
        <v/>
      </c>
      <c r="C446" t="str">
        <f>IF($A446="","",IFERROR(VLOOKUP($A446,Enquiry!$A:$K,4,0),"-"))</f>
        <v/>
      </c>
      <c r="D446" t="str">
        <f>IF($A446="","",IFERROR(VLOOKUP($A446,Enquiry!$A:$K,5,0),"-"))</f>
        <v/>
      </c>
      <c r="E446" s="9"/>
      <c r="F446" s="9"/>
      <c r="G446" s="6"/>
      <c r="K446" s="10" t="str">
        <f t="shared" si="6"/>
        <v/>
      </c>
    </row>
    <row r="447" spans="2:11" ht="15" customHeight="1" x14ac:dyDescent="0.35">
      <c r="B447" t="str">
        <f>IF($A447="","",IFERROR(VLOOKUP($A447,Enquiry!$A:$K,3,0),"-"))</f>
        <v/>
      </c>
      <c r="C447" t="str">
        <f>IF($A447="","",IFERROR(VLOOKUP($A447,Enquiry!$A:$K,4,0),"-"))</f>
        <v/>
      </c>
      <c r="D447" t="str">
        <f>IF($A447="","",IFERROR(VLOOKUP($A447,Enquiry!$A:$K,5,0),"-"))</f>
        <v/>
      </c>
      <c r="E447" s="9"/>
      <c r="F447" s="9"/>
      <c r="G447" s="6"/>
      <c r="K447" s="10" t="str">
        <f t="shared" si="6"/>
        <v/>
      </c>
    </row>
    <row r="448" spans="2:11" ht="15" customHeight="1" x14ac:dyDescent="0.35">
      <c r="B448" t="str">
        <f>IF($A448="","",IFERROR(VLOOKUP($A448,Enquiry!$A:$K,3,0),"-"))</f>
        <v/>
      </c>
      <c r="C448" t="str">
        <f>IF($A448="","",IFERROR(VLOOKUP($A448,Enquiry!$A:$K,4,0),"-"))</f>
        <v/>
      </c>
      <c r="D448" t="str">
        <f>IF($A448="","",IFERROR(VLOOKUP($A448,Enquiry!$A:$K,5,0),"-"))</f>
        <v/>
      </c>
      <c r="E448" s="9"/>
      <c r="F448" s="9"/>
      <c r="G448" s="6"/>
      <c r="K448" s="10" t="str">
        <f t="shared" si="6"/>
        <v/>
      </c>
    </row>
    <row r="449" spans="2:11" ht="15" customHeight="1" x14ac:dyDescent="0.35">
      <c r="B449" t="str">
        <f>IF($A449="","",IFERROR(VLOOKUP($A449,Enquiry!$A:$K,3,0),"-"))</f>
        <v/>
      </c>
      <c r="C449" t="str">
        <f>IF($A449="","",IFERROR(VLOOKUP($A449,Enquiry!$A:$K,4,0),"-"))</f>
        <v/>
      </c>
      <c r="D449" t="str">
        <f>IF($A449="","",IFERROR(VLOOKUP($A449,Enquiry!$A:$K,5,0),"-"))</f>
        <v/>
      </c>
      <c r="E449" s="9"/>
      <c r="F449" s="9"/>
      <c r="G449" s="6"/>
      <c r="K449" s="10" t="str">
        <f t="shared" si="6"/>
        <v/>
      </c>
    </row>
    <row r="450" spans="2:11" ht="15" customHeight="1" x14ac:dyDescent="0.35">
      <c r="B450" t="str">
        <f>IF($A450="","",IFERROR(VLOOKUP($A450,Enquiry!$A:$K,3,0),"-"))</f>
        <v/>
      </c>
      <c r="C450" t="str">
        <f>IF($A450="","",IFERROR(VLOOKUP($A450,Enquiry!$A:$K,4,0),"-"))</f>
        <v/>
      </c>
      <c r="D450" t="str">
        <f>IF($A450="","",IFERROR(VLOOKUP($A450,Enquiry!$A:$K,5,0),"-"))</f>
        <v/>
      </c>
      <c r="E450" s="9"/>
      <c r="F450" s="9"/>
      <c r="G450" s="6"/>
      <c r="K450" s="10" t="str">
        <f t="shared" si="6"/>
        <v/>
      </c>
    </row>
    <row r="451" spans="2:11" ht="15" customHeight="1" x14ac:dyDescent="0.35">
      <c r="B451" t="str">
        <f>IF($A451="","",IFERROR(VLOOKUP($A451,Enquiry!$A:$K,3,0),"-"))</f>
        <v/>
      </c>
      <c r="C451" t="str">
        <f>IF($A451="","",IFERROR(VLOOKUP($A451,Enquiry!$A:$K,4,0),"-"))</f>
        <v/>
      </c>
      <c r="D451" t="str">
        <f>IF($A451="","",IFERROR(VLOOKUP($A451,Enquiry!$A:$K,5,0),"-"))</f>
        <v/>
      </c>
      <c r="E451" s="9"/>
      <c r="F451" s="9"/>
      <c r="G451" s="6"/>
      <c r="K451" s="10" t="str">
        <f t="shared" si="6"/>
        <v/>
      </c>
    </row>
    <row r="452" spans="2:11" ht="15" customHeight="1" x14ac:dyDescent="0.35">
      <c r="B452" t="str">
        <f>IF($A452="","",IFERROR(VLOOKUP($A452,Enquiry!$A:$K,3,0),"-"))</f>
        <v/>
      </c>
      <c r="C452" t="str">
        <f>IF($A452="","",IFERROR(VLOOKUP($A452,Enquiry!$A:$K,4,0),"-"))</f>
        <v/>
      </c>
      <c r="D452" t="str">
        <f>IF($A452="","",IFERROR(VLOOKUP($A452,Enquiry!$A:$K,5,0),"-"))</f>
        <v/>
      </c>
      <c r="E452" s="9"/>
      <c r="F452" s="9"/>
      <c r="G452" s="6"/>
      <c r="K452" s="10" t="str">
        <f t="shared" si="6"/>
        <v/>
      </c>
    </row>
    <row r="453" spans="2:11" ht="15" customHeight="1" x14ac:dyDescent="0.35">
      <c r="B453" t="str">
        <f>IF($A453="","",IFERROR(VLOOKUP($A453,Enquiry!$A:$K,3,0),"-"))</f>
        <v/>
      </c>
      <c r="C453" t="str">
        <f>IF($A453="","",IFERROR(VLOOKUP($A453,Enquiry!$A:$K,4,0),"-"))</f>
        <v/>
      </c>
      <c r="D453" t="str">
        <f>IF($A453="","",IFERROR(VLOOKUP($A453,Enquiry!$A:$K,5,0),"-"))</f>
        <v/>
      </c>
      <c r="E453" s="9"/>
      <c r="F453" s="9"/>
      <c r="G453" s="6"/>
      <c r="K453" s="10" t="str">
        <f t="shared" si="6"/>
        <v/>
      </c>
    </row>
    <row r="454" spans="2:11" ht="15" customHeight="1" x14ac:dyDescent="0.35">
      <c r="B454" t="str">
        <f>IF($A454="","",IFERROR(VLOOKUP($A454,Enquiry!$A:$K,3,0),"-"))</f>
        <v/>
      </c>
      <c r="C454" t="str">
        <f>IF($A454="","",IFERROR(VLOOKUP($A454,Enquiry!$A:$K,4,0),"-"))</f>
        <v/>
      </c>
      <c r="D454" t="str">
        <f>IF($A454="","",IFERROR(VLOOKUP($A454,Enquiry!$A:$K,5,0),"-"))</f>
        <v/>
      </c>
      <c r="E454" s="9"/>
      <c r="F454" s="9"/>
      <c r="G454" s="6"/>
      <c r="K454" s="10" t="str">
        <f t="shared" si="6"/>
        <v/>
      </c>
    </row>
    <row r="455" spans="2:11" ht="15" customHeight="1" x14ac:dyDescent="0.35">
      <c r="B455" t="str">
        <f>IF($A455="","",IFERROR(VLOOKUP($A455,Enquiry!$A:$K,3,0),"-"))</f>
        <v/>
      </c>
      <c r="C455" t="str">
        <f>IF($A455="","",IFERROR(VLOOKUP($A455,Enquiry!$A:$K,4,0),"-"))</f>
        <v/>
      </c>
      <c r="D455" t="str">
        <f>IF($A455="","",IFERROR(VLOOKUP($A455,Enquiry!$A:$K,5,0),"-"))</f>
        <v/>
      </c>
      <c r="E455" s="9"/>
      <c r="F455" s="9"/>
      <c r="G455" s="6"/>
      <c r="K455" s="10" t="str">
        <f t="shared" si="6"/>
        <v/>
      </c>
    </row>
    <row r="456" spans="2:11" ht="15" customHeight="1" x14ac:dyDescent="0.35">
      <c r="B456" t="str">
        <f>IF($A456="","",IFERROR(VLOOKUP($A456,Enquiry!$A:$K,3,0),"-"))</f>
        <v/>
      </c>
      <c r="C456" t="str">
        <f>IF($A456="","",IFERROR(VLOOKUP($A456,Enquiry!$A:$K,4,0),"-"))</f>
        <v/>
      </c>
      <c r="D456" t="str">
        <f>IF($A456="","",IFERROR(VLOOKUP($A456,Enquiry!$A:$K,5,0),"-"))</f>
        <v/>
      </c>
      <c r="E456" s="9"/>
      <c r="F456" s="9"/>
      <c r="G456" s="6"/>
      <c r="K456" s="10" t="str">
        <f t="shared" si="6"/>
        <v/>
      </c>
    </row>
    <row r="457" spans="2:11" ht="15" customHeight="1" x14ac:dyDescent="0.35">
      <c r="B457" t="str">
        <f>IF($A457="","",IFERROR(VLOOKUP($A457,Enquiry!$A:$K,3,0),"-"))</f>
        <v/>
      </c>
      <c r="C457" t="str">
        <f>IF($A457="","",IFERROR(VLOOKUP($A457,Enquiry!$A:$K,4,0),"-"))</f>
        <v/>
      </c>
      <c r="D457" t="str">
        <f>IF($A457="","",IFERROR(VLOOKUP($A457,Enquiry!$A:$K,5,0),"-"))</f>
        <v/>
      </c>
      <c r="E457" s="9"/>
      <c r="F457" s="9"/>
      <c r="G457" s="6"/>
      <c r="K457" s="10" t="str">
        <f t="shared" si="6"/>
        <v/>
      </c>
    </row>
    <row r="458" spans="2:11" ht="15" customHeight="1" x14ac:dyDescent="0.35">
      <c r="B458" t="str">
        <f>IF($A458="","",IFERROR(VLOOKUP($A458,Enquiry!$A:$K,3,0),"-"))</f>
        <v/>
      </c>
      <c r="C458" t="str">
        <f>IF($A458="","",IFERROR(VLOOKUP($A458,Enquiry!$A:$K,4,0),"-"))</f>
        <v/>
      </c>
      <c r="D458" t="str">
        <f>IF($A458="","",IFERROR(VLOOKUP($A458,Enquiry!$A:$K,5,0),"-"))</f>
        <v/>
      </c>
      <c r="E458" s="9"/>
      <c r="F458" s="9"/>
      <c r="G458" s="6"/>
      <c r="K458" s="10" t="str">
        <f t="shared" si="6"/>
        <v/>
      </c>
    </row>
    <row r="459" spans="2:11" ht="15" customHeight="1" x14ac:dyDescent="0.35">
      <c r="B459" t="str">
        <f>IF($A459="","",IFERROR(VLOOKUP($A459,Enquiry!$A:$K,3,0),"-"))</f>
        <v/>
      </c>
      <c r="C459" t="str">
        <f>IF($A459="","",IFERROR(VLOOKUP($A459,Enquiry!$A:$K,4,0),"-"))</f>
        <v/>
      </c>
      <c r="D459" t="str">
        <f>IF($A459="","",IFERROR(VLOOKUP($A459,Enquiry!$A:$K,5,0),"-"))</f>
        <v/>
      </c>
      <c r="E459" s="9"/>
      <c r="F459" s="9"/>
      <c r="G459" s="6"/>
      <c r="K459" s="10" t="str">
        <f t="shared" si="6"/>
        <v/>
      </c>
    </row>
    <row r="460" spans="2:11" ht="15" customHeight="1" x14ac:dyDescent="0.35">
      <c r="B460" t="str">
        <f>IF($A460="","",IFERROR(VLOOKUP($A460,Enquiry!$A:$K,3,0),"-"))</f>
        <v/>
      </c>
      <c r="C460" t="str">
        <f>IF($A460="","",IFERROR(VLOOKUP($A460,Enquiry!$A:$K,4,0),"-"))</f>
        <v/>
      </c>
      <c r="D460" t="str">
        <f>IF($A460="","",IFERROR(VLOOKUP($A460,Enquiry!$A:$K,5,0),"-"))</f>
        <v/>
      </c>
      <c r="E460" s="9"/>
      <c r="F460" s="9"/>
      <c r="G460" s="6"/>
      <c r="K460" s="10" t="str">
        <f t="shared" si="6"/>
        <v/>
      </c>
    </row>
    <row r="461" spans="2:11" ht="15" customHeight="1" x14ac:dyDescent="0.35">
      <c r="B461" t="str">
        <f>IF($A461="","",IFERROR(VLOOKUP($A461,Enquiry!$A:$K,3,0),"-"))</f>
        <v/>
      </c>
      <c r="C461" t="str">
        <f>IF($A461="","",IFERROR(VLOOKUP($A461,Enquiry!$A:$K,4,0),"-"))</f>
        <v/>
      </c>
      <c r="D461" t="str">
        <f>IF($A461="","",IFERROR(VLOOKUP($A461,Enquiry!$A:$K,5,0),"-"))</f>
        <v/>
      </c>
      <c r="E461" s="9"/>
      <c r="F461" s="9"/>
      <c r="G461" s="6"/>
      <c r="K461" s="10" t="str">
        <f t="shared" si="6"/>
        <v/>
      </c>
    </row>
    <row r="462" spans="2:11" ht="15" customHeight="1" x14ac:dyDescent="0.35">
      <c r="B462" t="str">
        <f>IF($A462="","",IFERROR(VLOOKUP($A462,Enquiry!$A:$K,3,0),"-"))</f>
        <v/>
      </c>
      <c r="C462" t="str">
        <f>IF($A462="","",IFERROR(VLOOKUP($A462,Enquiry!$A:$K,4,0),"-"))</f>
        <v/>
      </c>
      <c r="D462" t="str">
        <f>IF($A462="","",IFERROR(VLOOKUP($A462,Enquiry!$A:$K,5,0),"-"))</f>
        <v/>
      </c>
      <c r="E462" s="9"/>
      <c r="F462" s="9"/>
      <c r="G462" s="6"/>
      <c r="K462" s="10" t="str">
        <f t="shared" si="6"/>
        <v/>
      </c>
    </row>
    <row r="463" spans="2:11" ht="15" customHeight="1" x14ac:dyDescent="0.35">
      <c r="B463" t="str">
        <f>IF($A463="","",IFERROR(VLOOKUP($A463,Enquiry!$A:$K,3,0),"-"))</f>
        <v/>
      </c>
      <c r="C463" t="str">
        <f>IF($A463="","",IFERROR(VLOOKUP($A463,Enquiry!$A:$K,4,0),"-"))</f>
        <v/>
      </c>
      <c r="D463" t="str">
        <f>IF($A463="","",IFERROR(VLOOKUP($A463,Enquiry!$A:$K,5,0),"-"))</f>
        <v/>
      </c>
      <c r="E463" s="9"/>
      <c r="F463" s="9"/>
      <c r="G463" s="6"/>
      <c r="K463" s="10" t="str">
        <f t="shared" si="6"/>
        <v/>
      </c>
    </row>
    <row r="464" spans="2:11" ht="15" customHeight="1" x14ac:dyDescent="0.35">
      <c r="B464" t="str">
        <f>IF($A464="","",IFERROR(VLOOKUP($A464,Enquiry!$A:$K,3,0),"-"))</f>
        <v/>
      </c>
      <c r="C464" t="str">
        <f>IF($A464="","",IFERROR(VLOOKUP($A464,Enquiry!$A:$K,4,0),"-"))</f>
        <v/>
      </c>
      <c r="D464" t="str">
        <f>IF($A464="","",IFERROR(VLOOKUP($A464,Enquiry!$A:$K,5,0),"-"))</f>
        <v/>
      </c>
      <c r="E464" s="9"/>
      <c r="F464" s="9"/>
      <c r="G464" s="6"/>
      <c r="K464" s="10" t="str">
        <f t="shared" si="6"/>
        <v/>
      </c>
    </row>
    <row r="465" spans="2:11" ht="15" customHeight="1" x14ac:dyDescent="0.35">
      <c r="B465" t="str">
        <f>IF($A465="","",IFERROR(VLOOKUP($A465,Enquiry!$A:$K,3,0),"-"))</f>
        <v/>
      </c>
      <c r="C465" t="str">
        <f>IF($A465="","",IFERROR(VLOOKUP($A465,Enquiry!$A:$K,4,0),"-"))</f>
        <v/>
      </c>
      <c r="D465" t="str">
        <f>IF($A465="","",IFERROR(VLOOKUP($A465,Enquiry!$A:$K,5,0),"-"))</f>
        <v/>
      </c>
      <c r="E465" s="9"/>
      <c r="F465" s="9"/>
      <c r="G465" s="6"/>
      <c r="K465" s="10" t="str">
        <f t="shared" si="6"/>
        <v/>
      </c>
    </row>
    <row r="466" spans="2:11" ht="15" customHeight="1" x14ac:dyDescent="0.35">
      <c r="B466" t="str">
        <f>IF($A466="","",IFERROR(VLOOKUP($A466,Enquiry!$A:$K,3,0),"-"))</f>
        <v/>
      </c>
      <c r="C466" t="str">
        <f>IF($A466="","",IFERROR(VLOOKUP($A466,Enquiry!$A:$K,4,0),"-"))</f>
        <v/>
      </c>
      <c r="D466" t="str">
        <f>IF($A466="","",IFERROR(VLOOKUP($A466,Enquiry!$A:$K,5,0),"-"))</f>
        <v/>
      </c>
      <c r="E466" s="9"/>
      <c r="F466" s="9"/>
      <c r="G466" s="6"/>
      <c r="K466" s="10" t="str">
        <f t="shared" si="6"/>
        <v/>
      </c>
    </row>
    <row r="467" spans="2:11" ht="15" customHeight="1" x14ac:dyDescent="0.35">
      <c r="B467" t="str">
        <f>IF($A467="","",IFERROR(VLOOKUP($A467,Enquiry!$A:$K,3,0),"-"))</f>
        <v/>
      </c>
      <c r="C467" t="str">
        <f>IF($A467="","",IFERROR(VLOOKUP($A467,Enquiry!$A:$K,4,0),"-"))</f>
        <v/>
      </c>
      <c r="D467" t="str">
        <f>IF($A467="","",IFERROR(VLOOKUP($A467,Enquiry!$A:$K,5,0),"-"))</f>
        <v/>
      </c>
      <c r="E467" s="9"/>
      <c r="F467" s="9"/>
      <c r="G467" s="6"/>
      <c r="K467" s="10" t="str">
        <f t="shared" si="6"/>
        <v/>
      </c>
    </row>
    <row r="468" spans="2:11" ht="15" customHeight="1" x14ac:dyDescent="0.35">
      <c r="B468" t="str">
        <f>IF($A468="","",IFERROR(VLOOKUP($A468,Enquiry!$A:$K,3,0),"-"))</f>
        <v/>
      </c>
      <c r="C468" t="str">
        <f>IF($A468="","",IFERROR(VLOOKUP($A468,Enquiry!$A:$K,4,0),"-"))</f>
        <v/>
      </c>
      <c r="D468" t="str">
        <f>IF($A468="","",IFERROR(VLOOKUP($A468,Enquiry!$A:$K,5,0),"-"))</f>
        <v/>
      </c>
      <c r="E468" s="9"/>
      <c r="F468" s="9"/>
      <c r="G468" s="6"/>
      <c r="K468" s="10" t="str">
        <f t="shared" si="6"/>
        <v/>
      </c>
    </row>
    <row r="469" spans="2:11" ht="15" customHeight="1" x14ac:dyDescent="0.35">
      <c r="B469" t="str">
        <f>IF($A469="","",IFERROR(VLOOKUP($A469,Enquiry!$A:$K,3,0),"-"))</f>
        <v/>
      </c>
      <c r="C469" t="str">
        <f>IF($A469="","",IFERROR(VLOOKUP($A469,Enquiry!$A:$K,4,0),"-"))</f>
        <v/>
      </c>
      <c r="D469" t="str">
        <f>IF($A469="","",IFERROR(VLOOKUP($A469,Enquiry!$A:$K,5,0),"-"))</f>
        <v/>
      </c>
      <c r="E469" s="9"/>
      <c r="F469" s="9"/>
      <c r="G469" s="6"/>
      <c r="K469" s="10" t="str">
        <f t="shared" si="6"/>
        <v/>
      </c>
    </row>
    <row r="470" spans="2:11" ht="15" customHeight="1" x14ac:dyDescent="0.35">
      <c r="B470" t="str">
        <f>IF($A470="","",IFERROR(VLOOKUP($A470,Enquiry!$A:$K,3,0),"-"))</f>
        <v/>
      </c>
      <c r="C470" t="str">
        <f>IF($A470="","",IFERROR(VLOOKUP($A470,Enquiry!$A:$K,4,0),"-"))</f>
        <v/>
      </c>
      <c r="D470" t="str">
        <f>IF($A470="","",IFERROR(VLOOKUP($A470,Enquiry!$A:$K,5,0),"-"))</f>
        <v/>
      </c>
      <c r="E470" s="9"/>
      <c r="F470" s="9"/>
      <c r="G470" s="6"/>
      <c r="K470" s="10" t="str">
        <f t="shared" si="6"/>
        <v/>
      </c>
    </row>
    <row r="471" spans="2:11" ht="15" customHeight="1" x14ac:dyDescent="0.35">
      <c r="B471" t="str">
        <f>IF($A471="","",IFERROR(VLOOKUP($A471,Enquiry!$A:$K,3,0),"-"))</f>
        <v/>
      </c>
      <c r="C471" t="str">
        <f>IF($A471="","",IFERROR(VLOOKUP($A471,Enquiry!$A:$K,4,0),"-"))</f>
        <v/>
      </c>
      <c r="D471" t="str">
        <f>IF($A471="","",IFERROR(VLOOKUP($A471,Enquiry!$A:$K,5,0),"-"))</f>
        <v/>
      </c>
      <c r="E471" s="9"/>
      <c r="F471" s="9"/>
      <c r="G471" s="6"/>
      <c r="K471" s="10" t="str">
        <f t="shared" si="6"/>
        <v/>
      </c>
    </row>
    <row r="472" spans="2:11" ht="15" customHeight="1" x14ac:dyDescent="0.35">
      <c r="B472" t="str">
        <f>IF($A472="","",IFERROR(VLOOKUP($A472,Enquiry!$A:$K,3,0),"-"))</f>
        <v/>
      </c>
      <c r="C472" t="str">
        <f>IF($A472="","",IFERROR(VLOOKUP($A472,Enquiry!$A:$K,4,0),"-"))</f>
        <v/>
      </c>
      <c r="D472" t="str">
        <f>IF($A472="","",IFERROR(VLOOKUP($A472,Enquiry!$A:$K,5,0),"-"))</f>
        <v/>
      </c>
      <c r="E472" s="9"/>
      <c r="F472" s="9"/>
      <c r="G472" s="6"/>
      <c r="K472" s="10" t="str">
        <f t="shared" si="6"/>
        <v/>
      </c>
    </row>
    <row r="473" spans="2:11" ht="15" customHeight="1" x14ac:dyDescent="0.35">
      <c r="B473" t="str">
        <f>IF($A473="","",IFERROR(VLOOKUP($A473,Enquiry!$A:$K,3,0),"-"))</f>
        <v/>
      </c>
      <c r="C473" t="str">
        <f>IF($A473="","",IFERROR(VLOOKUP($A473,Enquiry!$A:$K,4,0),"-"))</f>
        <v/>
      </c>
      <c r="D473" t="str">
        <f>IF($A473="","",IFERROR(VLOOKUP($A473,Enquiry!$A:$K,5,0),"-"))</f>
        <v/>
      </c>
      <c r="E473" s="9"/>
      <c r="F473" s="9"/>
      <c r="G473" s="6"/>
      <c r="K473" s="10" t="str">
        <f t="shared" si="6"/>
        <v/>
      </c>
    </row>
    <row r="474" spans="2:11" ht="15" customHeight="1" x14ac:dyDescent="0.35">
      <c r="B474" t="str">
        <f>IF($A474="","",IFERROR(VLOOKUP($A474,Enquiry!$A:$K,3,0),"-"))</f>
        <v/>
      </c>
      <c r="C474" t="str">
        <f>IF($A474="","",IFERROR(VLOOKUP($A474,Enquiry!$A:$K,4,0),"-"))</f>
        <v/>
      </c>
      <c r="D474" t="str">
        <f>IF($A474="","",IFERROR(VLOOKUP($A474,Enquiry!$A:$K,5,0),"-"))</f>
        <v/>
      </c>
      <c r="E474" s="9"/>
      <c r="F474" s="9"/>
      <c r="G474" s="6"/>
      <c r="K474" s="10" t="str">
        <f t="shared" si="6"/>
        <v/>
      </c>
    </row>
    <row r="475" spans="2:11" ht="15" customHeight="1" x14ac:dyDescent="0.35">
      <c r="B475" t="str">
        <f>IF($A475="","",IFERROR(VLOOKUP($A475,Enquiry!$A:$K,3,0),"-"))</f>
        <v/>
      </c>
      <c r="C475" t="str">
        <f>IF($A475="","",IFERROR(VLOOKUP($A475,Enquiry!$A:$K,4,0),"-"))</f>
        <v/>
      </c>
      <c r="D475" t="str">
        <f>IF($A475="","",IFERROR(VLOOKUP($A475,Enquiry!$A:$K,5,0),"-"))</f>
        <v/>
      </c>
      <c r="E475" s="9"/>
      <c r="F475" s="9"/>
      <c r="G475" s="6"/>
      <c r="K475" s="10" t="str">
        <f t="shared" si="6"/>
        <v/>
      </c>
    </row>
    <row r="476" spans="2:11" ht="15" customHeight="1" x14ac:dyDescent="0.35">
      <c r="B476" t="str">
        <f>IF($A476="","",IFERROR(VLOOKUP($A476,Enquiry!$A:$K,3,0),"-"))</f>
        <v/>
      </c>
      <c r="C476" t="str">
        <f>IF($A476="","",IFERROR(VLOOKUP($A476,Enquiry!$A:$K,4,0),"-"))</f>
        <v/>
      </c>
      <c r="D476" t="str">
        <f>IF($A476="","",IFERROR(VLOOKUP($A476,Enquiry!$A:$K,5,0),"-"))</f>
        <v/>
      </c>
      <c r="E476" s="9"/>
      <c r="F476" s="9"/>
      <c r="G476" s="6"/>
      <c r="K476" s="10" t="str">
        <f t="shared" si="6"/>
        <v/>
      </c>
    </row>
    <row r="477" spans="2:11" ht="15" customHeight="1" x14ac:dyDescent="0.35">
      <c r="B477" t="str">
        <f>IF($A477="","",IFERROR(VLOOKUP($A477,Enquiry!$A:$K,3,0),"-"))</f>
        <v/>
      </c>
      <c r="C477" t="str">
        <f>IF($A477="","",IFERROR(VLOOKUP($A477,Enquiry!$A:$K,4,0),"-"))</f>
        <v/>
      </c>
      <c r="D477" t="str">
        <f>IF($A477="","",IFERROR(VLOOKUP($A477,Enquiry!$A:$K,5,0),"-"))</f>
        <v/>
      </c>
      <c r="E477" s="9"/>
      <c r="F477" s="9"/>
      <c r="G477" s="6"/>
      <c r="K477" s="10" t="str">
        <f t="shared" si="6"/>
        <v/>
      </c>
    </row>
    <row r="478" spans="2:11" ht="15" customHeight="1" x14ac:dyDescent="0.35">
      <c r="B478" t="str">
        <f>IF($A478="","",IFERROR(VLOOKUP($A478,Enquiry!$A:$K,3,0),"-"))</f>
        <v/>
      </c>
      <c r="C478" t="str">
        <f>IF($A478="","",IFERROR(VLOOKUP($A478,Enquiry!$A:$K,4,0),"-"))</f>
        <v/>
      </c>
      <c r="D478" t="str">
        <f>IF($A478="","",IFERROR(VLOOKUP($A478,Enquiry!$A:$K,5,0),"-"))</f>
        <v/>
      </c>
      <c r="E478" s="9"/>
      <c r="F478" s="9"/>
      <c r="G478" s="6"/>
      <c r="K478" s="10" t="str">
        <f t="shared" si="6"/>
        <v/>
      </c>
    </row>
    <row r="479" spans="2:11" ht="15" customHeight="1" x14ac:dyDescent="0.35">
      <c r="B479" t="str">
        <f>IF($A479="","",IFERROR(VLOOKUP($A479,Enquiry!$A:$K,3,0),"-"))</f>
        <v/>
      </c>
      <c r="C479" t="str">
        <f>IF($A479="","",IFERROR(VLOOKUP($A479,Enquiry!$A:$K,4,0),"-"))</f>
        <v/>
      </c>
      <c r="D479" t="str">
        <f>IF($A479="","",IFERROR(VLOOKUP($A479,Enquiry!$A:$K,5,0),"-"))</f>
        <v/>
      </c>
      <c r="E479" s="9"/>
      <c r="F479" s="9"/>
      <c r="G479" s="6"/>
      <c r="K479" s="10" t="str">
        <f t="shared" si="6"/>
        <v/>
      </c>
    </row>
    <row r="480" spans="2:11" ht="15" customHeight="1" x14ac:dyDescent="0.35">
      <c r="B480" t="str">
        <f>IF($A480="","",IFERROR(VLOOKUP($A480,Enquiry!$A:$K,3,0),"-"))</f>
        <v/>
      </c>
      <c r="C480" t="str">
        <f>IF($A480="","",IFERROR(VLOOKUP($A480,Enquiry!$A:$K,4,0),"-"))</f>
        <v/>
      </c>
      <c r="D480" t="str">
        <f>IF($A480="","",IFERROR(VLOOKUP($A480,Enquiry!$A:$K,5,0),"-"))</f>
        <v/>
      </c>
      <c r="E480" s="9"/>
      <c r="F480" s="9"/>
      <c r="G480" s="6"/>
      <c r="K480" s="10" t="str">
        <f t="shared" si="6"/>
        <v/>
      </c>
    </row>
    <row r="481" spans="2:11" ht="15" customHeight="1" x14ac:dyDescent="0.35">
      <c r="B481" t="str">
        <f>IF($A481="","",IFERROR(VLOOKUP($A481,Enquiry!$A:$K,3,0),"-"))</f>
        <v/>
      </c>
      <c r="C481" t="str">
        <f>IF($A481="","",IFERROR(VLOOKUP($A481,Enquiry!$A:$K,4,0),"-"))</f>
        <v/>
      </c>
      <c r="D481" t="str">
        <f>IF($A481="","",IFERROR(VLOOKUP($A481,Enquiry!$A:$K,5,0),"-"))</f>
        <v/>
      </c>
      <c r="E481" s="9"/>
      <c r="F481" s="9"/>
      <c r="G481" s="6"/>
      <c r="K481" s="10" t="str">
        <f t="shared" ref="K481:K502" si="7">IF(A481="","",IF(H481="Win","✅ Move to PO Workflow","⬜ Not Won Yet"))</f>
        <v/>
      </c>
    </row>
    <row r="482" spans="2:11" ht="15" customHeight="1" x14ac:dyDescent="0.35">
      <c r="B482" t="str">
        <f>IF($A482="","",IFERROR(VLOOKUP($A482,Enquiry!$A:$K,3,0),"-"))</f>
        <v/>
      </c>
      <c r="C482" t="str">
        <f>IF($A482="","",IFERROR(VLOOKUP($A482,Enquiry!$A:$K,4,0),"-"))</f>
        <v/>
      </c>
      <c r="D482" t="str">
        <f>IF($A482="","",IFERROR(VLOOKUP($A482,Enquiry!$A:$K,5,0),"-"))</f>
        <v/>
      </c>
      <c r="E482" s="9"/>
      <c r="F482" s="9"/>
      <c r="G482" s="6"/>
      <c r="K482" s="10" t="str">
        <f t="shared" si="7"/>
        <v/>
      </c>
    </row>
    <row r="483" spans="2:11" ht="15" customHeight="1" x14ac:dyDescent="0.35">
      <c r="B483" t="str">
        <f>IF($A483="","",IFERROR(VLOOKUP($A483,Enquiry!$A:$K,3,0),"-"))</f>
        <v/>
      </c>
      <c r="C483" t="str">
        <f>IF($A483="","",IFERROR(VLOOKUP($A483,Enquiry!$A:$K,4,0),"-"))</f>
        <v/>
      </c>
      <c r="D483" t="str">
        <f>IF($A483="","",IFERROR(VLOOKUP($A483,Enquiry!$A:$K,5,0),"-"))</f>
        <v/>
      </c>
      <c r="E483" s="9"/>
      <c r="F483" s="9"/>
      <c r="G483" s="6"/>
      <c r="K483" s="10" t="str">
        <f t="shared" si="7"/>
        <v/>
      </c>
    </row>
    <row r="484" spans="2:11" ht="15" customHeight="1" x14ac:dyDescent="0.35">
      <c r="B484" t="str">
        <f>IF($A484="","",IFERROR(VLOOKUP($A484,Enquiry!$A:$K,3,0),"-"))</f>
        <v/>
      </c>
      <c r="C484" t="str">
        <f>IF($A484="","",IFERROR(VLOOKUP($A484,Enquiry!$A:$K,4,0),"-"))</f>
        <v/>
      </c>
      <c r="D484" t="str">
        <f>IF($A484="","",IFERROR(VLOOKUP($A484,Enquiry!$A:$K,5,0),"-"))</f>
        <v/>
      </c>
      <c r="E484" s="9"/>
      <c r="F484" s="9"/>
      <c r="G484" s="6"/>
      <c r="K484" s="10" t="str">
        <f t="shared" si="7"/>
        <v/>
      </c>
    </row>
    <row r="485" spans="2:11" ht="15" customHeight="1" x14ac:dyDescent="0.35">
      <c r="B485" t="str">
        <f>IF($A485="","",IFERROR(VLOOKUP($A485,Enquiry!$A:$K,3,0),"-"))</f>
        <v/>
      </c>
      <c r="C485" t="str">
        <f>IF($A485="","",IFERROR(VLOOKUP($A485,Enquiry!$A:$K,4,0),"-"))</f>
        <v/>
      </c>
      <c r="D485" t="str">
        <f>IF($A485="","",IFERROR(VLOOKUP($A485,Enquiry!$A:$K,5,0),"-"))</f>
        <v/>
      </c>
      <c r="E485" s="9"/>
      <c r="F485" s="9"/>
      <c r="G485" s="6"/>
      <c r="K485" s="10" t="str">
        <f t="shared" si="7"/>
        <v/>
      </c>
    </row>
    <row r="486" spans="2:11" ht="15" customHeight="1" x14ac:dyDescent="0.35">
      <c r="B486" t="str">
        <f>IF($A486="","",IFERROR(VLOOKUP($A486,Enquiry!$A:$K,3,0),"-"))</f>
        <v/>
      </c>
      <c r="C486" t="str">
        <f>IF($A486="","",IFERROR(VLOOKUP($A486,Enquiry!$A:$K,4,0),"-"))</f>
        <v/>
      </c>
      <c r="D486" t="str">
        <f>IF($A486="","",IFERROR(VLOOKUP($A486,Enquiry!$A:$K,5,0),"-"))</f>
        <v/>
      </c>
      <c r="E486" s="9"/>
      <c r="F486" s="9"/>
      <c r="G486" s="6"/>
      <c r="K486" s="10" t="str">
        <f t="shared" si="7"/>
        <v/>
      </c>
    </row>
    <row r="487" spans="2:11" ht="15" customHeight="1" x14ac:dyDescent="0.35">
      <c r="B487" t="str">
        <f>IF($A487="","",IFERROR(VLOOKUP($A487,Enquiry!$A:$K,3,0),"-"))</f>
        <v/>
      </c>
      <c r="C487" t="str">
        <f>IF($A487="","",IFERROR(VLOOKUP($A487,Enquiry!$A:$K,4,0),"-"))</f>
        <v/>
      </c>
      <c r="D487" t="str">
        <f>IF($A487="","",IFERROR(VLOOKUP($A487,Enquiry!$A:$K,5,0),"-"))</f>
        <v/>
      </c>
      <c r="E487" s="9"/>
      <c r="F487" s="9"/>
      <c r="G487" s="6"/>
      <c r="K487" s="10" t="str">
        <f t="shared" si="7"/>
        <v/>
      </c>
    </row>
    <row r="488" spans="2:11" ht="15" customHeight="1" x14ac:dyDescent="0.35">
      <c r="B488" t="str">
        <f>IF($A488="","",IFERROR(VLOOKUP($A488,Enquiry!$A:$K,3,0),"-"))</f>
        <v/>
      </c>
      <c r="C488" t="str">
        <f>IF($A488="","",IFERROR(VLOOKUP($A488,Enquiry!$A:$K,4,0),"-"))</f>
        <v/>
      </c>
      <c r="D488" t="str">
        <f>IF($A488="","",IFERROR(VLOOKUP($A488,Enquiry!$A:$K,5,0),"-"))</f>
        <v/>
      </c>
      <c r="E488" s="9"/>
      <c r="F488" s="9"/>
      <c r="G488" s="6"/>
      <c r="K488" s="10" t="str">
        <f t="shared" si="7"/>
        <v/>
      </c>
    </row>
    <row r="489" spans="2:11" ht="15" customHeight="1" x14ac:dyDescent="0.35">
      <c r="B489" t="str">
        <f>IF($A489="","",IFERROR(VLOOKUP($A489,Enquiry!$A:$K,3,0),"-"))</f>
        <v/>
      </c>
      <c r="C489" t="str">
        <f>IF($A489="","",IFERROR(VLOOKUP($A489,Enquiry!$A:$K,4,0),"-"))</f>
        <v/>
      </c>
      <c r="D489" t="str">
        <f>IF($A489="","",IFERROR(VLOOKUP($A489,Enquiry!$A:$K,5,0),"-"))</f>
        <v/>
      </c>
      <c r="E489" s="9"/>
      <c r="F489" s="9"/>
      <c r="G489" s="6"/>
      <c r="K489" s="10" t="str">
        <f t="shared" si="7"/>
        <v/>
      </c>
    </row>
    <row r="490" spans="2:11" ht="15" customHeight="1" x14ac:dyDescent="0.35">
      <c r="B490" t="str">
        <f>IF($A490="","",IFERROR(VLOOKUP($A490,Enquiry!$A:$K,3,0),"-"))</f>
        <v/>
      </c>
      <c r="C490" t="str">
        <f>IF($A490="","",IFERROR(VLOOKUP($A490,Enquiry!$A:$K,4,0),"-"))</f>
        <v/>
      </c>
      <c r="D490" t="str">
        <f>IF($A490="","",IFERROR(VLOOKUP($A490,Enquiry!$A:$K,5,0),"-"))</f>
        <v/>
      </c>
      <c r="E490" s="9"/>
      <c r="F490" s="9"/>
      <c r="G490" s="6"/>
      <c r="K490" s="10" t="str">
        <f t="shared" si="7"/>
        <v/>
      </c>
    </row>
    <row r="491" spans="2:11" ht="15" customHeight="1" x14ac:dyDescent="0.35">
      <c r="B491" t="str">
        <f>IF($A491="","",IFERROR(VLOOKUP($A491,Enquiry!$A:$K,3,0),"-"))</f>
        <v/>
      </c>
      <c r="C491" t="str">
        <f>IF($A491="","",IFERROR(VLOOKUP($A491,Enquiry!$A:$K,4,0),"-"))</f>
        <v/>
      </c>
      <c r="D491" t="str">
        <f>IF($A491="","",IFERROR(VLOOKUP($A491,Enquiry!$A:$K,5,0),"-"))</f>
        <v/>
      </c>
      <c r="E491" s="9"/>
      <c r="F491" s="9"/>
      <c r="G491" s="6"/>
      <c r="K491" s="10" t="str">
        <f t="shared" si="7"/>
        <v/>
      </c>
    </row>
    <row r="492" spans="2:11" ht="15" customHeight="1" x14ac:dyDescent="0.35">
      <c r="B492" t="str">
        <f>IF($A492="","",IFERROR(VLOOKUP($A492,Enquiry!$A:$K,3,0),"-"))</f>
        <v/>
      </c>
      <c r="C492" t="str">
        <f>IF($A492="","",IFERROR(VLOOKUP($A492,Enquiry!$A:$K,4,0),"-"))</f>
        <v/>
      </c>
      <c r="D492" t="str">
        <f>IF($A492="","",IFERROR(VLOOKUP($A492,Enquiry!$A:$K,5,0),"-"))</f>
        <v/>
      </c>
      <c r="E492" s="9"/>
      <c r="F492" s="9"/>
      <c r="G492" s="6"/>
      <c r="K492" s="10" t="str">
        <f t="shared" si="7"/>
        <v/>
      </c>
    </row>
    <row r="493" spans="2:11" ht="15" customHeight="1" x14ac:dyDescent="0.35">
      <c r="B493" t="str">
        <f>IF($A493="","",IFERROR(VLOOKUP($A493,Enquiry!$A:$K,3,0),"-"))</f>
        <v/>
      </c>
      <c r="C493" t="str">
        <f>IF($A493="","",IFERROR(VLOOKUP($A493,Enquiry!$A:$K,4,0),"-"))</f>
        <v/>
      </c>
      <c r="D493" t="str">
        <f>IF($A493="","",IFERROR(VLOOKUP($A493,Enquiry!$A:$K,5,0),"-"))</f>
        <v/>
      </c>
      <c r="E493" s="9"/>
      <c r="F493" s="9"/>
      <c r="G493" s="6"/>
      <c r="K493" s="10" t="str">
        <f t="shared" si="7"/>
        <v/>
      </c>
    </row>
    <row r="494" spans="2:11" ht="15" customHeight="1" x14ac:dyDescent="0.35">
      <c r="B494" t="str">
        <f>IF($A494="","",IFERROR(VLOOKUP($A494,Enquiry!$A:$K,3,0),"-"))</f>
        <v/>
      </c>
      <c r="C494" t="str">
        <f>IF($A494="","",IFERROR(VLOOKUP($A494,Enquiry!$A:$K,4,0),"-"))</f>
        <v/>
      </c>
      <c r="D494" t="str">
        <f>IF($A494="","",IFERROR(VLOOKUP($A494,Enquiry!$A:$K,5,0),"-"))</f>
        <v/>
      </c>
      <c r="E494" s="9"/>
      <c r="F494" s="9"/>
      <c r="G494" s="6"/>
      <c r="K494" s="10" t="str">
        <f t="shared" si="7"/>
        <v/>
      </c>
    </row>
    <row r="495" spans="2:11" ht="15" customHeight="1" x14ac:dyDescent="0.35">
      <c r="B495" t="str">
        <f>IF($A495="","",IFERROR(VLOOKUP($A495,Enquiry!$A:$K,3,0),"-"))</f>
        <v/>
      </c>
      <c r="C495" t="str">
        <f>IF($A495="","",IFERROR(VLOOKUP($A495,Enquiry!$A:$K,4,0),"-"))</f>
        <v/>
      </c>
      <c r="D495" t="str">
        <f>IF($A495="","",IFERROR(VLOOKUP($A495,Enquiry!$A:$K,5,0),"-"))</f>
        <v/>
      </c>
      <c r="E495" s="9"/>
      <c r="F495" s="9"/>
      <c r="G495" s="6"/>
      <c r="K495" s="10" t="str">
        <f t="shared" si="7"/>
        <v/>
      </c>
    </row>
    <row r="496" spans="2:11" ht="15" customHeight="1" x14ac:dyDescent="0.35">
      <c r="B496" t="str">
        <f>IF($A496="","",IFERROR(VLOOKUP($A496,Enquiry!$A:$K,3,0),"-"))</f>
        <v/>
      </c>
      <c r="C496" t="str">
        <f>IF($A496="","",IFERROR(VLOOKUP($A496,Enquiry!$A:$K,4,0),"-"))</f>
        <v/>
      </c>
      <c r="D496" t="str">
        <f>IF($A496="","",IFERROR(VLOOKUP($A496,Enquiry!$A:$K,5,0),"-"))</f>
        <v/>
      </c>
      <c r="E496" s="9"/>
      <c r="F496" s="9"/>
      <c r="G496" s="6"/>
      <c r="K496" s="10" t="str">
        <f t="shared" si="7"/>
        <v/>
      </c>
    </row>
    <row r="497" spans="2:11" ht="15" customHeight="1" x14ac:dyDescent="0.35">
      <c r="B497" t="str">
        <f>IF($A497="","",IFERROR(VLOOKUP($A497,Enquiry!$A:$K,3,0),"-"))</f>
        <v/>
      </c>
      <c r="C497" t="str">
        <f>IF($A497="","",IFERROR(VLOOKUP($A497,Enquiry!$A:$K,4,0),"-"))</f>
        <v/>
      </c>
      <c r="D497" t="str">
        <f>IF($A497="","",IFERROR(VLOOKUP($A497,Enquiry!$A:$K,5,0),"-"))</f>
        <v/>
      </c>
      <c r="E497" s="9"/>
      <c r="F497" s="9"/>
      <c r="G497" s="6"/>
      <c r="K497" s="10" t="str">
        <f t="shared" si="7"/>
        <v/>
      </c>
    </row>
    <row r="498" spans="2:11" ht="15" customHeight="1" x14ac:dyDescent="0.35">
      <c r="B498" t="str">
        <f>IF($A498="","",IFERROR(VLOOKUP($A498,Enquiry!$A:$K,3,0),"-"))</f>
        <v/>
      </c>
      <c r="C498" t="str">
        <f>IF($A498="","",IFERROR(VLOOKUP($A498,Enquiry!$A:$K,4,0),"-"))</f>
        <v/>
      </c>
      <c r="D498" t="str">
        <f>IF($A498="","",IFERROR(VLOOKUP($A498,Enquiry!$A:$K,5,0),"-"))</f>
        <v/>
      </c>
      <c r="E498" s="9"/>
      <c r="F498" s="9"/>
      <c r="G498" s="6"/>
      <c r="K498" s="10" t="str">
        <f t="shared" si="7"/>
        <v/>
      </c>
    </row>
    <row r="499" spans="2:11" ht="15" customHeight="1" x14ac:dyDescent="0.35">
      <c r="B499" t="str">
        <f>IF($A499="","",IFERROR(VLOOKUP($A499,Enquiry!$A:$K,3,0),"-"))</f>
        <v/>
      </c>
      <c r="C499" t="str">
        <f>IF($A499="","",IFERROR(VLOOKUP($A499,Enquiry!$A:$K,4,0),"-"))</f>
        <v/>
      </c>
      <c r="D499" t="str">
        <f>IF($A499="","",IFERROR(VLOOKUP($A499,Enquiry!$A:$K,5,0),"-"))</f>
        <v/>
      </c>
      <c r="E499" s="9"/>
      <c r="F499" s="9"/>
      <c r="G499" s="6"/>
      <c r="K499" s="10" t="str">
        <f t="shared" si="7"/>
        <v/>
      </c>
    </row>
    <row r="500" spans="2:11" ht="15" customHeight="1" x14ac:dyDescent="0.35">
      <c r="B500" t="str">
        <f>IF($A500="","",IFERROR(VLOOKUP($A500,Enquiry!$A:$K,3,0),"-"))</f>
        <v/>
      </c>
      <c r="C500" t="str">
        <f>IF($A500="","",IFERROR(VLOOKUP($A500,Enquiry!$A:$K,4,0),"-"))</f>
        <v/>
      </c>
      <c r="D500" t="str">
        <f>IF($A500="","",IFERROR(VLOOKUP($A500,Enquiry!$A:$K,5,0),"-"))</f>
        <v/>
      </c>
      <c r="E500" s="9"/>
      <c r="F500" s="9"/>
      <c r="G500" s="6"/>
      <c r="K500" s="10" t="str">
        <f t="shared" si="7"/>
        <v/>
      </c>
    </row>
    <row r="501" spans="2:11" ht="15" customHeight="1" x14ac:dyDescent="0.35">
      <c r="B501" t="str">
        <f>IF($A501="","",IFERROR(VLOOKUP($A501,Enquiry!$A:$K,3,0),"-"))</f>
        <v/>
      </c>
      <c r="C501" t="str">
        <f>IF($A501="","",IFERROR(VLOOKUP($A501,Enquiry!$A:$K,4,0),"-"))</f>
        <v/>
      </c>
      <c r="D501" t="str">
        <f>IF($A501="","",IFERROR(VLOOKUP($A501,Enquiry!$A:$K,5,0),"-"))</f>
        <v/>
      </c>
      <c r="E501" s="9"/>
      <c r="F501" s="9"/>
      <c r="G501" s="6"/>
      <c r="K501" s="10" t="str">
        <f t="shared" si="7"/>
        <v/>
      </c>
    </row>
    <row r="502" spans="2:11" ht="15" customHeight="1" x14ac:dyDescent="0.35">
      <c r="B502" t="str">
        <f>IF($A502="","",IFERROR(VLOOKUP($A502,Enquiry!$A:$K,3,0),"-"))</f>
        <v/>
      </c>
      <c r="C502" t="str">
        <f>IF($A502="","",IFERROR(VLOOKUP($A502,Enquiry!$A:$K,4,0),"-"))</f>
        <v/>
      </c>
      <c r="D502" t="str">
        <f>IF($A502="","",IFERROR(VLOOKUP($A502,Enquiry!$A:$K,5,0),"-"))</f>
        <v/>
      </c>
      <c r="E502" s="9"/>
      <c r="F502" s="9"/>
      <c r="G502" s="6"/>
      <c r="K502" s="10" t="str">
        <f t="shared" si="7"/>
        <v/>
      </c>
    </row>
  </sheetData>
  <mergeCells count="1">
    <mergeCell ref="A2:K2"/>
  </mergeCells>
  <conditionalFormatting sqref="A3:K502">
    <cfRule type="expression" dxfId="15" priority="9">
      <formula>$H3="Commercial Proposal"</formula>
    </cfRule>
    <cfRule type="expression" dxfId="14" priority="10">
      <formula>$H3="Negotiation"</formula>
    </cfRule>
    <cfRule type="expression" dxfId="13" priority="11">
      <formula>$H3="Win"</formula>
    </cfRule>
    <cfRule type="expression" dxfId="12" priority="12">
      <formula>$H3="Lost"</formula>
    </cfRule>
    <cfRule type="expression" dxfId="11" priority="13">
      <formula>$H3="Cancel"</formula>
    </cfRule>
  </conditionalFormatting>
  <dataValidations count="2">
    <dataValidation type="list" allowBlank="1" showErrorMessage="1" sqref="H3:H502">
      <formula1>DealStage</formula1>
      <formula2>0</formula2>
    </dataValidation>
    <dataValidation type="list" allowBlank="1" showErrorMessage="1" sqref="I3:I502">
      <formula1>AssignedTo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589"/>
  </sheetPr>
  <dimension ref="A1:Q203"/>
  <sheetViews>
    <sheetView zoomScaleNormal="100" workbookViewId="0">
      <pane ySplit="4" topLeftCell="A5" activePane="bottomLeft" state="frozen"/>
      <selection pane="bottomLeft" activeCell="C12" sqref="C12"/>
    </sheetView>
  </sheetViews>
  <sheetFormatPr defaultColWidth="8.7265625" defaultRowHeight="14.5" x14ac:dyDescent="0.35"/>
  <cols>
    <col min="1" max="1" width="14" customWidth="1"/>
    <col min="2" max="2" width="16" customWidth="1"/>
    <col min="3" max="3" width="24" customWidth="1"/>
    <col min="4" max="4" width="22" customWidth="1"/>
    <col min="5" max="5" width="20" customWidth="1"/>
    <col min="6" max="6" width="24" customWidth="1"/>
    <col min="7" max="7" width="16" customWidth="1"/>
    <col min="8" max="8" width="22" customWidth="1"/>
    <col min="9" max="10" width="16" customWidth="1"/>
    <col min="11" max="13" width="14" customWidth="1"/>
    <col min="14" max="14" width="18" customWidth="1"/>
    <col min="15" max="15" width="12" customWidth="1"/>
    <col min="16" max="16" width="18" customWidth="1"/>
    <col min="17" max="17" width="28" customWidth="1"/>
  </cols>
  <sheetData>
    <row r="1" spans="1:17" ht="45.75" customHeight="1" x14ac:dyDescent="0.35">
      <c r="A1" s="41" t="s">
        <v>372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25.5" customHeight="1" x14ac:dyDescent="0.35">
      <c r="A2" s="40" t="s">
        <v>373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39.75" customHeight="1" x14ac:dyDescent="0.35">
      <c r="A3" s="11" t="s">
        <v>374</v>
      </c>
      <c r="B3" s="8" t="s">
        <v>375</v>
      </c>
      <c r="C3" s="8" t="s">
        <v>376</v>
      </c>
      <c r="D3" s="8" t="s">
        <v>93</v>
      </c>
      <c r="E3" s="8" t="s">
        <v>377</v>
      </c>
      <c r="F3" s="8" t="s">
        <v>378</v>
      </c>
      <c r="G3" s="8" t="s">
        <v>379</v>
      </c>
      <c r="H3" s="8" t="s">
        <v>380</v>
      </c>
      <c r="I3" s="8" t="s">
        <v>381</v>
      </c>
      <c r="J3" s="11" t="s">
        <v>382</v>
      </c>
      <c r="K3" s="11" t="s">
        <v>383</v>
      </c>
      <c r="L3" s="11" t="s">
        <v>384</v>
      </c>
      <c r="M3" s="11" t="s">
        <v>385</v>
      </c>
      <c r="N3" s="35" t="s">
        <v>386</v>
      </c>
      <c r="O3" s="11" t="s">
        <v>387</v>
      </c>
      <c r="P3" s="11" t="s">
        <v>388</v>
      </c>
      <c r="Q3" s="11" t="s">
        <v>389</v>
      </c>
    </row>
    <row r="4" spans="1:17" ht="19.5" customHeight="1" x14ac:dyDescent="0.35">
      <c r="A4" s="42" t="s">
        <v>390</v>
      </c>
      <c r="B4" s="39"/>
      <c r="C4" s="39"/>
      <c r="D4" s="39"/>
      <c r="E4" s="39"/>
      <c r="F4" s="39"/>
      <c r="G4" s="39"/>
      <c r="H4" s="39"/>
      <c r="I4" s="43" t="s">
        <v>391</v>
      </c>
      <c r="J4" s="39"/>
      <c r="K4" s="39"/>
      <c r="L4" s="39"/>
      <c r="M4" s="39"/>
      <c r="N4" s="39"/>
      <c r="O4" s="39"/>
      <c r="P4" s="39"/>
      <c r="Q4" s="39"/>
    </row>
    <row r="5" spans="1:17" ht="15" customHeight="1" x14ac:dyDescent="0.35">
      <c r="A5" s="12" t="s">
        <v>100</v>
      </c>
      <c r="B5" s="10" t="s">
        <v>392</v>
      </c>
      <c r="C5" t="s">
        <v>101</v>
      </c>
      <c r="D5" t="s">
        <v>102</v>
      </c>
      <c r="E5" t="s">
        <v>18</v>
      </c>
      <c r="F5" t="s">
        <v>35</v>
      </c>
      <c r="G5" s="9">
        <v>600000</v>
      </c>
      <c r="H5" t="s">
        <v>47</v>
      </c>
      <c r="I5" s="6">
        <v>45919</v>
      </c>
      <c r="J5" s="32" t="s">
        <v>393</v>
      </c>
      <c r="K5" s="33">
        <v>45930</v>
      </c>
      <c r="L5" s="33">
        <v>45931</v>
      </c>
      <c r="M5" s="33">
        <v>46022</v>
      </c>
      <c r="N5" s="32" t="s">
        <v>57</v>
      </c>
      <c r="O5" s="32">
        <v>0</v>
      </c>
      <c r="P5" s="32" t="s">
        <v>394</v>
      </c>
      <c r="Q5" s="32" t="s">
        <v>395</v>
      </c>
    </row>
    <row r="6" spans="1:17" ht="15" customHeight="1" x14ac:dyDescent="0.35">
      <c r="A6" s="12" t="s">
        <v>133</v>
      </c>
      <c r="B6" s="10" t="s">
        <v>392</v>
      </c>
      <c r="C6" t="s">
        <v>135</v>
      </c>
      <c r="D6" t="s">
        <v>136</v>
      </c>
      <c r="E6" t="s">
        <v>18</v>
      </c>
      <c r="F6" t="s">
        <v>35</v>
      </c>
      <c r="G6" s="9">
        <v>1100000</v>
      </c>
      <c r="H6" t="s">
        <v>29</v>
      </c>
      <c r="I6" s="6">
        <v>45747</v>
      </c>
      <c r="J6" s="12" t="s">
        <v>396</v>
      </c>
      <c r="K6" s="13">
        <v>45744</v>
      </c>
      <c r="L6" s="13">
        <v>45748</v>
      </c>
      <c r="M6" s="13">
        <v>46022</v>
      </c>
      <c r="N6" s="12" t="s">
        <v>57</v>
      </c>
      <c r="O6" s="14">
        <v>10</v>
      </c>
      <c r="P6" s="12" t="s">
        <v>397</v>
      </c>
      <c r="Q6" s="12" t="s">
        <v>398</v>
      </c>
    </row>
    <row r="7" spans="1:17" ht="15" customHeight="1" x14ac:dyDescent="0.35">
      <c r="A7" s="12" t="s">
        <v>138</v>
      </c>
      <c r="B7" s="10" t="s">
        <v>392</v>
      </c>
      <c r="C7" t="s">
        <v>140</v>
      </c>
      <c r="D7" t="s">
        <v>141</v>
      </c>
      <c r="E7" t="s">
        <v>17</v>
      </c>
      <c r="F7" t="s">
        <v>34</v>
      </c>
      <c r="G7" s="9">
        <v>3800000</v>
      </c>
      <c r="H7" t="s">
        <v>75</v>
      </c>
      <c r="I7" s="6">
        <v>45777</v>
      </c>
      <c r="J7" s="12" t="s">
        <v>399</v>
      </c>
      <c r="K7" s="13">
        <v>45772</v>
      </c>
      <c r="L7" s="13">
        <v>45778</v>
      </c>
      <c r="M7" s="13">
        <v>45961</v>
      </c>
      <c r="N7" s="12" t="s">
        <v>40</v>
      </c>
      <c r="O7" s="14">
        <v>20</v>
      </c>
      <c r="P7" s="12" t="s">
        <v>400</v>
      </c>
      <c r="Q7" s="12" t="s">
        <v>401</v>
      </c>
    </row>
    <row r="8" spans="1:17" ht="15" customHeight="1" x14ac:dyDescent="0.35">
      <c r="A8" s="12" t="s">
        <v>143</v>
      </c>
      <c r="B8" s="10" t="s">
        <v>392</v>
      </c>
      <c r="C8" t="s">
        <v>145</v>
      </c>
      <c r="D8" t="s">
        <v>146</v>
      </c>
      <c r="E8" t="s">
        <v>19</v>
      </c>
      <c r="F8" t="s">
        <v>36</v>
      </c>
      <c r="G8" s="9">
        <v>800000</v>
      </c>
      <c r="H8" t="s">
        <v>64</v>
      </c>
      <c r="I8" s="6">
        <v>45792</v>
      </c>
      <c r="J8" s="12" t="s">
        <v>402</v>
      </c>
      <c r="K8" s="13">
        <v>45787</v>
      </c>
      <c r="L8" s="13">
        <v>45792</v>
      </c>
      <c r="M8" s="13">
        <v>45884</v>
      </c>
      <c r="N8" s="12" t="s">
        <v>72</v>
      </c>
      <c r="O8" s="14">
        <v>0</v>
      </c>
      <c r="P8" s="12" t="s">
        <v>403</v>
      </c>
      <c r="Q8" s="12" t="s">
        <v>404</v>
      </c>
    </row>
    <row r="9" spans="1:17" ht="15" customHeight="1" x14ac:dyDescent="0.35">
      <c r="A9" s="12" t="s">
        <v>148</v>
      </c>
      <c r="B9" s="10" t="s">
        <v>392</v>
      </c>
      <c r="C9" t="s">
        <v>150</v>
      </c>
      <c r="D9" t="s">
        <v>151</v>
      </c>
      <c r="E9" t="s">
        <v>15</v>
      </c>
      <c r="F9" t="s">
        <v>32</v>
      </c>
      <c r="G9" s="9">
        <v>2200000</v>
      </c>
      <c r="H9" t="s">
        <v>114</v>
      </c>
      <c r="I9" s="6">
        <v>45838</v>
      </c>
      <c r="J9" s="12" t="s">
        <v>405</v>
      </c>
      <c r="K9" s="13">
        <v>45836</v>
      </c>
      <c r="L9" s="13">
        <v>45839</v>
      </c>
      <c r="M9" s="13">
        <v>46022</v>
      </c>
      <c r="N9" s="12" t="s">
        <v>40</v>
      </c>
      <c r="O9" s="14">
        <v>25</v>
      </c>
      <c r="P9" s="12" t="s">
        <v>406</v>
      </c>
      <c r="Q9" s="12" t="s">
        <v>407</v>
      </c>
    </row>
    <row r="10" spans="1:17" ht="15" customHeight="1" x14ac:dyDescent="0.35">
      <c r="A10" s="12" t="s">
        <v>153</v>
      </c>
      <c r="B10" s="10" t="s">
        <v>392</v>
      </c>
      <c r="C10" t="s">
        <v>155</v>
      </c>
      <c r="D10" t="s">
        <v>156</v>
      </c>
      <c r="E10" t="s">
        <v>16</v>
      </c>
      <c r="F10" t="s">
        <v>53</v>
      </c>
      <c r="G10" s="9">
        <v>900000</v>
      </c>
      <c r="H10" t="s">
        <v>87</v>
      </c>
      <c r="I10" s="6">
        <v>45853</v>
      </c>
      <c r="J10" s="12" t="s">
        <v>408</v>
      </c>
      <c r="K10" s="13">
        <v>45848</v>
      </c>
      <c r="L10" s="13">
        <v>45853</v>
      </c>
      <c r="M10" s="13">
        <v>46022</v>
      </c>
      <c r="N10" s="12" t="s">
        <v>57</v>
      </c>
      <c r="O10" s="14">
        <v>0</v>
      </c>
      <c r="P10" s="12" t="s">
        <v>409</v>
      </c>
      <c r="Q10" s="12" t="s">
        <v>410</v>
      </c>
    </row>
    <row r="11" spans="1:17" ht="15" customHeight="1" x14ac:dyDescent="0.35">
      <c r="A11" s="12" t="s">
        <v>158</v>
      </c>
      <c r="B11" s="10" t="s">
        <v>392</v>
      </c>
      <c r="C11" t="s">
        <v>160</v>
      </c>
      <c r="D11" t="s">
        <v>161</v>
      </c>
      <c r="E11" t="s">
        <v>17</v>
      </c>
      <c r="F11" t="s">
        <v>52</v>
      </c>
      <c r="G11" s="9">
        <v>2900000</v>
      </c>
      <c r="H11" t="s">
        <v>81</v>
      </c>
      <c r="I11" s="6">
        <v>45869</v>
      </c>
      <c r="J11" s="12" t="s">
        <v>411</v>
      </c>
      <c r="K11" s="13">
        <v>45866</v>
      </c>
      <c r="L11" s="13">
        <v>45870</v>
      </c>
      <c r="M11" s="13">
        <v>46142</v>
      </c>
      <c r="N11" s="12" t="s">
        <v>57</v>
      </c>
      <c r="O11" s="14">
        <v>10</v>
      </c>
      <c r="P11" s="12" t="s">
        <v>412</v>
      </c>
      <c r="Q11" s="12" t="s">
        <v>413</v>
      </c>
    </row>
    <row r="12" spans="1:17" ht="15" customHeight="1" x14ac:dyDescent="0.35">
      <c r="A12" s="12" t="s">
        <v>163</v>
      </c>
      <c r="B12" s="10" t="s">
        <v>392</v>
      </c>
      <c r="C12" t="s">
        <v>165</v>
      </c>
      <c r="D12" t="s">
        <v>166</v>
      </c>
      <c r="E12" t="s">
        <v>15</v>
      </c>
      <c r="F12" t="s">
        <v>67</v>
      </c>
      <c r="G12" s="9">
        <v>1600000</v>
      </c>
      <c r="H12" t="s">
        <v>114</v>
      </c>
      <c r="I12" s="6">
        <v>45900</v>
      </c>
      <c r="J12" s="12" t="s">
        <v>414</v>
      </c>
      <c r="K12" s="13">
        <v>45894</v>
      </c>
      <c r="L12" s="13">
        <v>45901</v>
      </c>
      <c r="M12" s="13">
        <v>46081</v>
      </c>
      <c r="N12" s="12" t="s">
        <v>57</v>
      </c>
      <c r="O12" s="14">
        <v>0</v>
      </c>
      <c r="P12" s="12" t="s">
        <v>415</v>
      </c>
      <c r="Q12" s="12" t="s">
        <v>416</v>
      </c>
    </row>
    <row r="13" spans="1:17" ht="15" customHeight="1" x14ac:dyDescent="0.35">
      <c r="A13" s="12" t="s">
        <v>168</v>
      </c>
      <c r="B13" s="10" t="s">
        <v>392</v>
      </c>
      <c r="C13" t="s">
        <v>170</v>
      </c>
      <c r="D13" t="s">
        <v>171</v>
      </c>
      <c r="E13" t="s">
        <v>13</v>
      </c>
      <c r="F13" t="s">
        <v>49</v>
      </c>
      <c r="G13" s="9">
        <v>600000</v>
      </c>
      <c r="H13" t="s">
        <v>84</v>
      </c>
      <c r="I13" s="6">
        <v>45930</v>
      </c>
      <c r="J13" s="12" t="s">
        <v>417</v>
      </c>
      <c r="K13" s="13">
        <v>45925</v>
      </c>
      <c r="L13" s="13">
        <v>45931</v>
      </c>
      <c r="M13" s="13">
        <v>46022</v>
      </c>
      <c r="N13" s="12" t="s">
        <v>57</v>
      </c>
      <c r="O13" s="14">
        <v>0</v>
      </c>
      <c r="P13" s="12" t="s">
        <v>418</v>
      </c>
      <c r="Q13" s="12" t="s">
        <v>419</v>
      </c>
    </row>
    <row r="14" spans="1:17" ht="15" customHeight="1" x14ac:dyDescent="0.35">
      <c r="A14" s="12" t="s">
        <v>173</v>
      </c>
      <c r="B14" s="10" t="s">
        <v>392</v>
      </c>
      <c r="C14" t="s">
        <v>175</v>
      </c>
      <c r="D14" t="s">
        <v>176</v>
      </c>
      <c r="E14" t="s">
        <v>16</v>
      </c>
      <c r="F14" t="s">
        <v>51</v>
      </c>
      <c r="G14" s="9">
        <v>720000</v>
      </c>
      <c r="H14" t="s">
        <v>47</v>
      </c>
      <c r="I14" s="6">
        <v>45945</v>
      </c>
      <c r="J14" s="12" t="s">
        <v>420</v>
      </c>
      <c r="K14" s="13">
        <v>45940</v>
      </c>
      <c r="L14" s="13">
        <v>45945</v>
      </c>
      <c r="M14" s="13">
        <v>46126</v>
      </c>
      <c r="N14" s="12" t="s">
        <v>57</v>
      </c>
      <c r="O14" s="14">
        <v>0</v>
      </c>
      <c r="P14" s="12" t="s">
        <v>421</v>
      </c>
      <c r="Q14" s="12" t="s">
        <v>422</v>
      </c>
    </row>
    <row r="15" spans="1:17" ht="15" customHeight="1" x14ac:dyDescent="0.35">
      <c r="A15" s="12" t="s">
        <v>178</v>
      </c>
      <c r="B15" s="10" t="s">
        <v>392</v>
      </c>
      <c r="C15" t="s">
        <v>180</v>
      </c>
      <c r="D15" t="s">
        <v>181</v>
      </c>
      <c r="E15" t="s">
        <v>18</v>
      </c>
      <c r="F15" t="s">
        <v>53</v>
      </c>
      <c r="G15" s="9">
        <v>1400000</v>
      </c>
      <c r="H15" t="s">
        <v>29</v>
      </c>
      <c r="I15" s="6">
        <v>45961</v>
      </c>
      <c r="J15" s="12" t="s">
        <v>423</v>
      </c>
      <c r="K15" s="13">
        <v>45958</v>
      </c>
      <c r="L15" s="13">
        <v>45962</v>
      </c>
      <c r="M15" s="13">
        <v>46142</v>
      </c>
      <c r="N15" s="12" t="s">
        <v>57</v>
      </c>
      <c r="O15" s="14">
        <v>15</v>
      </c>
      <c r="P15" s="12" t="s">
        <v>424</v>
      </c>
      <c r="Q15" s="12" t="s">
        <v>425</v>
      </c>
    </row>
    <row r="16" spans="1:17" ht="15" customHeight="1" x14ac:dyDescent="0.35">
      <c r="A16" s="12" t="s">
        <v>188</v>
      </c>
      <c r="B16" s="10" t="s">
        <v>392</v>
      </c>
      <c r="C16" t="s">
        <v>190</v>
      </c>
      <c r="D16" t="s">
        <v>191</v>
      </c>
      <c r="E16" t="s">
        <v>17</v>
      </c>
      <c r="F16" t="s">
        <v>34</v>
      </c>
      <c r="G16" s="9">
        <v>2500000</v>
      </c>
      <c r="H16" t="s">
        <v>75</v>
      </c>
      <c r="I16" s="6">
        <v>45991</v>
      </c>
      <c r="J16" s="12" t="s">
        <v>426</v>
      </c>
      <c r="K16" s="13">
        <v>45986</v>
      </c>
      <c r="L16" s="13">
        <v>45992</v>
      </c>
      <c r="M16" s="13">
        <v>46173</v>
      </c>
      <c r="N16" s="12" t="s">
        <v>40</v>
      </c>
      <c r="O16" s="14">
        <v>20</v>
      </c>
      <c r="P16" s="12" t="s">
        <v>427</v>
      </c>
      <c r="Q16" s="12" t="s">
        <v>428</v>
      </c>
    </row>
    <row r="17" spans="1:17" ht="15" customHeight="1" x14ac:dyDescent="0.35">
      <c r="A17" s="12" t="s">
        <v>193</v>
      </c>
      <c r="B17" s="10" t="s">
        <v>392</v>
      </c>
      <c r="C17" t="s">
        <v>195</v>
      </c>
      <c r="D17" t="s">
        <v>196</v>
      </c>
      <c r="E17" t="s">
        <v>19</v>
      </c>
      <c r="F17" t="s">
        <v>36</v>
      </c>
      <c r="G17" s="9">
        <v>1000000</v>
      </c>
      <c r="H17" t="s">
        <v>64</v>
      </c>
      <c r="I17" s="6">
        <v>46006</v>
      </c>
      <c r="J17" s="12" t="s">
        <v>429</v>
      </c>
      <c r="K17" s="13">
        <v>46001</v>
      </c>
      <c r="L17" s="13">
        <v>46006</v>
      </c>
      <c r="M17" s="13">
        <v>46187</v>
      </c>
      <c r="N17" s="12" t="s">
        <v>57</v>
      </c>
      <c r="O17" s="14">
        <v>0</v>
      </c>
      <c r="P17" s="12" t="s">
        <v>430</v>
      </c>
      <c r="Q17" s="12" t="s">
        <v>431</v>
      </c>
    </row>
    <row r="18" spans="1:17" ht="15" customHeight="1" x14ac:dyDescent="0.35">
      <c r="A18" s="12" t="s">
        <v>198</v>
      </c>
      <c r="B18" s="10" t="s">
        <v>392</v>
      </c>
      <c r="C18" t="s">
        <v>200</v>
      </c>
      <c r="D18" t="s">
        <v>201</v>
      </c>
      <c r="E18" t="s">
        <v>13</v>
      </c>
      <c r="F18" t="s">
        <v>66</v>
      </c>
      <c r="G18" s="9">
        <v>480000</v>
      </c>
      <c r="H18" t="s">
        <v>84</v>
      </c>
      <c r="I18" s="6">
        <v>46022</v>
      </c>
      <c r="J18" s="12" t="s">
        <v>432</v>
      </c>
      <c r="K18" s="13">
        <v>46019</v>
      </c>
      <c r="L18" s="13">
        <v>46023</v>
      </c>
      <c r="M18" s="13">
        <v>46203</v>
      </c>
      <c r="N18" s="12" t="s">
        <v>72</v>
      </c>
      <c r="O18" s="14">
        <v>10</v>
      </c>
      <c r="P18" s="12" t="s">
        <v>433</v>
      </c>
      <c r="Q18" s="12" t="s">
        <v>434</v>
      </c>
    </row>
    <row r="19" spans="1:17" ht="15" customHeight="1" x14ac:dyDescent="0.35">
      <c r="A19" s="12" t="s">
        <v>203</v>
      </c>
      <c r="B19" s="10" t="s">
        <v>392</v>
      </c>
      <c r="C19" t="s">
        <v>205</v>
      </c>
      <c r="D19" t="s">
        <v>206</v>
      </c>
      <c r="E19" t="s">
        <v>15</v>
      </c>
      <c r="F19" t="s">
        <v>67</v>
      </c>
      <c r="G19" s="9">
        <v>1500000</v>
      </c>
      <c r="H19" t="s">
        <v>29</v>
      </c>
      <c r="I19" s="6">
        <v>46053</v>
      </c>
      <c r="J19" s="12" t="s">
        <v>435</v>
      </c>
      <c r="K19" s="13">
        <v>46050</v>
      </c>
      <c r="L19" s="13">
        <v>46054</v>
      </c>
      <c r="M19" s="13">
        <v>46234</v>
      </c>
      <c r="N19" s="12" t="s">
        <v>57</v>
      </c>
      <c r="O19" s="14">
        <v>0</v>
      </c>
      <c r="P19" s="12" t="s">
        <v>436</v>
      </c>
      <c r="Q19" s="12" t="s">
        <v>437</v>
      </c>
    </row>
    <row r="20" spans="1:17" ht="15" customHeight="1" x14ac:dyDescent="0.35">
      <c r="A20" s="12" t="s">
        <v>218</v>
      </c>
      <c r="B20" s="10" t="s">
        <v>392</v>
      </c>
      <c r="C20" t="s">
        <v>220</v>
      </c>
      <c r="D20" t="s">
        <v>221</v>
      </c>
      <c r="E20" t="s">
        <v>16</v>
      </c>
      <c r="F20" t="s">
        <v>33</v>
      </c>
      <c r="G20" s="9">
        <v>3200000</v>
      </c>
      <c r="H20" t="s">
        <v>75</v>
      </c>
      <c r="I20" s="6">
        <v>46081</v>
      </c>
      <c r="J20" s="12" t="s">
        <v>438</v>
      </c>
      <c r="K20" s="13">
        <v>46078</v>
      </c>
      <c r="L20" s="13">
        <v>46082</v>
      </c>
      <c r="M20" s="13">
        <v>46265</v>
      </c>
      <c r="N20" s="12" t="s">
        <v>40</v>
      </c>
      <c r="O20" s="14">
        <v>20</v>
      </c>
      <c r="P20" s="12" t="s">
        <v>439</v>
      </c>
      <c r="Q20" s="12" t="s">
        <v>440</v>
      </c>
    </row>
    <row r="21" spans="1:17" ht="15" customHeight="1" x14ac:dyDescent="0.35">
      <c r="A21" s="12" t="s">
        <v>223</v>
      </c>
      <c r="B21" s="10" t="s">
        <v>392</v>
      </c>
      <c r="C21" t="s">
        <v>225</v>
      </c>
      <c r="D21" t="s">
        <v>226</v>
      </c>
      <c r="E21" t="s">
        <v>19</v>
      </c>
      <c r="F21" t="s">
        <v>36</v>
      </c>
      <c r="G21" s="9">
        <v>850000</v>
      </c>
      <c r="H21" t="s">
        <v>64</v>
      </c>
      <c r="I21" s="6">
        <v>46112</v>
      </c>
      <c r="J21" s="12" t="s">
        <v>441</v>
      </c>
      <c r="K21" s="13">
        <v>46084</v>
      </c>
      <c r="L21" s="13">
        <v>46087</v>
      </c>
      <c r="M21" s="13">
        <v>46178</v>
      </c>
      <c r="N21" s="12" t="s">
        <v>57</v>
      </c>
      <c r="O21" s="14">
        <v>0</v>
      </c>
      <c r="P21" s="12" t="s">
        <v>442</v>
      </c>
      <c r="Q21" s="12" t="s">
        <v>443</v>
      </c>
    </row>
    <row r="22" spans="1:17" ht="15" customHeight="1" x14ac:dyDescent="0.35">
      <c r="A22" s="12" t="s">
        <v>228</v>
      </c>
      <c r="B22" s="10" t="s">
        <v>392</v>
      </c>
      <c r="C22" t="s">
        <v>230</v>
      </c>
      <c r="D22" t="s">
        <v>231</v>
      </c>
      <c r="E22" t="s">
        <v>13</v>
      </c>
      <c r="F22" t="s">
        <v>31</v>
      </c>
      <c r="G22" s="9">
        <v>680000</v>
      </c>
      <c r="H22" t="s">
        <v>87</v>
      </c>
      <c r="I22" s="6">
        <v>46112</v>
      </c>
      <c r="J22" s="12" t="s">
        <v>444</v>
      </c>
      <c r="K22" s="13">
        <v>46085</v>
      </c>
      <c r="L22" s="13">
        <v>46087</v>
      </c>
      <c r="M22" s="13">
        <v>46178</v>
      </c>
      <c r="N22" s="12" t="s">
        <v>57</v>
      </c>
      <c r="O22" s="14">
        <v>0</v>
      </c>
      <c r="P22" s="12" t="s">
        <v>445</v>
      </c>
      <c r="Q22" s="12" t="s">
        <v>446</v>
      </c>
    </row>
    <row r="23" spans="1:17" ht="15" customHeight="1" x14ac:dyDescent="0.35">
      <c r="A23" s="12" t="s">
        <v>288</v>
      </c>
      <c r="B23" s="10" t="s">
        <v>392</v>
      </c>
      <c r="C23" t="s">
        <v>290</v>
      </c>
      <c r="D23" t="s">
        <v>291</v>
      </c>
      <c r="E23" t="s">
        <v>13</v>
      </c>
      <c r="F23" t="s">
        <v>66</v>
      </c>
      <c r="G23" s="9">
        <v>1200000</v>
      </c>
      <c r="H23" t="s">
        <v>29</v>
      </c>
      <c r="I23" s="6">
        <v>46112</v>
      </c>
      <c r="J23" s="12" t="s">
        <v>447</v>
      </c>
      <c r="K23" s="13">
        <v>46086</v>
      </c>
      <c r="L23" s="13">
        <v>46087</v>
      </c>
      <c r="M23" s="13">
        <v>46178</v>
      </c>
      <c r="N23" s="12" t="s">
        <v>57</v>
      </c>
      <c r="O23" s="14">
        <v>10</v>
      </c>
      <c r="P23" s="12" t="s">
        <v>448</v>
      </c>
      <c r="Q23" s="12" t="s">
        <v>449</v>
      </c>
    </row>
    <row r="24" spans="1:17" ht="15" customHeight="1" x14ac:dyDescent="0.35">
      <c r="A24" s="12" t="s">
        <v>293</v>
      </c>
      <c r="B24" s="10" t="s">
        <v>392</v>
      </c>
      <c r="C24" t="s">
        <v>295</v>
      </c>
      <c r="D24" t="s">
        <v>296</v>
      </c>
      <c r="E24" t="s">
        <v>19</v>
      </c>
      <c r="F24" t="s">
        <v>36</v>
      </c>
      <c r="G24" s="9">
        <v>520000</v>
      </c>
      <c r="H24" t="s">
        <v>84</v>
      </c>
      <c r="I24" s="6">
        <v>46112</v>
      </c>
      <c r="J24" s="12" t="s">
        <v>450</v>
      </c>
      <c r="K24" s="13">
        <v>46086</v>
      </c>
      <c r="L24" s="13">
        <v>46087</v>
      </c>
      <c r="M24" s="13">
        <v>46178</v>
      </c>
      <c r="N24" s="12" t="s">
        <v>72</v>
      </c>
      <c r="O24" s="14">
        <v>10</v>
      </c>
      <c r="P24" s="12" t="s">
        <v>451</v>
      </c>
      <c r="Q24" s="12" t="s">
        <v>452</v>
      </c>
    </row>
    <row r="25" spans="1:17" ht="15" customHeight="1" x14ac:dyDescent="0.35">
      <c r="A25" s="12" t="s">
        <v>298</v>
      </c>
      <c r="B25" s="10" t="s">
        <v>392</v>
      </c>
      <c r="C25" t="s">
        <v>300</v>
      </c>
      <c r="D25" t="s">
        <v>301</v>
      </c>
      <c r="E25" t="s">
        <v>16</v>
      </c>
      <c r="F25" t="s">
        <v>33</v>
      </c>
      <c r="G25" s="9">
        <v>950000</v>
      </c>
      <c r="H25" t="s">
        <v>64</v>
      </c>
      <c r="I25" s="6">
        <v>46142</v>
      </c>
      <c r="J25" s="12" t="s">
        <v>453</v>
      </c>
      <c r="K25" s="13">
        <v>46087</v>
      </c>
      <c r="L25" s="13">
        <v>46113</v>
      </c>
      <c r="M25" s="13">
        <v>46203</v>
      </c>
      <c r="N25" s="12" t="s">
        <v>57</v>
      </c>
      <c r="O25" s="14">
        <v>0</v>
      </c>
      <c r="P25" s="12" t="s">
        <v>454</v>
      </c>
      <c r="Q25" s="12" t="s">
        <v>455</v>
      </c>
    </row>
    <row r="26" spans="1:17" ht="15" customHeight="1" x14ac:dyDescent="0.35">
      <c r="A26" s="12" t="s">
        <v>303</v>
      </c>
      <c r="B26" s="10" t="s">
        <v>392</v>
      </c>
      <c r="C26" t="s">
        <v>305</v>
      </c>
      <c r="D26" t="s">
        <v>306</v>
      </c>
      <c r="E26" t="s">
        <v>15</v>
      </c>
      <c r="F26" t="s">
        <v>67</v>
      </c>
      <c r="G26" s="9">
        <v>600000</v>
      </c>
      <c r="H26" t="s">
        <v>87</v>
      </c>
      <c r="I26" s="6">
        <v>46142</v>
      </c>
      <c r="J26" s="12" t="s">
        <v>456</v>
      </c>
      <c r="K26" s="13">
        <v>46087</v>
      </c>
      <c r="L26" s="13">
        <v>46113</v>
      </c>
      <c r="M26" s="13">
        <v>46203</v>
      </c>
      <c r="N26" s="12" t="s">
        <v>57</v>
      </c>
      <c r="O26" s="14">
        <v>0</v>
      </c>
      <c r="P26" s="12" t="s">
        <v>457</v>
      </c>
      <c r="Q26" s="12" t="s">
        <v>458</v>
      </c>
    </row>
    <row r="27" spans="1:17" ht="15" customHeight="1" x14ac:dyDescent="0.35">
      <c r="A27" s="12"/>
      <c r="B27" s="10" t="str">
        <f>IF(A27="","",IFERROR(IF(VLOOKUP(A27,Deal!$A:$K,8,0)="Win","✅ Win – Proceed","⚠ Stage: "&amp;VLOOKUP(A27,Deal!$A:$K,8,0)),"❌ Deal ID Not Found"))</f>
        <v/>
      </c>
      <c r="C27" t="str">
        <f>IF(A27="","",IFERROR(VLOOKUP(A27,Deal!$A:$K,2,0),""))</f>
        <v/>
      </c>
      <c r="D27" t="str">
        <f>IF(A27="","",IFERROR(VLOOKUP(A27,Deal!$A:$K,3,0),""))</f>
        <v/>
      </c>
      <c r="E27" t="str">
        <f>IF(A27="","",IFERROR(VLOOKUP(A27,Deal!$A:$K,4,0),""))</f>
        <v/>
      </c>
      <c r="F27" t="str">
        <f>IF(A27="","",IFERROR(VLOOKUP(A27,Enquiry!$A:$K,6,0),"— Enter manually"))</f>
        <v/>
      </c>
      <c r="G27" s="9" t="str">
        <f>IF(A27="","",IFERROR(VLOOKUP(A27,Deal!$A:$K,6,0),0))</f>
        <v/>
      </c>
      <c r="H27" t="str">
        <f>IF(A27="","",IFERROR(VLOOKUP(A27,Deal!$A:$K,9,0),""))</f>
        <v/>
      </c>
      <c r="I27" s="6" t="str">
        <f>IF(A27="","",IFERROR(VLOOKUP(A27,Deal!$A:$K,7,0),""))</f>
        <v/>
      </c>
      <c r="J27" s="12"/>
      <c r="K27" s="13"/>
      <c r="L27" s="13"/>
      <c r="M27" s="13"/>
      <c r="N27" s="12"/>
      <c r="O27" s="14"/>
      <c r="P27" s="12"/>
      <c r="Q27" s="12"/>
    </row>
    <row r="28" spans="1:17" ht="15" customHeight="1" x14ac:dyDescent="0.35">
      <c r="A28" s="12"/>
      <c r="B28" s="10" t="str">
        <f>IF(A28="","",IFERROR(IF(VLOOKUP(A28,Deal!$A:$K,8,0)="Win","✅ Win – Proceed","⚠ Stage: "&amp;VLOOKUP(A28,Deal!$A:$K,8,0)),"❌ Deal ID Not Found"))</f>
        <v/>
      </c>
      <c r="C28" t="str">
        <f>IF(A28="","",IFERROR(VLOOKUP(A28,Deal!$A:$K,2,0),""))</f>
        <v/>
      </c>
      <c r="D28" t="str">
        <f>IF(A28="","",IFERROR(VLOOKUP(A28,Deal!$A:$K,3,0),""))</f>
        <v/>
      </c>
      <c r="E28" t="str">
        <f>IF(A28="","",IFERROR(VLOOKUP(A28,Deal!$A:$K,4,0),""))</f>
        <v/>
      </c>
      <c r="F28" t="str">
        <f>IF(A28="","",IFERROR(VLOOKUP(A28,Enquiry!$A:$K,6,0),"— Enter manually"))</f>
        <v/>
      </c>
      <c r="G28" s="9" t="str">
        <f>IF(A28="","",IFERROR(VLOOKUP(A28,Deal!$A:$K,6,0),0))</f>
        <v/>
      </c>
      <c r="H28" t="str">
        <f>IF(A28="","",IFERROR(VLOOKUP(A28,Deal!$A:$K,9,0),""))</f>
        <v/>
      </c>
      <c r="I28" s="6" t="str">
        <f>IF(A28="","",IFERROR(VLOOKUP(A28,Deal!$A:$K,7,0),""))</f>
        <v/>
      </c>
      <c r="J28" s="12"/>
      <c r="K28" s="13"/>
      <c r="L28" s="13"/>
      <c r="M28" s="13"/>
      <c r="N28" s="12"/>
      <c r="O28" s="14"/>
      <c r="P28" s="12"/>
      <c r="Q28" s="12"/>
    </row>
    <row r="29" spans="1:17" ht="15" customHeight="1" x14ac:dyDescent="0.35">
      <c r="A29" s="12"/>
      <c r="B29" s="10" t="str">
        <f>IF(A29="","",IFERROR(IF(VLOOKUP(A29,Deal!$A:$K,8,0)="Win","✅ Win – Proceed","⚠ Stage: "&amp;VLOOKUP(A29,Deal!$A:$K,8,0)),"❌ Deal ID Not Found"))</f>
        <v/>
      </c>
      <c r="C29" t="str">
        <f>IF(A29="","",IFERROR(VLOOKUP(A29,Deal!$A:$K,2,0),""))</f>
        <v/>
      </c>
      <c r="D29" t="str">
        <f>IF(A29="","",IFERROR(VLOOKUP(A29,Deal!$A:$K,3,0),""))</f>
        <v/>
      </c>
      <c r="E29" t="str">
        <f>IF(A29="","",IFERROR(VLOOKUP(A29,Deal!$A:$K,4,0),""))</f>
        <v/>
      </c>
      <c r="F29" t="str">
        <f>IF(A29="","",IFERROR(VLOOKUP(A29,Enquiry!$A:$K,6,0),"— Enter manually"))</f>
        <v/>
      </c>
      <c r="G29" s="9" t="str">
        <f>IF(A29="","",IFERROR(VLOOKUP(A29,Deal!$A:$K,6,0),0))</f>
        <v/>
      </c>
      <c r="H29" t="str">
        <f>IF(A29="","",IFERROR(VLOOKUP(A29,Deal!$A:$K,9,0),""))</f>
        <v/>
      </c>
      <c r="I29" s="6" t="str">
        <f>IF(A29="","",IFERROR(VLOOKUP(A29,Deal!$A:$K,7,0),""))</f>
        <v/>
      </c>
      <c r="J29" s="12"/>
      <c r="K29" s="13"/>
      <c r="L29" s="13"/>
      <c r="M29" s="13"/>
      <c r="N29" s="12"/>
      <c r="O29" s="14"/>
      <c r="P29" s="12"/>
      <c r="Q29" s="12"/>
    </row>
    <row r="30" spans="1:17" ht="15" customHeight="1" x14ac:dyDescent="0.35">
      <c r="A30" s="12"/>
      <c r="B30" s="10" t="str">
        <f>IF(A30="","",IFERROR(IF(VLOOKUP(A30,Deal!$A:$K,8,0)="Win","✅ Win – Proceed","⚠ Stage: "&amp;VLOOKUP(A30,Deal!$A:$K,8,0)),"❌ Deal ID Not Found"))</f>
        <v/>
      </c>
      <c r="C30" t="str">
        <f>IF(A30="","",IFERROR(VLOOKUP(A30,Deal!$A:$K,2,0),""))</f>
        <v/>
      </c>
      <c r="D30" t="str">
        <f>IF(A30="","",IFERROR(VLOOKUP(A30,Deal!$A:$K,3,0),""))</f>
        <v/>
      </c>
      <c r="E30" t="str">
        <f>IF(A30="","",IFERROR(VLOOKUP(A30,Deal!$A:$K,4,0),""))</f>
        <v/>
      </c>
      <c r="F30" t="str">
        <f>IF(A30="","",IFERROR(VLOOKUP(A30,Enquiry!$A:$K,6,0),"— Enter manually"))</f>
        <v/>
      </c>
      <c r="G30" s="9" t="str">
        <f>IF(A30="","",IFERROR(VLOOKUP(A30,Deal!$A:$K,6,0),0))</f>
        <v/>
      </c>
      <c r="H30" t="str">
        <f>IF(A30="","",IFERROR(VLOOKUP(A30,Deal!$A:$K,9,0),""))</f>
        <v/>
      </c>
      <c r="I30" s="6" t="str">
        <f>IF(A30="","",IFERROR(VLOOKUP(A30,Deal!$A:$K,7,0),""))</f>
        <v/>
      </c>
      <c r="J30" s="12"/>
      <c r="K30" s="13"/>
      <c r="L30" s="13"/>
      <c r="M30" s="13"/>
      <c r="N30" s="12"/>
      <c r="O30" s="14"/>
      <c r="P30" s="12"/>
      <c r="Q30" s="12"/>
    </row>
    <row r="31" spans="1:17" ht="15" customHeight="1" x14ac:dyDescent="0.35">
      <c r="A31" s="12"/>
      <c r="B31" s="10" t="str">
        <f>IF(A31="","",IFERROR(IF(VLOOKUP(A31,Deal!$A:$K,8,0)="Win","✅ Win – Proceed","⚠ Stage: "&amp;VLOOKUP(A31,Deal!$A:$K,8,0)),"❌ Deal ID Not Found"))</f>
        <v/>
      </c>
      <c r="C31" t="str">
        <f>IF(A31="","",IFERROR(VLOOKUP(A31,Deal!$A:$K,2,0),""))</f>
        <v/>
      </c>
      <c r="D31" t="str">
        <f>IF(A31="","",IFERROR(VLOOKUP(A31,Deal!$A:$K,3,0),""))</f>
        <v/>
      </c>
      <c r="E31" t="str">
        <f>IF(A31="","",IFERROR(VLOOKUP(A31,Deal!$A:$K,4,0),""))</f>
        <v/>
      </c>
      <c r="F31" t="str">
        <f>IF(A31="","",IFERROR(VLOOKUP(A31,Enquiry!$A:$K,6,0),"— Enter manually"))</f>
        <v/>
      </c>
      <c r="G31" s="9" t="str">
        <f>IF(A31="","",IFERROR(VLOOKUP(A31,Deal!$A:$K,6,0),0))</f>
        <v/>
      </c>
      <c r="H31" t="str">
        <f>IF(A31="","",IFERROR(VLOOKUP(A31,Deal!$A:$K,9,0),""))</f>
        <v/>
      </c>
      <c r="I31" s="6" t="str">
        <f>IF(A31="","",IFERROR(VLOOKUP(A31,Deal!$A:$K,7,0),""))</f>
        <v/>
      </c>
      <c r="J31" s="12"/>
      <c r="K31" s="13"/>
      <c r="L31" s="13"/>
      <c r="M31" s="13"/>
      <c r="N31" s="12"/>
      <c r="O31" s="14"/>
      <c r="P31" s="12"/>
      <c r="Q31" s="12"/>
    </row>
    <row r="32" spans="1:17" ht="15" customHeight="1" x14ac:dyDescent="0.35">
      <c r="A32" s="12"/>
      <c r="B32" s="10" t="str">
        <f>IF(A32="","",IFERROR(IF(VLOOKUP(A32,Deal!$A:$K,8,0)="Win","✅ Win – Proceed","⚠ Stage: "&amp;VLOOKUP(A32,Deal!$A:$K,8,0)),"❌ Deal ID Not Found"))</f>
        <v/>
      </c>
      <c r="C32" t="str">
        <f>IF(A32="","",IFERROR(VLOOKUP(A32,Deal!$A:$K,2,0),""))</f>
        <v/>
      </c>
      <c r="D32" t="str">
        <f>IF(A32="","",IFERROR(VLOOKUP(A32,Deal!$A:$K,3,0),""))</f>
        <v/>
      </c>
      <c r="E32" t="str">
        <f>IF(A32="","",IFERROR(VLOOKUP(A32,Deal!$A:$K,4,0),""))</f>
        <v/>
      </c>
      <c r="F32" t="str">
        <f>IF(A32="","",IFERROR(VLOOKUP(A32,Enquiry!$A:$K,6,0),"— Enter manually"))</f>
        <v/>
      </c>
      <c r="G32" s="9" t="str">
        <f>IF(A32="","",IFERROR(VLOOKUP(A32,Deal!$A:$K,6,0),0))</f>
        <v/>
      </c>
      <c r="H32" t="str">
        <f>IF(A32="","",IFERROR(VLOOKUP(A32,Deal!$A:$K,9,0),""))</f>
        <v/>
      </c>
      <c r="I32" s="6" t="str">
        <f>IF(A32="","",IFERROR(VLOOKUP(A32,Deal!$A:$K,7,0),""))</f>
        <v/>
      </c>
      <c r="J32" s="12"/>
      <c r="K32" s="13"/>
      <c r="L32" s="13"/>
      <c r="M32" s="13"/>
      <c r="N32" s="12"/>
      <c r="O32" s="14"/>
      <c r="P32" s="12"/>
      <c r="Q32" s="12"/>
    </row>
    <row r="33" spans="1:17" ht="15" customHeight="1" x14ac:dyDescent="0.35">
      <c r="A33" s="12"/>
      <c r="B33" s="10" t="str">
        <f>IF(A33="","",IFERROR(IF(VLOOKUP(A33,Deal!$A:$K,8,0)="Win","✅ Win – Proceed","⚠ Stage: "&amp;VLOOKUP(A33,Deal!$A:$K,8,0)),"❌ Deal ID Not Found"))</f>
        <v/>
      </c>
      <c r="C33" t="str">
        <f>IF(A33="","",IFERROR(VLOOKUP(A33,Deal!$A:$K,2,0),""))</f>
        <v/>
      </c>
      <c r="D33" t="str">
        <f>IF(A33="","",IFERROR(VLOOKUP(A33,Deal!$A:$K,3,0),""))</f>
        <v/>
      </c>
      <c r="E33" t="str">
        <f>IF(A33="","",IFERROR(VLOOKUP(A33,Deal!$A:$K,4,0),""))</f>
        <v/>
      </c>
      <c r="F33" t="str">
        <f>IF(A33="","",IFERROR(VLOOKUP(A33,Enquiry!$A:$K,6,0),"— Enter manually"))</f>
        <v/>
      </c>
      <c r="G33" s="9" t="str">
        <f>IF(A33="","",IFERROR(VLOOKUP(A33,Deal!$A:$K,6,0),0))</f>
        <v/>
      </c>
      <c r="H33" t="str">
        <f>IF(A33="","",IFERROR(VLOOKUP(A33,Deal!$A:$K,9,0),""))</f>
        <v/>
      </c>
      <c r="I33" s="6" t="str">
        <f>IF(A33="","",IFERROR(VLOOKUP(A33,Deal!$A:$K,7,0),""))</f>
        <v/>
      </c>
      <c r="J33" s="12"/>
      <c r="K33" s="13"/>
      <c r="L33" s="13"/>
      <c r="M33" s="13"/>
      <c r="N33" s="12"/>
      <c r="O33" s="14"/>
      <c r="P33" s="12"/>
      <c r="Q33" s="12"/>
    </row>
    <row r="34" spans="1:17" ht="15" customHeight="1" x14ac:dyDescent="0.35">
      <c r="A34" s="12"/>
      <c r="B34" s="10" t="str">
        <f>IF(A34="","",IFERROR(IF(VLOOKUP(A34,Deal!$A:$K,8,0)="Win","✅ Win – Proceed","⚠ Stage: "&amp;VLOOKUP(A34,Deal!$A:$K,8,0)),"❌ Deal ID Not Found"))</f>
        <v/>
      </c>
      <c r="C34" t="str">
        <f>IF(A34="","",IFERROR(VLOOKUP(A34,Deal!$A:$K,2,0),""))</f>
        <v/>
      </c>
      <c r="D34" t="str">
        <f>IF(A34="","",IFERROR(VLOOKUP(A34,Deal!$A:$K,3,0),""))</f>
        <v/>
      </c>
      <c r="E34" t="str">
        <f>IF(A34="","",IFERROR(VLOOKUP(A34,Deal!$A:$K,4,0),""))</f>
        <v/>
      </c>
      <c r="F34" t="str">
        <f>IF(A34="","",IFERROR(VLOOKUP(A34,Enquiry!$A:$K,6,0),"— Enter manually"))</f>
        <v/>
      </c>
      <c r="G34" s="9" t="str">
        <f>IF(A34="","",IFERROR(VLOOKUP(A34,Deal!$A:$K,6,0),0))</f>
        <v/>
      </c>
      <c r="H34" t="str">
        <f>IF(A34="","",IFERROR(VLOOKUP(A34,Deal!$A:$K,9,0),""))</f>
        <v/>
      </c>
      <c r="I34" s="6" t="str">
        <f>IF(A34="","",IFERROR(VLOOKUP(A34,Deal!$A:$K,7,0),""))</f>
        <v/>
      </c>
      <c r="J34" s="12"/>
      <c r="K34" s="13"/>
      <c r="L34" s="13"/>
      <c r="M34" s="13"/>
      <c r="N34" s="12"/>
      <c r="O34" s="14"/>
      <c r="P34" s="12"/>
      <c r="Q34" s="12"/>
    </row>
    <row r="35" spans="1:17" ht="15" customHeight="1" x14ac:dyDescent="0.35">
      <c r="A35" s="12"/>
      <c r="B35" s="10" t="str">
        <f>IF(A35="","",IFERROR(IF(VLOOKUP(A35,Deal!$A:$K,8,0)="Win","✅ Win – Proceed","⚠ Stage: "&amp;VLOOKUP(A35,Deal!$A:$K,8,0)),"❌ Deal ID Not Found"))</f>
        <v/>
      </c>
      <c r="C35" t="str">
        <f>IF(A35="","",IFERROR(VLOOKUP(A35,Deal!$A:$K,2,0),""))</f>
        <v/>
      </c>
      <c r="D35" t="str">
        <f>IF(A35="","",IFERROR(VLOOKUP(A35,Deal!$A:$K,3,0),""))</f>
        <v/>
      </c>
      <c r="E35" t="str">
        <f>IF(A35="","",IFERROR(VLOOKUP(A35,Deal!$A:$K,4,0),""))</f>
        <v/>
      </c>
      <c r="F35" t="str">
        <f>IF(A35="","",IFERROR(VLOOKUP(A35,Enquiry!$A:$K,6,0),"— Enter manually"))</f>
        <v/>
      </c>
      <c r="G35" s="9" t="str">
        <f>IF(A35="","",IFERROR(VLOOKUP(A35,Deal!$A:$K,6,0),0))</f>
        <v/>
      </c>
      <c r="H35" t="str">
        <f>IF(A35="","",IFERROR(VLOOKUP(A35,Deal!$A:$K,9,0),""))</f>
        <v/>
      </c>
      <c r="I35" s="6" t="str">
        <f>IF(A35="","",IFERROR(VLOOKUP(A35,Deal!$A:$K,7,0),""))</f>
        <v/>
      </c>
      <c r="J35" s="12"/>
      <c r="K35" s="13"/>
      <c r="L35" s="13"/>
      <c r="M35" s="13"/>
      <c r="N35" s="12"/>
      <c r="O35" s="14"/>
      <c r="P35" s="12"/>
      <c r="Q35" s="12"/>
    </row>
    <row r="36" spans="1:17" ht="15" customHeight="1" x14ac:dyDescent="0.35">
      <c r="A36" s="12"/>
      <c r="B36" s="10" t="str">
        <f>IF(A36="","",IFERROR(IF(VLOOKUP(A36,Deal!$A:$K,8,0)="Win","✅ Win – Proceed","⚠ Stage: "&amp;VLOOKUP(A36,Deal!$A:$K,8,0)),"❌ Deal ID Not Found"))</f>
        <v/>
      </c>
      <c r="C36" t="str">
        <f>IF(A36="","",IFERROR(VLOOKUP(A36,Deal!$A:$K,2,0),""))</f>
        <v/>
      </c>
      <c r="D36" t="str">
        <f>IF(A36="","",IFERROR(VLOOKUP(A36,Deal!$A:$K,3,0),""))</f>
        <v/>
      </c>
      <c r="E36" t="str">
        <f>IF(A36="","",IFERROR(VLOOKUP(A36,Deal!$A:$K,4,0),""))</f>
        <v/>
      </c>
      <c r="F36" t="str">
        <f>IF(A36="","",IFERROR(VLOOKUP(A36,Enquiry!$A:$K,6,0),"— Enter manually"))</f>
        <v/>
      </c>
      <c r="G36" s="9" t="str">
        <f>IF(A36="","",IFERROR(VLOOKUP(A36,Deal!$A:$K,6,0),0))</f>
        <v/>
      </c>
      <c r="H36" t="str">
        <f>IF(A36="","",IFERROR(VLOOKUP(A36,Deal!$A:$K,9,0),""))</f>
        <v/>
      </c>
      <c r="I36" s="6" t="str">
        <f>IF(A36="","",IFERROR(VLOOKUP(A36,Deal!$A:$K,7,0),""))</f>
        <v/>
      </c>
      <c r="J36" s="12"/>
      <c r="K36" s="13"/>
      <c r="L36" s="13"/>
      <c r="M36" s="13"/>
      <c r="N36" s="12"/>
      <c r="O36" s="14"/>
      <c r="P36" s="12"/>
      <c r="Q36" s="12"/>
    </row>
    <row r="37" spans="1:17" ht="15" customHeight="1" x14ac:dyDescent="0.35">
      <c r="A37" s="12"/>
      <c r="B37" s="10" t="str">
        <f>IF(A37="","",IFERROR(IF(VLOOKUP(A37,Deal!$A:$K,8,0)="Win","✅ Win – Proceed","⚠ Stage: "&amp;VLOOKUP(A37,Deal!$A:$K,8,0)),"❌ Deal ID Not Found"))</f>
        <v/>
      </c>
      <c r="C37" t="str">
        <f>IF(A37="","",IFERROR(VLOOKUP(A37,Deal!$A:$K,2,0),""))</f>
        <v/>
      </c>
      <c r="D37" t="str">
        <f>IF(A37="","",IFERROR(VLOOKUP(A37,Deal!$A:$K,3,0),""))</f>
        <v/>
      </c>
      <c r="E37" t="str">
        <f>IF(A37="","",IFERROR(VLOOKUP(A37,Deal!$A:$K,4,0),""))</f>
        <v/>
      </c>
      <c r="F37" t="str">
        <f>IF(A37="","",IFERROR(VLOOKUP(A37,Enquiry!$A:$K,6,0),"— Enter manually"))</f>
        <v/>
      </c>
      <c r="G37" s="9" t="str">
        <f>IF(A37="","",IFERROR(VLOOKUP(A37,Deal!$A:$K,6,0),0))</f>
        <v/>
      </c>
      <c r="H37" t="str">
        <f>IF(A37="","",IFERROR(VLOOKUP(A37,Deal!$A:$K,9,0),""))</f>
        <v/>
      </c>
      <c r="I37" s="6" t="str">
        <f>IF(A37="","",IFERROR(VLOOKUP(A37,Deal!$A:$K,7,0),""))</f>
        <v/>
      </c>
      <c r="J37" s="12"/>
      <c r="K37" s="13"/>
      <c r="L37" s="13"/>
      <c r="M37" s="13"/>
      <c r="N37" s="12"/>
      <c r="O37" s="14"/>
      <c r="P37" s="12"/>
      <c r="Q37" s="12"/>
    </row>
    <row r="38" spans="1:17" ht="15" customHeight="1" x14ac:dyDescent="0.35">
      <c r="A38" s="12"/>
      <c r="B38" s="10" t="str">
        <f>IF(A38="","",IFERROR(IF(VLOOKUP(A38,Deal!$A:$K,8,0)="Win","✅ Win – Proceed","⚠ Stage: "&amp;VLOOKUP(A38,Deal!$A:$K,8,0)),"❌ Deal ID Not Found"))</f>
        <v/>
      </c>
      <c r="C38" t="str">
        <f>IF(A38="","",IFERROR(VLOOKUP(A38,Deal!$A:$K,2,0),""))</f>
        <v/>
      </c>
      <c r="D38" t="str">
        <f>IF(A38="","",IFERROR(VLOOKUP(A38,Deal!$A:$K,3,0),""))</f>
        <v/>
      </c>
      <c r="E38" t="str">
        <f>IF(A38="","",IFERROR(VLOOKUP(A38,Deal!$A:$K,4,0),""))</f>
        <v/>
      </c>
      <c r="F38" t="str">
        <f>IF(A38="","",IFERROR(VLOOKUP(A38,Enquiry!$A:$K,6,0),"— Enter manually"))</f>
        <v/>
      </c>
      <c r="G38" s="9" t="str">
        <f>IF(A38="","",IFERROR(VLOOKUP(A38,Deal!$A:$K,6,0),0))</f>
        <v/>
      </c>
      <c r="H38" t="str">
        <f>IF(A38="","",IFERROR(VLOOKUP(A38,Deal!$A:$K,9,0),""))</f>
        <v/>
      </c>
      <c r="I38" s="6" t="str">
        <f>IF(A38="","",IFERROR(VLOOKUP(A38,Deal!$A:$K,7,0),""))</f>
        <v/>
      </c>
      <c r="J38" s="12"/>
      <c r="K38" s="13"/>
      <c r="L38" s="13"/>
      <c r="M38" s="13"/>
      <c r="N38" s="12"/>
      <c r="O38" s="14"/>
      <c r="P38" s="12"/>
      <c r="Q38" s="12"/>
    </row>
    <row r="39" spans="1:17" ht="15" customHeight="1" x14ac:dyDescent="0.35">
      <c r="A39" s="12"/>
      <c r="B39" s="10" t="str">
        <f>IF(A39="","",IFERROR(IF(VLOOKUP(A39,Deal!$A:$K,8,0)="Win","✅ Win – Proceed","⚠ Stage: "&amp;VLOOKUP(A39,Deal!$A:$K,8,0)),"❌ Deal ID Not Found"))</f>
        <v/>
      </c>
      <c r="C39" t="str">
        <f>IF(A39="","",IFERROR(VLOOKUP(A39,Deal!$A:$K,2,0),""))</f>
        <v/>
      </c>
      <c r="D39" t="str">
        <f>IF(A39="","",IFERROR(VLOOKUP(A39,Deal!$A:$K,3,0),""))</f>
        <v/>
      </c>
      <c r="E39" t="str">
        <f>IF(A39="","",IFERROR(VLOOKUP(A39,Deal!$A:$K,4,0),""))</f>
        <v/>
      </c>
      <c r="F39" t="str">
        <f>IF(A39="","",IFERROR(VLOOKUP(A39,Enquiry!$A:$K,6,0),"— Enter manually"))</f>
        <v/>
      </c>
      <c r="G39" s="9" t="str">
        <f>IF(A39="","",IFERROR(VLOOKUP(A39,Deal!$A:$K,6,0),0))</f>
        <v/>
      </c>
      <c r="H39" t="str">
        <f>IF(A39="","",IFERROR(VLOOKUP(A39,Deal!$A:$K,9,0),""))</f>
        <v/>
      </c>
      <c r="I39" s="6" t="str">
        <f>IF(A39="","",IFERROR(VLOOKUP(A39,Deal!$A:$K,7,0),""))</f>
        <v/>
      </c>
      <c r="J39" s="12"/>
      <c r="K39" s="13"/>
      <c r="L39" s="13"/>
      <c r="M39" s="13"/>
      <c r="N39" s="12"/>
      <c r="O39" s="14"/>
      <c r="P39" s="12"/>
      <c r="Q39" s="12"/>
    </row>
    <row r="40" spans="1:17" ht="15" customHeight="1" x14ac:dyDescent="0.35">
      <c r="A40" s="12"/>
      <c r="B40" s="10" t="str">
        <f>IF(A40="","",IFERROR(IF(VLOOKUP(A40,Deal!$A:$K,8,0)="Win","✅ Win – Proceed","⚠ Stage: "&amp;VLOOKUP(A40,Deal!$A:$K,8,0)),"❌ Deal ID Not Found"))</f>
        <v/>
      </c>
      <c r="C40" t="str">
        <f>IF(A40="","",IFERROR(VLOOKUP(A40,Deal!$A:$K,2,0),""))</f>
        <v/>
      </c>
      <c r="D40" t="str">
        <f>IF(A40="","",IFERROR(VLOOKUP(A40,Deal!$A:$K,3,0),""))</f>
        <v/>
      </c>
      <c r="E40" t="str">
        <f>IF(A40="","",IFERROR(VLOOKUP(A40,Deal!$A:$K,4,0),""))</f>
        <v/>
      </c>
      <c r="F40" t="str">
        <f>IF(A40="","",IFERROR(VLOOKUP(A40,Enquiry!$A:$K,6,0),"— Enter manually"))</f>
        <v/>
      </c>
      <c r="G40" s="9" t="str">
        <f>IF(A40="","",IFERROR(VLOOKUP(A40,Deal!$A:$K,6,0),0))</f>
        <v/>
      </c>
      <c r="H40" t="str">
        <f>IF(A40="","",IFERROR(VLOOKUP(A40,Deal!$A:$K,9,0),""))</f>
        <v/>
      </c>
      <c r="I40" s="6" t="str">
        <f>IF(A40="","",IFERROR(VLOOKUP(A40,Deal!$A:$K,7,0),""))</f>
        <v/>
      </c>
      <c r="J40" s="12"/>
      <c r="K40" s="13"/>
      <c r="L40" s="13"/>
      <c r="M40" s="13"/>
      <c r="N40" s="12"/>
      <c r="O40" s="14"/>
      <c r="P40" s="12"/>
      <c r="Q40" s="12"/>
    </row>
    <row r="41" spans="1:17" ht="15" customHeight="1" x14ac:dyDescent="0.35">
      <c r="A41" s="12"/>
      <c r="B41" s="10" t="str">
        <f>IF(A41="","",IFERROR(IF(VLOOKUP(A41,Deal!$A:$K,8,0)="Win","✅ Win – Proceed","⚠ Stage: "&amp;VLOOKUP(A41,Deal!$A:$K,8,0)),"❌ Deal ID Not Found"))</f>
        <v/>
      </c>
      <c r="C41" t="str">
        <f>IF(A41="","",IFERROR(VLOOKUP(A41,Deal!$A:$K,2,0),""))</f>
        <v/>
      </c>
      <c r="D41" t="str">
        <f>IF(A41="","",IFERROR(VLOOKUP(A41,Deal!$A:$K,3,0),""))</f>
        <v/>
      </c>
      <c r="E41" t="str">
        <f>IF(A41="","",IFERROR(VLOOKUP(A41,Deal!$A:$K,4,0),""))</f>
        <v/>
      </c>
      <c r="F41" t="str">
        <f>IF(A41="","",IFERROR(VLOOKUP(A41,Enquiry!$A:$K,6,0),"— Enter manually"))</f>
        <v/>
      </c>
      <c r="G41" s="9" t="str">
        <f>IF(A41="","",IFERROR(VLOOKUP(A41,Deal!$A:$K,6,0),0))</f>
        <v/>
      </c>
      <c r="H41" t="str">
        <f>IF(A41="","",IFERROR(VLOOKUP(A41,Deal!$A:$K,9,0),""))</f>
        <v/>
      </c>
      <c r="I41" s="6" t="str">
        <f>IF(A41="","",IFERROR(VLOOKUP(A41,Deal!$A:$K,7,0),""))</f>
        <v/>
      </c>
      <c r="J41" s="12"/>
      <c r="K41" s="13"/>
      <c r="L41" s="13"/>
      <c r="M41" s="13"/>
      <c r="N41" s="12"/>
      <c r="O41" s="14"/>
      <c r="P41" s="12"/>
      <c r="Q41" s="12"/>
    </row>
    <row r="42" spans="1:17" ht="15" customHeight="1" x14ac:dyDescent="0.35">
      <c r="A42" s="12"/>
      <c r="B42" s="10" t="str">
        <f>IF(A42="","",IFERROR(IF(VLOOKUP(A42,Deal!$A:$K,8,0)="Win","✅ Win – Proceed","⚠ Stage: "&amp;VLOOKUP(A42,Deal!$A:$K,8,0)),"❌ Deal ID Not Found"))</f>
        <v/>
      </c>
      <c r="C42" t="str">
        <f>IF(A42="","",IFERROR(VLOOKUP(A42,Deal!$A:$K,2,0),""))</f>
        <v/>
      </c>
      <c r="D42" t="str">
        <f>IF(A42="","",IFERROR(VLOOKUP(A42,Deal!$A:$K,3,0),""))</f>
        <v/>
      </c>
      <c r="E42" t="str">
        <f>IF(A42="","",IFERROR(VLOOKUP(A42,Deal!$A:$K,4,0),""))</f>
        <v/>
      </c>
      <c r="F42" t="str">
        <f>IF(A42="","",IFERROR(VLOOKUP(A42,Enquiry!$A:$K,6,0),"— Enter manually"))</f>
        <v/>
      </c>
      <c r="G42" s="9" t="str">
        <f>IF(A42="","",IFERROR(VLOOKUP(A42,Deal!$A:$K,6,0),0))</f>
        <v/>
      </c>
      <c r="H42" t="str">
        <f>IF(A42="","",IFERROR(VLOOKUP(A42,Deal!$A:$K,9,0),""))</f>
        <v/>
      </c>
      <c r="I42" s="6" t="str">
        <f>IF(A42="","",IFERROR(VLOOKUP(A42,Deal!$A:$K,7,0),""))</f>
        <v/>
      </c>
      <c r="J42" s="12"/>
      <c r="K42" s="13"/>
      <c r="L42" s="13"/>
      <c r="M42" s="13"/>
      <c r="N42" s="12"/>
      <c r="O42" s="14"/>
      <c r="P42" s="12"/>
      <c r="Q42" s="12"/>
    </row>
    <row r="43" spans="1:17" ht="15" customHeight="1" x14ac:dyDescent="0.35">
      <c r="A43" s="12"/>
      <c r="B43" s="10" t="str">
        <f>IF(A43="","",IFERROR(IF(VLOOKUP(A43,Deal!$A:$K,8,0)="Win","✅ Win – Proceed","⚠ Stage: "&amp;VLOOKUP(A43,Deal!$A:$K,8,0)),"❌ Deal ID Not Found"))</f>
        <v/>
      </c>
      <c r="C43" t="str">
        <f>IF(A43="","",IFERROR(VLOOKUP(A43,Deal!$A:$K,2,0),""))</f>
        <v/>
      </c>
      <c r="D43" t="str">
        <f>IF(A43="","",IFERROR(VLOOKUP(A43,Deal!$A:$K,3,0),""))</f>
        <v/>
      </c>
      <c r="E43" t="str">
        <f>IF(A43="","",IFERROR(VLOOKUP(A43,Deal!$A:$K,4,0),""))</f>
        <v/>
      </c>
      <c r="F43" t="str">
        <f>IF(A43="","",IFERROR(VLOOKUP(A43,Enquiry!$A:$K,6,0),"— Enter manually"))</f>
        <v/>
      </c>
      <c r="G43" s="9" t="str">
        <f>IF(A43="","",IFERROR(VLOOKUP(A43,Deal!$A:$K,6,0),0))</f>
        <v/>
      </c>
      <c r="H43" t="str">
        <f>IF(A43="","",IFERROR(VLOOKUP(A43,Deal!$A:$K,9,0),""))</f>
        <v/>
      </c>
      <c r="I43" s="6" t="str">
        <f>IF(A43="","",IFERROR(VLOOKUP(A43,Deal!$A:$K,7,0),""))</f>
        <v/>
      </c>
      <c r="J43" s="12"/>
      <c r="K43" s="13"/>
      <c r="L43" s="13"/>
      <c r="M43" s="13"/>
      <c r="N43" s="12"/>
      <c r="O43" s="14"/>
      <c r="P43" s="12"/>
      <c r="Q43" s="12"/>
    </row>
    <row r="44" spans="1:17" ht="15" customHeight="1" x14ac:dyDescent="0.35">
      <c r="A44" s="12"/>
      <c r="B44" s="10" t="str">
        <f>IF(A44="","",IFERROR(IF(VLOOKUP(A44,Deal!$A:$K,8,0)="Win","✅ Win – Proceed","⚠ Stage: "&amp;VLOOKUP(A44,Deal!$A:$K,8,0)),"❌ Deal ID Not Found"))</f>
        <v/>
      </c>
      <c r="C44" t="str">
        <f>IF(A44="","",IFERROR(VLOOKUP(A44,Deal!$A:$K,2,0),""))</f>
        <v/>
      </c>
      <c r="D44" t="str">
        <f>IF(A44="","",IFERROR(VLOOKUP(A44,Deal!$A:$K,3,0),""))</f>
        <v/>
      </c>
      <c r="E44" t="str">
        <f>IF(A44="","",IFERROR(VLOOKUP(A44,Deal!$A:$K,4,0),""))</f>
        <v/>
      </c>
      <c r="F44" t="str">
        <f>IF(A44="","",IFERROR(VLOOKUP(A44,Enquiry!$A:$K,6,0),"— Enter manually"))</f>
        <v/>
      </c>
      <c r="G44" s="9" t="str">
        <f>IF(A44="","",IFERROR(VLOOKUP(A44,Deal!$A:$K,6,0),0))</f>
        <v/>
      </c>
      <c r="H44" t="str">
        <f>IF(A44="","",IFERROR(VLOOKUP(A44,Deal!$A:$K,9,0),""))</f>
        <v/>
      </c>
      <c r="I44" s="6" t="str">
        <f>IF(A44="","",IFERROR(VLOOKUP(A44,Deal!$A:$K,7,0),""))</f>
        <v/>
      </c>
      <c r="J44" s="12"/>
      <c r="K44" s="13"/>
      <c r="L44" s="13"/>
      <c r="M44" s="13"/>
      <c r="N44" s="12"/>
      <c r="O44" s="14"/>
      <c r="P44" s="12"/>
      <c r="Q44" s="12"/>
    </row>
    <row r="45" spans="1:17" ht="15" customHeight="1" x14ac:dyDescent="0.35">
      <c r="A45" s="12"/>
      <c r="B45" s="10" t="str">
        <f>IF(A45="","",IFERROR(IF(VLOOKUP(A45,Deal!$A:$K,8,0)="Win","✅ Win – Proceed","⚠ Stage: "&amp;VLOOKUP(A45,Deal!$A:$K,8,0)),"❌ Deal ID Not Found"))</f>
        <v/>
      </c>
      <c r="C45" t="str">
        <f>IF(A45="","",IFERROR(VLOOKUP(A45,Deal!$A:$K,2,0),""))</f>
        <v/>
      </c>
      <c r="D45" t="str">
        <f>IF(A45="","",IFERROR(VLOOKUP(A45,Deal!$A:$K,3,0),""))</f>
        <v/>
      </c>
      <c r="E45" t="str">
        <f>IF(A45="","",IFERROR(VLOOKUP(A45,Deal!$A:$K,4,0),""))</f>
        <v/>
      </c>
      <c r="F45" t="str">
        <f>IF(A45="","",IFERROR(VLOOKUP(A45,Enquiry!$A:$K,6,0),"— Enter manually"))</f>
        <v/>
      </c>
      <c r="G45" s="9" t="str">
        <f>IF(A45="","",IFERROR(VLOOKUP(A45,Deal!$A:$K,6,0),0))</f>
        <v/>
      </c>
      <c r="H45" t="str">
        <f>IF(A45="","",IFERROR(VLOOKUP(A45,Deal!$A:$K,9,0),""))</f>
        <v/>
      </c>
      <c r="I45" s="6" t="str">
        <f>IF(A45="","",IFERROR(VLOOKUP(A45,Deal!$A:$K,7,0),""))</f>
        <v/>
      </c>
      <c r="J45" s="12"/>
      <c r="K45" s="13"/>
      <c r="L45" s="13"/>
      <c r="M45" s="13"/>
      <c r="N45" s="12"/>
      <c r="O45" s="14"/>
      <c r="P45" s="12"/>
      <c r="Q45" s="12"/>
    </row>
    <row r="46" spans="1:17" ht="15" customHeight="1" x14ac:dyDescent="0.35">
      <c r="A46" s="12"/>
      <c r="B46" s="10" t="str">
        <f>IF(A46="","",IFERROR(IF(VLOOKUP(A46,Deal!$A:$K,8,0)="Win","✅ Win – Proceed","⚠ Stage: "&amp;VLOOKUP(A46,Deal!$A:$K,8,0)),"❌ Deal ID Not Found"))</f>
        <v/>
      </c>
      <c r="C46" t="str">
        <f>IF(A46="","",IFERROR(VLOOKUP(A46,Deal!$A:$K,2,0),""))</f>
        <v/>
      </c>
      <c r="D46" t="str">
        <f>IF(A46="","",IFERROR(VLOOKUP(A46,Deal!$A:$K,3,0),""))</f>
        <v/>
      </c>
      <c r="E46" t="str">
        <f>IF(A46="","",IFERROR(VLOOKUP(A46,Deal!$A:$K,4,0),""))</f>
        <v/>
      </c>
      <c r="F46" t="str">
        <f>IF(A46="","",IFERROR(VLOOKUP(A46,Enquiry!$A:$K,6,0),"— Enter manually"))</f>
        <v/>
      </c>
      <c r="G46" s="9" t="str">
        <f>IF(A46="","",IFERROR(VLOOKUP(A46,Deal!$A:$K,6,0),0))</f>
        <v/>
      </c>
      <c r="H46" t="str">
        <f>IF(A46="","",IFERROR(VLOOKUP(A46,Deal!$A:$K,9,0),""))</f>
        <v/>
      </c>
      <c r="I46" s="6" t="str">
        <f>IF(A46="","",IFERROR(VLOOKUP(A46,Deal!$A:$K,7,0),""))</f>
        <v/>
      </c>
      <c r="J46" s="12"/>
      <c r="K46" s="13"/>
      <c r="L46" s="13"/>
      <c r="M46" s="13"/>
      <c r="N46" s="12"/>
      <c r="O46" s="14"/>
      <c r="P46" s="12"/>
      <c r="Q46" s="12"/>
    </row>
    <row r="47" spans="1:17" ht="15" customHeight="1" x14ac:dyDescent="0.35">
      <c r="A47" s="12"/>
      <c r="B47" s="10" t="str">
        <f>IF(A47="","",IFERROR(IF(VLOOKUP(A47,Deal!$A:$K,8,0)="Win","✅ Win – Proceed","⚠ Stage: "&amp;VLOOKUP(A47,Deal!$A:$K,8,0)),"❌ Deal ID Not Found"))</f>
        <v/>
      </c>
      <c r="C47" t="str">
        <f>IF(A47="","",IFERROR(VLOOKUP(A47,Deal!$A:$K,2,0),""))</f>
        <v/>
      </c>
      <c r="D47" t="str">
        <f>IF(A47="","",IFERROR(VLOOKUP(A47,Deal!$A:$K,3,0),""))</f>
        <v/>
      </c>
      <c r="E47" t="str">
        <f>IF(A47="","",IFERROR(VLOOKUP(A47,Deal!$A:$K,4,0),""))</f>
        <v/>
      </c>
      <c r="F47" t="str">
        <f>IF(A47="","",IFERROR(VLOOKUP(A47,Enquiry!$A:$K,6,0),"— Enter manually"))</f>
        <v/>
      </c>
      <c r="G47" s="9" t="str">
        <f>IF(A47="","",IFERROR(VLOOKUP(A47,Deal!$A:$K,6,0),0))</f>
        <v/>
      </c>
      <c r="H47" t="str">
        <f>IF(A47="","",IFERROR(VLOOKUP(A47,Deal!$A:$K,9,0),""))</f>
        <v/>
      </c>
      <c r="I47" s="6" t="str">
        <f>IF(A47="","",IFERROR(VLOOKUP(A47,Deal!$A:$K,7,0),""))</f>
        <v/>
      </c>
      <c r="J47" s="12"/>
      <c r="K47" s="13"/>
      <c r="L47" s="13"/>
      <c r="M47" s="13"/>
      <c r="N47" s="12"/>
      <c r="O47" s="14"/>
      <c r="P47" s="12"/>
      <c r="Q47" s="12"/>
    </row>
    <row r="48" spans="1:17" ht="15" customHeight="1" x14ac:dyDescent="0.35">
      <c r="A48" s="12"/>
      <c r="B48" s="10" t="str">
        <f>IF(A48="","",IFERROR(IF(VLOOKUP(A48,Deal!$A:$K,8,0)="Win","✅ Win – Proceed","⚠ Stage: "&amp;VLOOKUP(A48,Deal!$A:$K,8,0)),"❌ Deal ID Not Found"))</f>
        <v/>
      </c>
      <c r="C48" t="str">
        <f>IF(A48="","",IFERROR(VLOOKUP(A48,Deal!$A:$K,2,0),""))</f>
        <v/>
      </c>
      <c r="D48" t="str">
        <f>IF(A48="","",IFERROR(VLOOKUP(A48,Deal!$A:$K,3,0),""))</f>
        <v/>
      </c>
      <c r="E48" t="str">
        <f>IF(A48="","",IFERROR(VLOOKUP(A48,Deal!$A:$K,4,0),""))</f>
        <v/>
      </c>
      <c r="F48" t="str">
        <f>IF(A48="","",IFERROR(VLOOKUP(A48,Enquiry!$A:$K,6,0),"— Enter manually"))</f>
        <v/>
      </c>
      <c r="G48" s="9" t="str">
        <f>IF(A48="","",IFERROR(VLOOKUP(A48,Deal!$A:$K,6,0),0))</f>
        <v/>
      </c>
      <c r="H48" t="str">
        <f>IF(A48="","",IFERROR(VLOOKUP(A48,Deal!$A:$K,9,0),""))</f>
        <v/>
      </c>
      <c r="I48" s="6" t="str">
        <f>IF(A48="","",IFERROR(VLOOKUP(A48,Deal!$A:$K,7,0),""))</f>
        <v/>
      </c>
      <c r="J48" s="12"/>
      <c r="K48" s="13"/>
      <c r="L48" s="13"/>
      <c r="M48" s="13"/>
      <c r="N48" s="12"/>
      <c r="O48" s="14"/>
      <c r="P48" s="12"/>
      <c r="Q48" s="12"/>
    </row>
    <row r="49" spans="1:17" ht="15" customHeight="1" x14ac:dyDescent="0.35">
      <c r="A49" s="12"/>
      <c r="B49" s="10" t="str">
        <f>IF(A49="","",IFERROR(IF(VLOOKUP(A49,Deal!$A:$K,8,0)="Win","✅ Win – Proceed","⚠ Stage: "&amp;VLOOKUP(A49,Deal!$A:$K,8,0)),"❌ Deal ID Not Found"))</f>
        <v/>
      </c>
      <c r="C49" t="str">
        <f>IF(A49="","",IFERROR(VLOOKUP(A49,Deal!$A:$K,2,0),""))</f>
        <v/>
      </c>
      <c r="D49" t="str">
        <f>IF(A49="","",IFERROR(VLOOKUP(A49,Deal!$A:$K,3,0),""))</f>
        <v/>
      </c>
      <c r="E49" t="str">
        <f>IF(A49="","",IFERROR(VLOOKUP(A49,Deal!$A:$K,4,0),""))</f>
        <v/>
      </c>
      <c r="F49" t="str">
        <f>IF(A49="","",IFERROR(VLOOKUP(A49,Enquiry!$A:$K,6,0),"— Enter manually"))</f>
        <v/>
      </c>
      <c r="G49" s="9" t="str">
        <f>IF(A49="","",IFERROR(VLOOKUP(A49,Deal!$A:$K,6,0),0))</f>
        <v/>
      </c>
      <c r="H49" t="str">
        <f>IF(A49="","",IFERROR(VLOOKUP(A49,Deal!$A:$K,9,0),""))</f>
        <v/>
      </c>
      <c r="I49" s="6" t="str">
        <f>IF(A49="","",IFERROR(VLOOKUP(A49,Deal!$A:$K,7,0),""))</f>
        <v/>
      </c>
      <c r="J49" s="12"/>
      <c r="K49" s="13"/>
      <c r="L49" s="13"/>
      <c r="M49" s="13"/>
      <c r="N49" s="12"/>
      <c r="O49" s="14"/>
      <c r="P49" s="12"/>
      <c r="Q49" s="12"/>
    </row>
    <row r="50" spans="1:17" ht="15" customHeight="1" x14ac:dyDescent="0.35">
      <c r="A50" s="12"/>
      <c r="B50" s="10" t="str">
        <f>IF(A50="","",IFERROR(IF(VLOOKUP(A50,Deal!$A:$K,8,0)="Win","✅ Win – Proceed","⚠ Stage: "&amp;VLOOKUP(A50,Deal!$A:$K,8,0)),"❌ Deal ID Not Found"))</f>
        <v/>
      </c>
      <c r="C50" t="str">
        <f>IF(A50="","",IFERROR(VLOOKUP(A50,Deal!$A:$K,2,0),""))</f>
        <v/>
      </c>
      <c r="D50" t="str">
        <f>IF(A50="","",IFERROR(VLOOKUP(A50,Deal!$A:$K,3,0),""))</f>
        <v/>
      </c>
      <c r="E50" t="str">
        <f>IF(A50="","",IFERROR(VLOOKUP(A50,Deal!$A:$K,4,0),""))</f>
        <v/>
      </c>
      <c r="F50" t="str">
        <f>IF(A50="","",IFERROR(VLOOKUP(A50,Enquiry!$A:$K,6,0),"— Enter manually"))</f>
        <v/>
      </c>
      <c r="G50" s="9" t="str">
        <f>IF(A50="","",IFERROR(VLOOKUP(A50,Deal!$A:$K,6,0),0))</f>
        <v/>
      </c>
      <c r="H50" t="str">
        <f>IF(A50="","",IFERROR(VLOOKUP(A50,Deal!$A:$K,9,0),""))</f>
        <v/>
      </c>
      <c r="I50" s="6" t="str">
        <f>IF(A50="","",IFERROR(VLOOKUP(A50,Deal!$A:$K,7,0),""))</f>
        <v/>
      </c>
      <c r="J50" s="12"/>
      <c r="K50" s="13"/>
      <c r="L50" s="13"/>
      <c r="M50" s="13"/>
      <c r="N50" s="12"/>
      <c r="O50" s="14"/>
      <c r="P50" s="12"/>
      <c r="Q50" s="12"/>
    </row>
    <row r="51" spans="1:17" ht="15" customHeight="1" x14ac:dyDescent="0.35">
      <c r="A51" s="12"/>
      <c r="B51" s="10" t="str">
        <f>IF(A51="","",IFERROR(IF(VLOOKUP(A51,Deal!$A:$K,8,0)="Win","✅ Win – Proceed","⚠ Stage: "&amp;VLOOKUP(A51,Deal!$A:$K,8,0)),"❌ Deal ID Not Found"))</f>
        <v/>
      </c>
      <c r="C51" t="str">
        <f>IF(A51="","",IFERROR(VLOOKUP(A51,Deal!$A:$K,2,0),""))</f>
        <v/>
      </c>
      <c r="D51" t="str">
        <f>IF(A51="","",IFERROR(VLOOKUP(A51,Deal!$A:$K,3,0),""))</f>
        <v/>
      </c>
      <c r="E51" t="str">
        <f>IF(A51="","",IFERROR(VLOOKUP(A51,Deal!$A:$K,4,0),""))</f>
        <v/>
      </c>
      <c r="F51" t="str">
        <f>IF(A51="","",IFERROR(VLOOKUP(A51,Enquiry!$A:$K,6,0),"— Enter manually"))</f>
        <v/>
      </c>
      <c r="G51" s="9" t="str">
        <f>IF(A51="","",IFERROR(VLOOKUP(A51,Deal!$A:$K,6,0),0))</f>
        <v/>
      </c>
      <c r="H51" t="str">
        <f>IF(A51="","",IFERROR(VLOOKUP(A51,Deal!$A:$K,9,0),""))</f>
        <v/>
      </c>
      <c r="I51" s="6" t="str">
        <f>IF(A51="","",IFERROR(VLOOKUP(A51,Deal!$A:$K,7,0),""))</f>
        <v/>
      </c>
      <c r="J51" s="12"/>
      <c r="K51" s="13"/>
      <c r="L51" s="13"/>
      <c r="M51" s="13"/>
      <c r="N51" s="12"/>
      <c r="O51" s="14"/>
      <c r="P51" s="12"/>
      <c r="Q51" s="12"/>
    </row>
    <row r="52" spans="1:17" ht="15" customHeight="1" x14ac:dyDescent="0.35">
      <c r="A52" s="12"/>
      <c r="B52" s="10" t="str">
        <f>IF(A52="","",IFERROR(IF(VLOOKUP(A52,Deal!$A:$K,8,0)="Win","✅ Win – Proceed","⚠ Stage: "&amp;VLOOKUP(A52,Deal!$A:$K,8,0)),"❌ Deal ID Not Found"))</f>
        <v/>
      </c>
      <c r="C52" t="str">
        <f>IF(A52="","",IFERROR(VLOOKUP(A52,Deal!$A:$K,2,0),""))</f>
        <v/>
      </c>
      <c r="D52" t="str">
        <f>IF(A52="","",IFERROR(VLOOKUP(A52,Deal!$A:$K,3,0),""))</f>
        <v/>
      </c>
      <c r="E52" t="str">
        <f>IF(A52="","",IFERROR(VLOOKUP(A52,Deal!$A:$K,4,0),""))</f>
        <v/>
      </c>
      <c r="F52" t="str">
        <f>IF(A52="","",IFERROR(VLOOKUP(A52,Enquiry!$A:$K,6,0),"— Enter manually"))</f>
        <v/>
      </c>
      <c r="G52" s="9" t="str">
        <f>IF(A52="","",IFERROR(VLOOKUP(A52,Deal!$A:$K,6,0),0))</f>
        <v/>
      </c>
      <c r="H52" t="str">
        <f>IF(A52="","",IFERROR(VLOOKUP(A52,Deal!$A:$K,9,0),""))</f>
        <v/>
      </c>
      <c r="I52" s="6" t="str">
        <f>IF(A52="","",IFERROR(VLOOKUP(A52,Deal!$A:$K,7,0),""))</f>
        <v/>
      </c>
      <c r="J52" s="12"/>
      <c r="K52" s="13"/>
      <c r="L52" s="13"/>
      <c r="M52" s="13"/>
      <c r="N52" s="12"/>
      <c r="O52" s="14"/>
      <c r="P52" s="12"/>
      <c r="Q52" s="12"/>
    </row>
    <row r="53" spans="1:17" ht="15" customHeight="1" x14ac:dyDescent="0.35">
      <c r="A53" s="12"/>
      <c r="B53" s="10" t="str">
        <f>IF(A53="","",IFERROR(IF(VLOOKUP(A53,Deal!$A:$K,8,0)="Win","✅ Win – Proceed","⚠ Stage: "&amp;VLOOKUP(A53,Deal!$A:$K,8,0)),"❌ Deal ID Not Found"))</f>
        <v/>
      </c>
      <c r="C53" t="str">
        <f>IF(A53="","",IFERROR(VLOOKUP(A53,Deal!$A:$K,2,0),""))</f>
        <v/>
      </c>
      <c r="D53" t="str">
        <f>IF(A53="","",IFERROR(VLOOKUP(A53,Deal!$A:$K,3,0),""))</f>
        <v/>
      </c>
      <c r="E53" t="str">
        <f>IF(A53="","",IFERROR(VLOOKUP(A53,Deal!$A:$K,4,0),""))</f>
        <v/>
      </c>
      <c r="F53" t="str">
        <f>IF(A53="","",IFERROR(VLOOKUP(A53,Enquiry!$A:$K,6,0),"— Enter manually"))</f>
        <v/>
      </c>
      <c r="G53" s="9" t="str">
        <f>IF(A53="","",IFERROR(VLOOKUP(A53,Deal!$A:$K,6,0),0))</f>
        <v/>
      </c>
      <c r="H53" t="str">
        <f>IF(A53="","",IFERROR(VLOOKUP(A53,Deal!$A:$K,9,0),""))</f>
        <v/>
      </c>
      <c r="I53" s="6" t="str">
        <f>IF(A53="","",IFERROR(VLOOKUP(A53,Deal!$A:$K,7,0),""))</f>
        <v/>
      </c>
      <c r="J53" s="12"/>
      <c r="K53" s="13"/>
      <c r="L53" s="13"/>
      <c r="M53" s="13"/>
      <c r="N53" s="12"/>
      <c r="O53" s="14"/>
      <c r="P53" s="12"/>
      <c r="Q53" s="12"/>
    </row>
    <row r="54" spans="1:17" ht="15" customHeight="1" x14ac:dyDescent="0.35">
      <c r="A54" s="12"/>
      <c r="B54" s="10" t="str">
        <f>IF(A54="","",IFERROR(IF(VLOOKUP(A54,Deal!$A:$K,8,0)="Win","✅ Win – Proceed","⚠ Stage: "&amp;VLOOKUP(A54,Deal!$A:$K,8,0)),"❌ Deal ID Not Found"))</f>
        <v/>
      </c>
      <c r="C54" t="str">
        <f>IF(A54="","",IFERROR(VLOOKUP(A54,Deal!$A:$K,2,0),""))</f>
        <v/>
      </c>
      <c r="D54" t="str">
        <f>IF(A54="","",IFERROR(VLOOKUP(A54,Deal!$A:$K,3,0),""))</f>
        <v/>
      </c>
      <c r="E54" t="str">
        <f>IF(A54="","",IFERROR(VLOOKUP(A54,Deal!$A:$K,4,0),""))</f>
        <v/>
      </c>
      <c r="F54" t="str">
        <f>IF(A54="","",IFERROR(VLOOKUP(A54,Enquiry!$A:$K,6,0),"— Enter manually"))</f>
        <v/>
      </c>
      <c r="G54" s="9" t="str">
        <f>IF(A54="","",IFERROR(VLOOKUP(A54,Deal!$A:$K,6,0),0))</f>
        <v/>
      </c>
      <c r="H54" t="str">
        <f>IF(A54="","",IFERROR(VLOOKUP(A54,Deal!$A:$K,9,0),""))</f>
        <v/>
      </c>
      <c r="I54" s="6" t="str">
        <f>IF(A54="","",IFERROR(VLOOKUP(A54,Deal!$A:$K,7,0),""))</f>
        <v/>
      </c>
      <c r="J54" s="12"/>
      <c r="K54" s="13"/>
      <c r="L54" s="13"/>
      <c r="M54" s="13"/>
      <c r="N54" s="12"/>
      <c r="O54" s="14"/>
      <c r="P54" s="12"/>
      <c r="Q54" s="12"/>
    </row>
    <row r="55" spans="1:17" ht="15" customHeight="1" x14ac:dyDescent="0.35">
      <c r="A55" s="12"/>
      <c r="B55" s="10" t="str">
        <f>IF(A55="","",IFERROR(IF(VLOOKUP(A55,Deal!$A:$K,8,0)="Win","✅ Win – Proceed","⚠ Stage: "&amp;VLOOKUP(A55,Deal!$A:$K,8,0)),"❌ Deal ID Not Found"))</f>
        <v/>
      </c>
      <c r="C55" t="str">
        <f>IF(A55="","",IFERROR(VLOOKUP(A55,Deal!$A:$K,2,0),""))</f>
        <v/>
      </c>
      <c r="D55" t="str">
        <f>IF(A55="","",IFERROR(VLOOKUP(A55,Deal!$A:$K,3,0),""))</f>
        <v/>
      </c>
      <c r="E55" t="str">
        <f>IF(A55="","",IFERROR(VLOOKUP(A55,Deal!$A:$K,4,0),""))</f>
        <v/>
      </c>
      <c r="F55" t="str">
        <f>IF(A55="","",IFERROR(VLOOKUP(A55,Enquiry!$A:$K,6,0),"— Enter manually"))</f>
        <v/>
      </c>
      <c r="G55" s="9" t="str">
        <f>IF(A55="","",IFERROR(VLOOKUP(A55,Deal!$A:$K,6,0),0))</f>
        <v/>
      </c>
      <c r="H55" t="str">
        <f>IF(A55="","",IFERROR(VLOOKUP(A55,Deal!$A:$K,9,0),""))</f>
        <v/>
      </c>
      <c r="I55" s="6" t="str">
        <f>IF(A55="","",IFERROR(VLOOKUP(A55,Deal!$A:$K,7,0),""))</f>
        <v/>
      </c>
      <c r="J55" s="12"/>
      <c r="K55" s="13"/>
      <c r="L55" s="13"/>
      <c r="M55" s="13"/>
      <c r="N55" s="12"/>
      <c r="O55" s="14"/>
      <c r="P55" s="12"/>
      <c r="Q55" s="12"/>
    </row>
    <row r="56" spans="1:17" ht="15" customHeight="1" x14ac:dyDescent="0.35">
      <c r="A56" s="12"/>
      <c r="B56" s="10" t="str">
        <f>IF(A56="","",IFERROR(IF(VLOOKUP(A56,Deal!$A:$K,8,0)="Win","✅ Win – Proceed","⚠ Stage: "&amp;VLOOKUP(A56,Deal!$A:$K,8,0)),"❌ Deal ID Not Found"))</f>
        <v/>
      </c>
      <c r="C56" t="str">
        <f>IF(A56="","",IFERROR(VLOOKUP(A56,Deal!$A:$K,2,0),""))</f>
        <v/>
      </c>
      <c r="D56" t="str">
        <f>IF(A56="","",IFERROR(VLOOKUP(A56,Deal!$A:$K,3,0),""))</f>
        <v/>
      </c>
      <c r="E56" t="str">
        <f>IF(A56="","",IFERROR(VLOOKUP(A56,Deal!$A:$K,4,0),""))</f>
        <v/>
      </c>
      <c r="F56" t="str">
        <f>IF(A56="","",IFERROR(VLOOKUP(A56,Enquiry!$A:$K,6,0),"— Enter manually"))</f>
        <v/>
      </c>
      <c r="G56" s="9" t="str">
        <f>IF(A56="","",IFERROR(VLOOKUP(A56,Deal!$A:$K,6,0),0))</f>
        <v/>
      </c>
      <c r="H56" t="str">
        <f>IF(A56="","",IFERROR(VLOOKUP(A56,Deal!$A:$K,9,0),""))</f>
        <v/>
      </c>
      <c r="I56" s="6" t="str">
        <f>IF(A56="","",IFERROR(VLOOKUP(A56,Deal!$A:$K,7,0),""))</f>
        <v/>
      </c>
      <c r="J56" s="12"/>
      <c r="K56" s="13"/>
      <c r="L56" s="13"/>
      <c r="M56" s="13"/>
      <c r="N56" s="12"/>
      <c r="O56" s="14"/>
      <c r="P56" s="12"/>
      <c r="Q56" s="12"/>
    </row>
    <row r="57" spans="1:17" ht="15" customHeight="1" x14ac:dyDescent="0.35">
      <c r="A57" s="12"/>
      <c r="B57" s="10" t="str">
        <f>IF(A57="","",IFERROR(IF(VLOOKUP(A57,Deal!$A:$K,8,0)="Win","✅ Win – Proceed","⚠ Stage: "&amp;VLOOKUP(A57,Deal!$A:$K,8,0)),"❌ Deal ID Not Found"))</f>
        <v/>
      </c>
      <c r="C57" t="str">
        <f>IF(A57="","",IFERROR(VLOOKUP(A57,Deal!$A:$K,2,0),""))</f>
        <v/>
      </c>
      <c r="D57" t="str">
        <f>IF(A57="","",IFERROR(VLOOKUP(A57,Deal!$A:$K,3,0),""))</f>
        <v/>
      </c>
      <c r="E57" t="str">
        <f>IF(A57="","",IFERROR(VLOOKUP(A57,Deal!$A:$K,4,0),""))</f>
        <v/>
      </c>
      <c r="F57" t="str">
        <f>IF(A57="","",IFERROR(VLOOKUP(A57,Enquiry!$A:$K,6,0),"— Enter manually"))</f>
        <v/>
      </c>
      <c r="G57" s="9" t="str">
        <f>IF(A57="","",IFERROR(VLOOKUP(A57,Deal!$A:$K,6,0),0))</f>
        <v/>
      </c>
      <c r="H57" t="str">
        <f>IF(A57="","",IFERROR(VLOOKUP(A57,Deal!$A:$K,9,0),""))</f>
        <v/>
      </c>
      <c r="I57" s="6" t="str">
        <f>IF(A57="","",IFERROR(VLOOKUP(A57,Deal!$A:$K,7,0),""))</f>
        <v/>
      </c>
      <c r="J57" s="12"/>
      <c r="K57" s="13"/>
      <c r="L57" s="13"/>
      <c r="M57" s="13"/>
      <c r="N57" s="12"/>
      <c r="O57" s="14"/>
      <c r="P57" s="12"/>
      <c r="Q57" s="12"/>
    </row>
    <row r="58" spans="1:17" ht="15" customHeight="1" x14ac:dyDescent="0.35">
      <c r="A58" s="12"/>
      <c r="B58" s="10" t="str">
        <f>IF(A58="","",IFERROR(IF(VLOOKUP(A58,Deal!$A:$K,8,0)="Win","✅ Win – Proceed","⚠ Stage: "&amp;VLOOKUP(A58,Deal!$A:$K,8,0)),"❌ Deal ID Not Found"))</f>
        <v/>
      </c>
      <c r="C58" t="str">
        <f>IF(A58="","",IFERROR(VLOOKUP(A58,Deal!$A:$K,2,0),""))</f>
        <v/>
      </c>
      <c r="D58" t="str">
        <f>IF(A58="","",IFERROR(VLOOKUP(A58,Deal!$A:$K,3,0),""))</f>
        <v/>
      </c>
      <c r="E58" t="str">
        <f>IF(A58="","",IFERROR(VLOOKUP(A58,Deal!$A:$K,4,0),""))</f>
        <v/>
      </c>
      <c r="F58" t="str">
        <f>IF(A58="","",IFERROR(VLOOKUP(A58,Enquiry!$A:$K,6,0),"— Enter manually"))</f>
        <v/>
      </c>
      <c r="G58" s="9" t="str">
        <f>IF(A58="","",IFERROR(VLOOKUP(A58,Deal!$A:$K,6,0),0))</f>
        <v/>
      </c>
      <c r="H58" t="str">
        <f>IF(A58="","",IFERROR(VLOOKUP(A58,Deal!$A:$K,9,0),""))</f>
        <v/>
      </c>
      <c r="I58" s="6" t="str">
        <f>IF(A58="","",IFERROR(VLOOKUP(A58,Deal!$A:$K,7,0),""))</f>
        <v/>
      </c>
      <c r="J58" s="12"/>
      <c r="K58" s="13"/>
      <c r="L58" s="13"/>
      <c r="M58" s="13"/>
      <c r="N58" s="12"/>
      <c r="O58" s="14"/>
      <c r="P58" s="12"/>
      <c r="Q58" s="12"/>
    </row>
    <row r="59" spans="1:17" ht="15" customHeight="1" x14ac:dyDescent="0.35">
      <c r="A59" s="12"/>
      <c r="B59" s="10" t="str">
        <f>IF(A59="","",IFERROR(IF(VLOOKUP(A59,Deal!$A:$K,8,0)="Win","✅ Win – Proceed","⚠ Stage: "&amp;VLOOKUP(A59,Deal!$A:$K,8,0)),"❌ Deal ID Not Found"))</f>
        <v/>
      </c>
      <c r="C59" t="str">
        <f>IF(A59="","",IFERROR(VLOOKUP(A59,Deal!$A:$K,2,0),""))</f>
        <v/>
      </c>
      <c r="D59" t="str">
        <f>IF(A59="","",IFERROR(VLOOKUP(A59,Deal!$A:$K,3,0),""))</f>
        <v/>
      </c>
      <c r="E59" t="str">
        <f>IF(A59="","",IFERROR(VLOOKUP(A59,Deal!$A:$K,4,0),""))</f>
        <v/>
      </c>
      <c r="F59" t="str">
        <f>IF(A59="","",IFERROR(VLOOKUP(A59,Enquiry!$A:$K,6,0),"— Enter manually"))</f>
        <v/>
      </c>
      <c r="G59" s="9" t="str">
        <f>IF(A59="","",IFERROR(VLOOKUP(A59,Deal!$A:$K,6,0),0))</f>
        <v/>
      </c>
      <c r="H59" t="str">
        <f>IF(A59="","",IFERROR(VLOOKUP(A59,Deal!$A:$K,9,0),""))</f>
        <v/>
      </c>
      <c r="I59" s="6" t="str">
        <f>IF(A59="","",IFERROR(VLOOKUP(A59,Deal!$A:$K,7,0),""))</f>
        <v/>
      </c>
      <c r="J59" s="12"/>
      <c r="K59" s="13"/>
      <c r="L59" s="13"/>
      <c r="M59" s="13"/>
      <c r="N59" s="12"/>
      <c r="O59" s="14"/>
      <c r="P59" s="12"/>
      <c r="Q59" s="12"/>
    </row>
    <row r="60" spans="1:17" ht="15" customHeight="1" x14ac:dyDescent="0.35">
      <c r="A60" s="12"/>
      <c r="B60" s="10" t="str">
        <f>IF(A60="","",IFERROR(IF(VLOOKUP(A60,Deal!$A:$K,8,0)="Win","✅ Win – Proceed","⚠ Stage: "&amp;VLOOKUP(A60,Deal!$A:$K,8,0)),"❌ Deal ID Not Found"))</f>
        <v/>
      </c>
      <c r="C60" t="str">
        <f>IF(A60="","",IFERROR(VLOOKUP(A60,Deal!$A:$K,2,0),""))</f>
        <v/>
      </c>
      <c r="D60" t="str">
        <f>IF(A60="","",IFERROR(VLOOKUP(A60,Deal!$A:$K,3,0),""))</f>
        <v/>
      </c>
      <c r="E60" t="str">
        <f>IF(A60="","",IFERROR(VLOOKUP(A60,Deal!$A:$K,4,0),""))</f>
        <v/>
      </c>
      <c r="F60" t="str">
        <f>IF(A60="","",IFERROR(VLOOKUP(A60,Enquiry!$A:$K,6,0),"— Enter manually"))</f>
        <v/>
      </c>
      <c r="G60" s="9" t="str">
        <f>IF(A60="","",IFERROR(VLOOKUP(A60,Deal!$A:$K,6,0),0))</f>
        <v/>
      </c>
      <c r="H60" t="str">
        <f>IF(A60="","",IFERROR(VLOOKUP(A60,Deal!$A:$K,9,0),""))</f>
        <v/>
      </c>
      <c r="I60" s="6" t="str">
        <f>IF(A60="","",IFERROR(VLOOKUP(A60,Deal!$A:$K,7,0),""))</f>
        <v/>
      </c>
      <c r="J60" s="12"/>
      <c r="K60" s="13"/>
      <c r="L60" s="13"/>
      <c r="M60" s="13"/>
      <c r="N60" s="12"/>
      <c r="O60" s="14"/>
      <c r="P60" s="12"/>
      <c r="Q60" s="12"/>
    </row>
    <row r="61" spans="1:17" ht="15" customHeight="1" x14ac:dyDescent="0.35">
      <c r="A61" s="12"/>
      <c r="B61" s="10" t="str">
        <f>IF(A61="","",IFERROR(IF(VLOOKUP(A61,Deal!$A:$K,8,0)="Win","✅ Win – Proceed","⚠ Stage: "&amp;VLOOKUP(A61,Deal!$A:$K,8,0)),"❌ Deal ID Not Found"))</f>
        <v/>
      </c>
      <c r="C61" t="str">
        <f>IF(A61="","",IFERROR(VLOOKUP(A61,Deal!$A:$K,2,0),""))</f>
        <v/>
      </c>
      <c r="D61" t="str">
        <f>IF(A61="","",IFERROR(VLOOKUP(A61,Deal!$A:$K,3,0),""))</f>
        <v/>
      </c>
      <c r="E61" t="str">
        <f>IF(A61="","",IFERROR(VLOOKUP(A61,Deal!$A:$K,4,0),""))</f>
        <v/>
      </c>
      <c r="F61" t="str">
        <f>IF(A61="","",IFERROR(VLOOKUP(A61,Enquiry!$A:$K,6,0),"— Enter manually"))</f>
        <v/>
      </c>
      <c r="G61" s="9" t="str">
        <f>IF(A61="","",IFERROR(VLOOKUP(A61,Deal!$A:$K,6,0),0))</f>
        <v/>
      </c>
      <c r="H61" t="str">
        <f>IF(A61="","",IFERROR(VLOOKUP(A61,Deal!$A:$K,9,0),""))</f>
        <v/>
      </c>
      <c r="I61" s="6" t="str">
        <f>IF(A61="","",IFERROR(VLOOKUP(A61,Deal!$A:$K,7,0),""))</f>
        <v/>
      </c>
      <c r="J61" s="12"/>
      <c r="K61" s="13"/>
      <c r="L61" s="13"/>
      <c r="M61" s="13"/>
      <c r="N61" s="12"/>
      <c r="O61" s="14"/>
      <c r="P61" s="12"/>
      <c r="Q61" s="12"/>
    </row>
    <row r="62" spans="1:17" ht="15" customHeight="1" x14ac:dyDescent="0.35">
      <c r="A62" s="12"/>
      <c r="B62" s="10" t="str">
        <f>IF(A62="","",IFERROR(IF(VLOOKUP(A62,Deal!$A:$K,8,0)="Win","✅ Win – Proceed","⚠ Stage: "&amp;VLOOKUP(A62,Deal!$A:$K,8,0)),"❌ Deal ID Not Found"))</f>
        <v/>
      </c>
      <c r="C62" t="str">
        <f>IF(A62="","",IFERROR(VLOOKUP(A62,Deal!$A:$K,2,0),""))</f>
        <v/>
      </c>
      <c r="D62" t="str">
        <f>IF(A62="","",IFERROR(VLOOKUP(A62,Deal!$A:$K,3,0),""))</f>
        <v/>
      </c>
      <c r="E62" t="str">
        <f>IF(A62="","",IFERROR(VLOOKUP(A62,Deal!$A:$K,4,0),""))</f>
        <v/>
      </c>
      <c r="F62" t="str">
        <f>IF(A62="","",IFERROR(VLOOKUP(A62,Enquiry!$A:$K,6,0),"— Enter manually"))</f>
        <v/>
      </c>
      <c r="G62" s="9" t="str">
        <f>IF(A62="","",IFERROR(VLOOKUP(A62,Deal!$A:$K,6,0),0))</f>
        <v/>
      </c>
      <c r="H62" t="str">
        <f>IF(A62="","",IFERROR(VLOOKUP(A62,Deal!$A:$K,9,0),""))</f>
        <v/>
      </c>
      <c r="I62" s="6" t="str">
        <f>IF(A62="","",IFERROR(VLOOKUP(A62,Deal!$A:$K,7,0),""))</f>
        <v/>
      </c>
      <c r="J62" s="12"/>
      <c r="K62" s="13"/>
      <c r="L62" s="13"/>
      <c r="M62" s="13"/>
      <c r="N62" s="12"/>
      <c r="O62" s="14"/>
      <c r="P62" s="12"/>
      <c r="Q62" s="12"/>
    </row>
    <row r="63" spans="1:17" ht="15" customHeight="1" x14ac:dyDescent="0.35">
      <c r="A63" s="12"/>
      <c r="B63" s="10" t="str">
        <f>IF(A63="","",IFERROR(IF(VLOOKUP(A63,Deal!$A:$K,8,0)="Win","✅ Win – Proceed","⚠ Stage: "&amp;VLOOKUP(A63,Deal!$A:$K,8,0)),"❌ Deal ID Not Found"))</f>
        <v/>
      </c>
      <c r="C63" t="str">
        <f>IF(A63="","",IFERROR(VLOOKUP(A63,Deal!$A:$K,2,0),""))</f>
        <v/>
      </c>
      <c r="D63" t="str">
        <f>IF(A63="","",IFERROR(VLOOKUP(A63,Deal!$A:$K,3,0),""))</f>
        <v/>
      </c>
      <c r="E63" t="str">
        <f>IF(A63="","",IFERROR(VLOOKUP(A63,Deal!$A:$K,4,0),""))</f>
        <v/>
      </c>
      <c r="F63" t="str">
        <f>IF(A63="","",IFERROR(VLOOKUP(A63,Enquiry!$A:$K,6,0),"— Enter manually"))</f>
        <v/>
      </c>
      <c r="G63" s="9" t="str">
        <f>IF(A63="","",IFERROR(VLOOKUP(A63,Deal!$A:$K,6,0),0))</f>
        <v/>
      </c>
      <c r="H63" t="str">
        <f>IF(A63="","",IFERROR(VLOOKUP(A63,Deal!$A:$K,9,0),""))</f>
        <v/>
      </c>
      <c r="I63" s="6" t="str">
        <f>IF(A63="","",IFERROR(VLOOKUP(A63,Deal!$A:$K,7,0),""))</f>
        <v/>
      </c>
      <c r="J63" s="12"/>
      <c r="K63" s="13"/>
      <c r="L63" s="13"/>
      <c r="M63" s="13"/>
      <c r="N63" s="12"/>
      <c r="O63" s="14"/>
      <c r="P63" s="12"/>
      <c r="Q63" s="12"/>
    </row>
    <row r="64" spans="1:17" ht="15" customHeight="1" x14ac:dyDescent="0.35">
      <c r="A64" s="12"/>
      <c r="B64" s="10" t="str">
        <f>IF(A64="","",IFERROR(IF(VLOOKUP(A64,Deal!$A:$K,8,0)="Win","✅ Win – Proceed","⚠ Stage: "&amp;VLOOKUP(A64,Deal!$A:$K,8,0)),"❌ Deal ID Not Found"))</f>
        <v/>
      </c>
      <c r="C64" t="str">
        <f>IF(A64="","",IFERROR(VLOOKUP(A64,Deal!$A:$K,2,0),""))</f>
        <v/>
      </c>
      <c r="D64" t="str">
        <f>IF(A64="","",IFERROR(VLOOKUP(A64,Deal!$A:$K,3,0),""))</f>
        <v/>
      </c>
      <c r="E64" t="str">
        <f>IF(A64="","",IFERROR(VLOOKUP(A64,Deal!$A:$K,4,0),""))</f>
        <v/>
      </c>
      <c r="F64" t="str">
        <f>IF(A64="","",IFERROR(VLOOKUP(A64,Enquiry!$A:$K,6,0),"— Enter manually"))</f>
        <v/>
      </c>
      <c r="G64" s="9" t="str">
        <f>IF(A64="","",IFERROR(VLOOKUP(A64,Deal!$A:$K,6,0),0))</f>
        <v/>
      </c>
      <c r="H64" t="str">
        <f>IF(A64="","",IFERROR(VLOOKUP(A64,Deal!$A:$K,9,0),""))</f>
        <v/>
      </c>
      <c r="I64" s="6" t="str">
        <f>IF(A64="","",IFERROR(VLOOKUP(A64,Deal!$A:$K,7,0),""))</f>
        <v/>
      </c>
      <c r="J64" s="12"/>
      <c r="K64" s="13"/>
      <c r="L64" s="13"/>
      <c r="M64" s="13"/>
      <c r="N64" s="12"/>
      <c r="O64" s="14"/>
      <c r="P64" s="12"/>
      <c r="Q64" s="12"/>
    </row>
    <row r="65" spans="1:17" ht="15" customHeight="1" x14ac:dyDescent="0.35">
      <c r="A65" s="12"/>
      <c r="B65" s="10" t="str">
        <f>IF(A65="","",IFERROR(IF(VLOOKUP(A65,Deal!$A:$K,8,0)="Win","✅ Win – Proceed","⚠ Stage: "&amp;VLOOKUP(A65,Deal!$A:$K,8,0)),"❌ Deal ID Not Found"))</f>
        <v/>
      </c>
      <c r="C65" t="str">
        <f>IF(A65="","",IFERROR(VLOOKUP(A65,Deal!$A:$K,2,0),""))</f>
        <v/>
      </c>
      <c r="D65" t="str">
        <f>IF(A65="","",IFERROR(VLOOKUP(A65,Deal!$A:$K,3,0),""))</f>
        <v/>
      </c>
      <c r="E65" t="str">
        <f>IF(A65="","",IFERROR(VLOOKUP(A65,Deal!$A:$K,4,0),""))</f>
        <v/>
      </c>
      <c r="F65" t="str">
        <f>IF(A65="","",IFERROR(VLOOKUP(A65,Enquiry!$A:$K,6,0),"— Enter manually"))</f>
        <v/>
      </c>
      <c r="G65" s="9" t="str">
        <f>IF(A65="","",IFERROR(VLOOKUP(A65,Deal!$A:$K,6,0),0))</f>
        <v/>
      </c>
      <c r="H65" t="str">
        <f>IF(A65="","",IFERROR(VLOOKUP(A65,Deal!$A:$K,9,0),""))</f>
        <v/>
      </c>
      <c r="I65" s="6" t="str">
        <f>IF(A65="","",IFERROR(VLOOKUP(A65,Deal!$A:$K,7,0),""))</f>
        <v/>
      </c>
      <c r="J65" s="12"/>
      <c r="K65" s="13"/>
      <c r="L65" s="13"/>
      <c r="M65" s="13"/>
      <c r="N65" s="12"/>
      <c r="O65" s="14"/>
      <c r="P65" s="12"/>
      <c r="Q65" s="12"/>
    </row>
    <row r="66" spans="1:17" ht="15" customHeight="1" x14ac:dyDescent="0.35">
      <c r="A66" s="12"/>
      <c r="B66" s="10" t="str">
        <f>IF(A66="","",IFERROR(IF(VLOOKUP(A66,Deal!$A:$K,8,0)="Win","✅ Win – Proceed","⚠ Stage: "&amp;VLOOKUP(A66,Deal!$A:$K,8,0)),"❌ Deal ID Not Found"))</f>
        <v/>
      </c>
      <c r="C66" t="str">
        <f>IF(A66="","",IFERROR(VLOOKUP(A66,Deal!$A:$K,2,0),""))</f>
        <v/>
      </c>
      <c r="D66" t="str">
        <f>IF(A66="","",IFERROR(VLOOKUP(A66,Deal!$A:$K,3,0),""))</f>
        <v/>
      </c>
      <c r="E66" t="str">
        <f>IF(A66="","",IFERROR(VLOOKUP(A66,Deal!$A:$K,4,0),""))</f>
        <v/>
      </c>
      <c r="F66" t="str">
        <f>IF(A66="","",IFERROR(VLOOKUP(A66,Enquiry!$A:$K,6,0),"— Enter manually"))</f>
        <v/>
      </c>
      <c r="G66" s="9" t="str">
        <f>IF(A66="","",IFERROR(VLOOKUP(A66,Deal!$A:$K,6,0),0))</f>
        <v/>
      </c>
      <c r="H66" t="str">
        <f>IF(A66="","",IFERROR(VLOOKUP(A66,Deal!$A:$K,9,0),""))</f>
        <v/>
      </c>
      <c r="I66" s="6" t="str">
        <f>IF(A66="","",IFERROR(VLOOKUP(A66,Deal!$A:$K,7,0),""))</f>
        <v/>
      </c>
      <c r="J66" s="12"/>
      <c r="K66" s="13"/>
      <c r="L66" s="13"/>
      <c r="M66" s="13"/>
      <c r="N66" s="12"/>
      <c r="O66" s="14"/>
      <c r="P66" s="12"/>
      <c r="Q66" s="12"/>
    </row>
    <row r="67" spans="1:17" ht="15" customHeight="1" x14ac:dyDescent="0.35">
      <c r="A67" s="12"/>
      <c r="B67" s="10" t="str">
        <f>IF(A67="","",IFERROR(IF(VLOOKUP(A67,Deal!$A:$K,8,0)="Win","✅ Win – Proceed","⚠ Stage: "&amp;VLOOKUP(A67,Deal!$A:$K,8,0)),"❌ Deal ID Not Found"))</f>
        <v/>
      </c>
      <c r="C67" t="str">
        <f>IF(A67="","",IFERROR(VLOOKUP(A67,Deal!$A:$K,2,0),""))</f>
        <v/>
      </c>
      <c r="D67" t="str">
        <f>IF(A67="","",IFERROR(VLOOKUP(A67,Deal!$A:$K,3,0),""))</f>
        <v/>
      </c>
      <c r="E67" t="str">
        <f>IF(A67="","",IFERROR(VLOOKUP(A67,Deal!$A:$K,4,0),""))</f>
        <v/>
      </c>
      <c r="F67" t="str">
        <f>IF(A67="","",IFERROR(VLOOKUP(A67,Enquiry!$A:$K,6,0),"— Enter manually"))</f>
        <v/>
      </c>
      <c r="G67" s="9" t="str">
        <f>IF(A67="","",IFERROR(VLOOKUP(A67,Deal!$A:$K,6,0),0))</f>
        <v/>
      </c>
      <c r="H67" t="str">
        <f>IF(A67="","",IFERROR(VLOOKUP(A67,Deal!$A:$K,9,0),""))</f>
        <v/>
      </c>
      <c r="I67" s="6" t="str">
        <f>IF(A67="","",IFERROR(VLOOKUP(A67,Deal!$A:$K,7,0),""))</f>
        <v/>
      </c>
      <c r="J67" s="12"/>
      <c r="K67" s="13"/>
      <c r="L67" s="13"/>
      <c r="M67" s="13"/>
      <c r="N67" s="12"/>
      <c r="O67" s="14"/>
      <c r="P67" s="12"/>
      <c r="Q67" s="12"/>
    </row>
    <row r="68" spans="1:17" ht="15" customHeight="1" x14ac:dyDescent="0.35">
      <c r="A68" s="12"/>
      <c r="B68" s="10" t="str">
        <f>IF(A68="","",IFERROR(IF(VLOOKUP(A68,Deal!$A:$K,8,0)="Win","✅ Win – Proceed","⚠ Stage: "&amp;VLOOKUP(A68,Deal!$A:$K,8,0)),"❌ Deal ID Not Found"))</f>
        <v/>
      </c>
      <c r="C68" t="str">
        <f>IF(A68="","",IFERROR(VLOOKUP(A68,Deal!$A:$K,2,0),""))</f>
        <v/>
      </c>
      <c r="D68" t="str">
        <f>IF(A68="","",IFERROR(VLOOKUP(A68,Deal!$A:$K,3,0),""))</f>
        <v/>
      </c>
      <c r="E68" t="str">
        <f>IF(A68="","",IFERROR(VLOOKUP(A68,Deal!$A:$K,4,0),""))</f>
        <v/>
      </c>
      <c r="F68" t="str">
        <f>IF(A68="","",IFERROR(VLOOKUP(A68,Enquiry!$A:$K,6,0),"— Enter manually"))</f>
        <v/>
      </c>
      <c r="G68" s="9" t="str">
        <f>IF(A68="","",IFERROR(VLOOKUP(A68,Deal!$A:$K,6,0),0))</f>
        <v/>
      </c>
      <c r="H68" t="str">
        <f>IF(A68="","",IFERROR(VLOOKUP(A68,Deal!$A:$K,9,0),""))</f>
        <v/>
      </c>
      <c r="I68" s="6" t="str">
        <f>IF(A68="","",IFERROR(VLOOKUP(A68,Deal!$A:$K,7,0),""))</f>
        <v/>
      </c>
      <c r="J68" s="12"/>
      <c r="K68" s="13"/>
      <c r="L68" s="13"/>
      <c r="M68" s="13"/>
      <c r="N68" s="12"/>
      <c r="O68" s="14"/>
      <c r="P68" s="12"/>
      <c r="Q68" s="12"/>
    </row>
    <row r="69" spans="1:17" ht="15" customHeight="1" x14ac:dyDescent="0.35">
      <c r="A69" s="12"/>
      <c r="B69" s="10" t="str">
        <f>IF(A69="","",IFERROR(IF(VLOOKUP(A69,Deal!$A:$K,8,0)="Win","✅ Win – Proceed","⚠ Stage: "&amp;VLOOKUP(A69,Deal!$A:$K,8,0)),"❌ Deal ID Not Found"))</f>
        <v/>
      </c>
      <c r="C69" t="str">
        <f>IF(A69="","",IFERROR(VLOOKUP(A69,Deal!$A:$K,2,0),""))</f>
        <v/>
      </c>
      <c r="D69" t="str">
        <f>IF(A69="","",IFERROR(VLOOKUP(A69,Deal!$A:$K,3,0),""))</f>
        <v/>
      </c>
      <c r="E69" t="str">
        <f>IF(A69="","",IFERROR(VLOOKUP(A69,Deal!$A:$K,4,0),""))</f>
        <v/>
      </c>
      <c r="F69" t="str">
        <f>IF(A69="","",IFERROR(VLOOKUP(A69,Enquiry!$A:$K,6,0),"— Enter manually"))</f>
        <v/>
      </c>
      <c r="G69" s="9" t="str">
        <f>IF(A69="","",IFERROR(VLOOKUP(A69,Deal!$A:$K,6,0),0))</f>
        <v/>
      </c>
      <c r="H69" t="str">
        <f>IF(A69="","",IFERROR(VLOOKUP(A69,Deal!$A:$K,9,0),""))</f>
        <v/>
      </c>
      <c r="I69" s="6" t="str">
        <f>IF(A69="","",IFERROR(VLOOKUP(A69,Deal!$A:$K,7,0),""))</f>
        <v/>
      </c>
      <c r="J69" s="12"/>
      <c r="K69" s="13"/>
      <c r="L69" s="13"/>
      <c r="M69" s="13"/>
      <c r="N69" s="12"/>
      <c r="O69" s="14"/>
      <c r="P69" s="12"/>
      <c r="Q69" s="12"/>
    </row>
    <row r="70" spans="1:17" ht="15" customHeight="1" x14ac:dyDescent="0.35">
      <c r="A70" s="12"/>
      <c r="B70" s="10" t="str">
        <f>IF(A70="","",IFERROR(IF(VLOOKUP(A70,Deal!$A:$K,8,0)="Win","✅ Win – Proceed","⚠ Stage: "&amp;VLOOKUP(A70,Deal!$A:$K,8,0)),"❌ Deal ID Not Found"))</f>
        <v/>
      </c>
      <c r="C70" t="str">
        <f>IF(A70="","",IFERROR(VLOOKUP(A70,Deal!$A:$K,2,0),""))</f>
        <v/>
      </c>
      <c r="D70" t="str">
        <f>IF(A70="","",IFERROR(VLOOKUP(A70,Deal!$A:$K,3,0),""))</f>
        <v/>
      </c>
      <c r="E70" t="str">
        <f>IF(A70="","",IFERROR(VLOOKUP(A70,Deal!$A:$K,4,0),""))</f>
        <v/>
      </c>
      <c r="F70" t="str">
        <f>IF(A70="","",IFERROR(VLOOKUP(A70,Enquiry!$A:$K,6,0),"— Enter manually"))</f>
        <v/>
      </c>
      <c r="G70" s="9" t="str">
        <f>IF(A70="","",IFERROR(VLOOKUP(A70,Deal!$A:$K,6,0),0))</f>
        <v/>
      </c>
      <c r="H70" t="str">
        <f>IF(A70="","",IFERROR(VLOOKUP(A70,Deal!$A:$K,9,0),""))</f>
        <v/>
      </c>
      <c r="I70" s="6" t="str">
        <f>IF(A70="","",IFERROR(VLOOKUP(A70,Deal!$A:$K,7,0),""))</f>
        <v/>
      </c>
      <c r="J70" s="12"/>
      <c r="K70" s="13"/>
      <c r="L70" s="13"/>
      <c r="M70" s="13"/>
      <c r="N70" s="12"/>
      <c r="O70" s="14"/>
      <c r="P70" s="12"/>
      <c r="Q70" s="12"/>
    </row>
    <row r="71" spans="1:17" ht="15" customHeight="1" x14ac:dyDescent="0.35">
      <c r="A71" s="12"/>
      <c r="B71" s="10" t="str">
        <f>IF(A71="","",IFERROR(IF(VLOOKUP(A71,Deal!$A:$K,8,0)="Win","✅ Win – Proceed","⚠ Stage: "&amp;VLOOKUP(A71,Deal!$A:$K,8,0)),"❌ Deal ID Not Found"))</f>
        <v/>
      </c>
      <c r="C71" t="str">
        <f>IF(A71="","",IFERROR(VLOOKUP(A71,Deal!$A:$K,2,0),""))</f>
        <v/>
      </c>
      <c r="D71" t="str">
        <f>IF(A71="","",IFERROR(VLOOKUP(A71,Deal!$A:$K,3,0),""))</f>
        <v/>
      </c>
      <c r="E71" t="str">
        <f>IF(A71="","",IFERROR(VLOOKUP(A71,Deal!$A:$K,4,0),""))</f>
        <v/>
      </c>
      <c r="F71" t="str">
        <f>IF(A71="","",IFERROR(VLOOKUP(A71,Enquiry!$A:$K,6,0),"— Enter manually"))</f>
        <v/>
      </c>
      <c r="G71" s="9" t="str">
        <f>IF(A71="","",IFERROR(VLOOKUP(A71,Deal!$A:$K,6,0),0))</f>
        <v/>
      </c>
      <c r="H71" t="str">
        <f>IF(A71="","",IFERROR(VLOOKUP(A71,Deal!$A:$K,9,0),""))</f>
        <v/>
      </c>
      <c r="I71" s="6" t="str">
        <f>IF(A71="","",IFERROR(VLOOKUP(A71,Deal!$A:$K,7,0),""))</f>
        <v/>
      </c>
      <c r="J71" s="12"/>
      <c r="K71" s="13"/>
      <c r="L71" s="13"/>
      <c r="M71" s="13"/>
      <c r="N71" s="12"/>
      <c r="O71" s="14"/>
      <c r="P71" s="12"/>
      <c r="Q71" s="12"/>
    </row>
    <row r="72" spans="1:17" ht="15" customHeight="1" x14ac:dyDescent="0.35">
      <c r="A72" s="12"/>
      <c r="B72" s="10" t="str">
        <f>IF(A72="","",IFERROR(IF(VLOOKUP(A72,Deal!$A:$K,8,0)="Win","✅ Win – Proceed","⚠ Stage: "&amp;VLOOKUP(A72,Deal!$A:$K,8,0)),"❌ Deal ID Not Found"))</f>
        <v/>
      </c>
      <c r="C72" t="str">
        <f>IF(A72="","",IFERROR(VLOOKUP(A72,Deal!$A:$K,2,0),""))</f>
        <v/>
      </c>
      <c r="D72" t="str">
        <f>IF(A72="","",IFERROR(VLOOKUP(A72,Deal!$A:$K,3,0),""))</f>
        <v/>
      </c>
      <c r="E72" t="str">
        <f>IF(A72="","",IFERROR(VLOOKUP(A72,Deal!$A:$K,4,0),""))</f>
        <v/>
      </c>
      <c r="F72" t="str">
        <f>IF(A72="","",IFERROR(VLOOKUP(A72,Enquiry!$A:$K,6,0),"— Enter manually"))</f>
        <v/>
      </c>
      <c r="G72" s="9" t="str">
        <f>IF(A72="","",IFERROR(VLOOKUP(A72,Deal!$A:$K,6,0),0))</f>
        <v/>
      </c>
      <c r="H72" t="str">
        <f>IF(A72="","",IFERROR(VLOOKUP(A72,Deal!$A:$K,9,0),""))</f>
        <v/>
      </c>
      <c r="I72" s="6" t="str">
        <f>IF(A72="","",IFERROR(VLOOKUP(A72,Deal!$A:$K,7,0),""))</f>
        <v/>
      </c>
      <c r="J72" s="12"/>
      <c r="K72" s="13"/>
      <c r="L72" s="13"/>
      <c r="M72" s="13"/>
      <c r="N72" s="12"/>
      <c r="O72" s="14"/>
      <c r="P72" s="12"/>
      <c r="Q72" s="12"/>
    </row>
    <row r="73" spans="1:17" ht="15" customHeight="1" x14ac:dyDescent="0.35">
      <c r="A73" s="12"/>
      <c r="B73" s="10" t="str">
        <f>IF(A73="","",IFERROR(IF(VLOOKUP(A73,Deal!$A:$K,8,0)="Win","✅ Win – Proceed","⚠ Stage: "&amp;VLOOKUP(A73,Deal!$A:$K,8,0)),"❌ Deal ID Not Found"))</f>
        <v/>
      </c>
      <c r="C73" t="str">
        <f>IF(A73="","",IFERROR(VLOOKUP(A73,Deal!$A:$K,2,0),""))</f>
        <v/>
      </c>
      <c r="D73" t="str">
        <f>IF(A73="","",IFERROR(VLOOKUP(A73,Deal!$A:$K,3,0),""))</f>
        <v/>
      </c>
      <c r="E73" t="str">
        <f>IF(A73="","",IFERROR(VLOOKUP(A73,Deal!$A:$K,4,0),""))</f>
        <v/>
      </c>
      <c r="F73" t="str">
        <f>IF(A73="","",IFERROR(VLOOKUP(A73,Enquiry!$A:$K,6,0),"— Enter manually"))</f>
        <v/>
      </c>
      <c r="G73" s="9" t="str">
        <f>IF(A73="","",IFERROR(VLOOKUP(A73,Deal!$A:$K,6,0),0))</f>
        <v/>
      </c>
      <c r="H73" t="str">
        <f>IF(A73="","",IFERROR(VLOOKUP(A73,Deal!$A:$K,9,0),""))</f>
        <v/>
      </c>
      <c r="I73" s="6" t="str">
        <f>IF(A73="","",IFERROR(VLOOKUP(A73,Deal!$A:$K,7,0),""))</f>
        <v/>
      </c>
      <c r="J73" s="12"/>
      <c r="K73" s="13"/>
      <c r="L73" s="13"/>
      <c r="M73" s="13"/>
      <c r="N73" s="12"/>
      <c r="O73" s="14"/>
      <c r="P73" s="12"/>
      <c r="Q73" s="12"/>
    </row>
    <row r="74" spans="1:17" ht="15" customHeight="1" x14ac:dyDescent="0.35">
      <c r="A74" s="12"/>
      <c r="B74" s="10" t="str">
        <f>IF(A74="","",IFERROR(IF(VLOOKUP(A74,Deal!$A:$K,8,0)="Win","✅ Win – Proceed","⚠ Stage: "&amp;VLOOKUP(A74,Deal!$A:$K,8,0)),"❌ Deal ID Not Found"))</f>
        <v/>
      </c>
      <c r="C74" t="str">
        <f>IF(A74="","",IFERROR(VLOOKUP(A74,Deal!$A:$K,2,0),""))</f>
        <v/>
      </c>
      <c r="D74" t="str">
        <f>IF(A74="","",IFERROR(VLOOKUP(A74,Deal!$A:$K,3,0),""))</f>
        <v/>
      </c>
      <c r="E74" t="str">
        <f>IF(A74="","",IFERROR(VLOOKUP(A74,Deal!$A:$K,4,0),""))</f>
        <v/>
      </c>
      <c r="F74" t="str">
        <f>IF(A74="","",IFERROR(VLOOKUP(A74,Enquiry!$A:$K,6,0),"— Enter manually"))</f>
        <v/>
      </c>
      <c r="G74" s="9" t="str">
        <f>IF(A74="","",IFERROR(VLOOKUP(A74,Deal!$A:$K,6,0),0))</f>
        <v/>
      </c>
      <c r="H74" t="str">
        <f>IF(A74="","",IFERROR(VLOOKUP(A74,Deal!$A:$K,9,0),""))</f>
        <v/>
      </c>
      <c r="I74" s="6" t="str">
        <f>IF(A74="","",IFERROR(VLOOKUP(A74,Deal!$A:$K,7,0),""))</f>
        <v/>
      </c>
      <c r="J74" s="12"/>
      <c r="K74" s="13"/>
      <c r="L74" s="13"/>
      <c r="M74" s="13"/>
      <c r="N74" s="12"/>
      <c r="O74" s="14"/>
      <c r="P74" s="12"/>
      <c r="Q74" s="12"/>
    </row>
    <row r="75" spans="1:17" ht="15" customHeight="1" x14ac:dyDescent="0.35">
      <c r="A75" s="12"/>
      <c r="B75" s="10" t="str">
        <f>IF(A75="","",IFERROR(IF(VLOOKUP(A75,Deal!$A:$K,8,0)="Win","✅ Win – Proceed","⚠ Stage: "&amp;VLOOKUP(A75,Deal!$A:$K,8,0)),"❌ Deal ID Not Found"))</f>
        <v/>
      </c>
      <c r="C75" t="str">
        <f>IF(A75="","",IFERROR(VLOOKUP(A75,Deal!$A:$K,2,0),""))</f>
        <v/>
      </c>
      <c r="D75" t="str">
        <f>IF(A75="","",IFERROR(VLOOKUP(A75,Deal!$A:$K,3,0),""))</f>
        <v/>
      </c>
      <c r="E75" t="str">
        <f>IF(A75="","",IFERROR(VLOOKUP(A75,Deal!$A:$K,4,0),""))</f>
        <v/>
      </c>
      <c r="F75" t="str">
        <f>IF(A75="","",IFERROR(VLOOKUP(A75,Enquiry!$A:$K,6,0),"— Enter manually"))</f>
        <v/>
      </c>
      <c r="G75" s="9" t="str">
        <f>IF(A75="","",IFERROR(VLOOKUP(A75,Deal!$A:$K,6,0),0))</f>
        <v/>
      </c>
      <c r="H75" t="str">
        <f>IF(A75="","",IFERROR(VLOOKUP(A75,Deal!$A:$K,9,0),""))</f>
        <v/>
      </c>
      <c r="I75" s="6" t="str">
        <f>IF(A75="","",IFERROR(VLOOKUP(A75,Deal!$A:$K,7,0),""))</f>
        <v/>
      </c>
      <c r="J75" s="12"/>
      <c r="K75" s="13"/>
      <c r="L75" s="13"/>
      <c r="M75" s="13"/>
      <c r="N75" s="12"/>
      <c r="O75" s="14"/>
      <c r="P75" s="12"/>
      <c r="Q75" s="12"/>
    </row>
    <row r="76" spans="1:17" ht="15" customHeight="1" x14ac:dyDescent="0.35">
      <c r="A76" s="12"/>
      <c r="B76" s="10" t="str">
        <f>IF(A76="","",IFERROR(IF(VLOOKUP(A76,Deal!$A:$K,8,0)="Win","✅ Win – Proceed","⚠ Stage: "&amp;VLOOKUP(A76,Deal!$A:$K,8,0)),"❌ Deal ID Not Found"))</f>
        <v/>
      </c>
      <c r="C76" t="str">
        <f>IF(A76="","",IFERROR(VLOOKUP(A76,Deal!$A:$K,2,0),""))</f>
        <v/>
      </c>
      <c r="D76" t="str">
        <f>IF(A76="","",IFERROR(VLOOKUP(A76,Deal!$A:$K,3,0),""))</f>
        <v/>
      </c>
      <c r="E76" t="str">
        <f>IF(A76="","",IFERROR(VLOOKUP(A76,Deal!$A:$K,4,0),""))</f>
        <v/>
      </c>
      <c r="F76" t="str">
        <f>IF(A76="","",IFERROR(VLOOKUP(A76,Enquiry!$A:$K,6,0),"— Enter manually"))</f>
        <v/>
      </c>
      <c r="G76" s="9" t="str">
        <f>IF(A76="","",IFERROR(VLOOKUP(A76,Deal!$A:$K,6,0),0))</f>
        <v/>
      </c>
      <c r="H76" t="str">
        <f>IF(A76="","",IFERROR(VLOOKUP(A76,Deal!$A:$K,9,0),""))</f>
        <v/>
      </c>
      <c r="I76" s="6" t="str">
        <f>IF(A76="","",IFERROR(VLOOKUP(A76,Deal!$A:$K,7,0),""))</f>
        <v/>
      </c>
      <c r="J76" s="12"/>
      <c r="K76" s="13"/>
      <c r="L76" s="13"/>
      <c r="M76" s="13"/>
      <c r="N76" s="12"/>
      <c r="O76" s="14"/>
      <c r="P76" s="12"/>
      <c r="Q76" s="12"/>
    </row>
    <row r="77" spans="1:17" ht="15" customHeight="1" x14ac:dyDescent="0.35">
      <c r="A77" s="12"/>
      <c r="B77" s="10" t="str">
        <f>IF(A77="","",IFERROR(IF(VLOOKUP(A77,Deal!$A:$K,8,0)="Win","✅ Win – Proceed","⚠ Stage: "&amp;VLOOKUP(A77,Deal!$A:$K,8,0)),"❌ Deal ID Not Found"))</f>
        <v/>
      </c>
      <c r="C77" t="str">
        <f>IF(A77="","",IFERROR(VLOOKUP(A77,Deal!$A:$K,2,0),""))</f>
        <v/>
      </c>
      <c r="D77" t="str">
        <f>IF(A77="","",IFERROR(VLOOKUP(A77,Deal!$A:$K,3,0),""))</f>
        <v/>
      </c>
      <c r="E77" t="str">
        <f>IF(A77="","",IFERROR(VLOOKUP(A77,Deal!$A:$K,4,0),""))</f>
        <v/>
      </c>
      <c r="F77" t="str">
        <f>IF(A77="","",IFERROR(VLOOKUP(A77,Enquiry!$A:$K,6,0),"— Enter manually"))</f>
        <v/>
      </c>
      <c r="G77" s="9" t="str">
        <f>IF(A77="","",IFERROR(VLOOKUP(A77,Deal!$A:$K,6,0),0))</f>
        <v/>
      </c>
      <c r="H77" t="str">
        <f>IF(A77="","",IFERROR(VLOOKUP(A77,Deal!$A:$K,9,0),""))</f>
        <v/>
      </c>
      <c r="I77" s="6" t="str">
        <f>IF(A77="","",IFERROR(VLOOKUP(A77,Deal!$A:$K,7,0),""))</f>
        <v/>
      </c>
      <c r="J77" s="12"/>
      <c r="K77" s="13"/>
      <c r="L77" s="13"/>
      <c r="M77" s="13"/>
      <c r="N77" s="12"/>
      <c r="O77" s="14"/>
      <c r="P77" s="12"/>
      <c r="Q77" s="12"/>
    </row>
    <row r="78" spans="1:17" ht="15" customHeight="1" x14ac:dyDescent="0.35">
      <c r="A78" s="12"/>
      <c r="B78" s="10" t="str">
        <f>IF(A78="","",IFERROR(IF(VLOOKUP(A78,Deal!$A:$K,8,0)="Win","✅ Win – Proceed","⚠ Stage: "&amp;VLOOKUP(A78,Deal!$A:$K,8,0)),"❌ Deal ID Not Found"))</f>
        <v/>
      </c>
      <c r="C78" t="str">
        <f>IF(A78="","",IFERROR(VLOOKUP(A78,Deal!$A:$K,2,0),""))</f>
        <v/>
      </c>
      <c r="D78" t="str">
        <f>IF(A78="","",IFERROR(VLOOKUP(A78,Deal!$A:$K,3,0),""))</f>
        <v/>
      </c>
      <c r="E78" t="str">
        <f>IF(A78="","",IFERROR(VLOOKUP(A78,Deal!$A:$K,4,0),""))</f>
        <v/>
      </c>
      <c r="F78" t="str">
        <f>IF(A78="","",IFERROR(VLOOKUP(A78,Enquiry!$A:$K,6,0),"— Enter manually"))</f>
        <v/>
      </c>
      <c r="G78" s="9" t="str">
        <f>IF(A78="","",IFERROR(VLOOKUP(A78,Deal!$A:$K,6,0),0))</f>
        <v/>
      </c>
      <c r="H78" t="str">
        <f>IF(A78="","",IFERROR(VLOOKUP(A78,Deal!$A:$K,9,0),""))</f>
        <v/>
      </c>
      <c r="I78" s="6" t="str">
        <f>IF(A78="","",IFERROR(VLOOKUP(A78,Deal!$A:$K,7,0),""))</f>
        <v/>
      </c>
      <c r="J78" s="12"/>
      <c r="K78" s="13"/>
      <c r="L78" s="13"/>
      <c r="M78" s="13"/>
      <c r="N78" s="12"/>
      <c r="O78" s="14"/>
      <c r="P78" s="12"/>
      <c r="Q78" s="12"/>
    </row>
    <row r="79" spans="1:17" ht="15" customHeight="1" x14ac:dyDescent="0.35">
      <c r="A79" s="12"/>
      <c r="B79" s="10" t="str">
        <f>IF(A79="","",IFERROR(IF(VLOOKUP(A79,Deal!$A:$K,8,0)="Win","✅ Win – Proceed","⚠ Stage: "&amp;VLOOKUP(A79,Deal!$A:$K,8,0)),"❌ Deal ID Not Found"))</f>
        <v/>
      </c>
      <c r="C79" t="str">
        <f>IF(A79="","",IFERROR(VLOOKUP(A79,Deal!$A:$K,2,0),""))</f>
        <v/>
      </c>
      <c r="D79" t="str">
        <f>IF(A79="","",IFERROR(VLOOKUP(A79,Deal!$A:$K,3,0),""))</f>
        <v/>
      </c>
      <c r="E79" t="str">
        <f>IF(A79="","",IFERROR(VLOOKUP(A79,Deal!$A:$K,4,0),""))</f>
        <v/>
      </c>
      <c r="F79" t="str">
        <f>IF(A79="","",IFERROR(VLOOKUP(A79,Enquiry!$A:$K,6,0),"— Enter manually"))</f>
        <v/>
      </c>
      <c r="G79" s="9" t="str">
        <f>IF(A79="","",IFERROR(VLOOKUP(A79,Deal!$A:$K,6,0),0))</f>
        <v/>
      </c>
      <c r="H79" t="str">
        <f>IF(A79="","",IFERROR(VLOOKUP(A79,Deal!$A:$K,9,0),""))</f>
        <v/>
      </c>
      <c r="I79" s="6" t="str">
        <f>IF(A79="","",IFERROR(VLOOKUP(A79,Deal!$A:$K,7,0),""))</f>
        <v/>
      </c>
      <c r="J79" s="12"/>
      <c r="K79" s="13"/>
      <c r="L79" s="13"/>
      <c r="M79" s="13"/>
      <c r="N79" s="12"/>
      <c r="O79" s="14"/>
      <c r="P79" s="12"/>
      <c r="Q79" s="12"/>
    </row>
    <row r="80" spans="1:17" ht="15" customHeight="1" x14ac:dyDescent="0.35">
      <c r="A80" s="12"/>
      <c r="B80" s="10" t="str">
        <f>IF(A80="","",IFERROR(IF(VLOOKUP(A80,Deal!$A:$K,8,0)="Win","✅ Win – Proceed","⚠ Stage: "&amp;VLOOKUP(A80,Deal!$A:$K,8,0)),"❌ Deal ID Not Found"))</f>
        <v/>
      </c>
      <c r="C80" t="str">
        <f>IF(A80="","",IFERROR(VLOOKUP(A80,Deal!$A:$K,2,0),""))</f>
        <v/>
      </c>
      <c r="D80" t="str">
        <f>IF(A80="","",IFERROR(VLOOKUP(A80,Deal!$A:$K,3,0),""))</f>
        <v/>
      </c>
      <c r="E80" t="str">
        <f>IF(A80="","",IFERROR(VLOOKUP(A80,Deal!$A:$K,4,0),""))</f>
        <v/>
      </c>
      <c r="F80" t="str">
        <f>IF(A80="","",IFERROR(VLOOKUP(A80,Enquiry!$A:$K,6,0),"— Enter manually"))</f>
        <v/>
      </c>
      <c r="G80" s="9" t="str">
        <f>IF(A80="","",IFERROR(VLOOKUP(A80,Deal!$A:$K,6,0),0))</f>
        <v/>
      </c>
      <c r="H80" t="str">
        <f>IF(A80="","",IFERROR(VLOOKUP(A80,Deal!$A:$K,9,0),""))</f>
        <v/>
      </c>
      <c r="I80" s="6" t="str">
        <f>IF(A80="","",IFERROR(VLOOKUP(A80,Deal!$A:$K,7,0),""))</f>
        <v/>
      </c>
      <c r="J80" s="12"/>
      <c r="K80" s="13"/>
      <c r="L80" s="13"/>
      <c r="M80" s="13"/>
      <c r="N80" s="12"/>
      <c r="O80" s="14"/>
      <c r="P80" s="12"/>
      <c r="Q80" s="12"/>
    </row>
    <row r="81" spans="1:17" ht="15" customHeight="1" x14ac:dyDescent="0.35">
      <c r="A81" s="12"/>
      <c r="B81" s="10" t="str">
        <f>IF(A81="","",IFERROR(IF(VLOOKUP(A81,Deal!$A:$K,8,0)="Win","✅ Win – Proceed","⚠ Stage: "&amp;VLOOKUP(A81,Deal!$A:$K,8,0)),"❌ Deal ID Not Found"))</f>
        <v/>
      </c>
      <c r="C81" t="str">
        <f>IF(A81="","",IFERROR(VLOOKUP(A81,Deal!$A:$K,2,0),""))</f>
        <v/>
      </c>
      <c r="D81" t="str">
        <f>IF(A81="","",IFERROR(VLOOKUP(A81,Deal!$A:$K,3,0),""))</f>
        <v/>
      </c>
      <c r="E81" t="str">
        <f>IF(A81="","",IFERROR(VLOOKUP(A81,Deal!$A:$K,4,0),""))</f>
        <v/>
      </c>
      <c r="F81" t="str">
        <f>IF(A81="","",IFERROR(VLOOKUP(A81,Enquiry!$A:$K,6,0),"— Enter manually"))</f>
        <v/>
      </c>
      <c r="G81" s="9" t="str">
        <f>IF(A81="","",IFERROR(VLOOKUP(A81,Deal!$A:$K,6,0),0))</f>
        <v/>
      </c>
      <c r="H81" t="str">
        <f>IF(A81="","",IFERROR(VLOOKUP(A81,Deal!$A:$K,9,0),""))</f>
        <v/>
      </c>
      <c r="I81" s="6" t="str">
        <f>IF(A81="","",IFERROR(VLOOKUP(A81,Deal!$A:$K,7,0),""))</f>
        <v/>
      </c>
      <c r="J81" s="12"/>
      <c r="K81" s="13"/>
      <c r="L81" s="13"/>
      <c r="M81" s="13"/>
      <c r="N81" s="12"/>
      <c r="O81" s="14"/>
      <c r="P81" s="12"/>
      <c r="Q81" s="12"/>
    </row>
    <row r="82" spans="1:17" ht="15" customHeight="1" x14ac:dyDescent="0.35">
      <c r="A82" s="12"/>
      <c r="B82" s="10" t="str">
        <f>IF(A82="","",IFERROR(IF(VLOOKUP(A82,Deal!$A:$K,8,0)="Win","✅ Win – Proceed","⚠ Stage: "&amp;VLOOKUP(A82,Deal!$A:$K,8,0)),"❌ Deal ID Not Found"))</f>
        <v/>
      </c>
      <c r="C82" t="str">
        <f>IF(A82="","",IFERROR(VLOOKUP(A82,Deal!$A:$K,2,0),""))</f>
        <v/>
      </c>
      <c r="D82" t="str">
        <f>IF(A82="","",IFERROR(VLOOKUP(A82,Deal!$A:$K,3,0),""))</f>
        <v/>
      </c>
      <c r="E82" t="str">
        <f>IF(A82="","",IFERROR(VLOOKUP(A82,Deal!$A:$K,4,0),""))</f>
        <v/>
      </c>
      <c r="F82" t="str">
        <f>IF(A82="","",IFERROR(VLOOKUP(A82,Enquiry!$A:$K,6,0),"— Enter manually"))</f>
        <v/>
      </c>
      <c r="G82" s="9" t="str">
        <f>IF(A82="","",IFERROR(VLOOKUP(A82,Deal!$A:$K,6,0),0))</f>
        <v/>
      </c>
      <c r="H82" t="str">
        <f>IF(A82="","",IFERROR(VLOOKUP(A82,Deal!$A:$K,9,0),""))</f>
        <v/>
      </c>
      <c r="I82" s="6" t="str">
        <f>IF(A82="","",IFERROR(VLOOKUP(A82,Deal!$A:$K,7,0),""))</f>
        <v/>
      </c>
      <c r="J82" s="12"/>
      <c r="K82" s="13"/>
      <c r="L82" s="13"/>
      <c r="M82" s="13"/>
      <c r="N82" s="12"/>
      <c r="O82" s="14"/>
      <c r="P82" s="12"/>
      <c r="Q82" s="12"/>
    </row>
    <row r="83" spans="1:17" ht="15" customHeight="1" x14ac:dyDescent="0.35">
      <c r="A83" s="12"/>
      <c r="B83" s="10" t="str">
        <f>IF(A83="","",IFERROR(IF(VLOOKUP(A83,Deal!$A:$K,8,0)="Win","✅ Win – Proceed","⚠ Stage: "&amp;VLOOKUP(A83,Deal!$A:$K,8,0)),"❌ Deal ID Not Found"))</f>
        <v/>
      </c>
      <c r="C83" t="str">
        <f>IF(A83="","",IFERROR(VLOOKUP(A83,Deal!$A:$K,2,0),""))</f>
        <v/>
      </c>
      <c r="D83" t="str">
        <f>IF(A83="","",IFERROR(VLOOKUP(A83,Deal!$A:$K,3,0),""))</f>
        <v/>
      </c>
      <c r="E83" t="str">
        <f>IF(A83="","",IFERROR(VLOOKUP(A83,Deal!$A:$K,4,0),""))</f>
        <v/>
      </c>
      <c r="F83" t="str">
        <f>IF(A83="","",IFERROR(VLOOKUP(A83,Enquiry!$A:$K,6,0),"— Enter manually"))</f>
        <v/>
      </c>
      <c r="G83" s="9" t="str">
        <f>IF(A83="","",IFERROR(VLOOKUP(A83,Deal!$A:$K,6,0),0))</f>
        <v/>
      </c>
      <c r="H83" t="str">
        <f>IF(A83="","",IFERROR(VLOOKUP(A83,Deal!$A:$K,9,0),""))</f>
        <v/>
      </c>
      <c r="I83" s="6" t="str">
        <f>IF(A83="","",IFERROR(VLOOKUP(A83,Deal!$A:$K,7,0),""))</f>
        <v/>
      </c>
      <c r="J83" s="12"/>
      <c r="K83" s="13"/>
      <c r="L83" s="13"/>
      <c r="M83" s="13"/>
      <c r="N83" s="12"/>
      <c r="O83" s="14"/>
      <c r="P83" s="12"/>
      <c r="Q83" s="12"/>
    </row>
    <row r="84" spans="1:17" ht="15" customHeight="1" x14ac:dyDescent="0.35">
      <c r="A84" s="12"/>
      <c r="B84" s="10" t="str">
        <f>IF(A84="","",IFERROR(IF(VLOOKUP(A84,Deal!$A:$K,8,0)="Win","✅ Win – Proceed","⚠ Stage: "&amp;VLOOKUP(A84,Deal!$A:$K,8,0)),"❌ Deal ID Not Found"))</f>
        <v/>
      </c>
      <c r="C84" t="str">
        <f>IF(A84="","",IFERROR(VLOOKUP(A84,Deal!$A:$K,2,0),""))</f>
        <v/>
      </c>
      <c r="D84" t="str">
        <f>IF(A84="","",IFERROR(VLOOKUP(A84,Deal!$A:$K,3,0),""))</f>
        <v/>
      </c>
      <c r="E84" t="str">
        <f>IF(A84="","",IFERROR(VLOOKUP(A84,Deal!$A:$K,4,0),""))</f>
        <v/>
      </c>
      <c r="F84" t="str">
        <f>IF(A84="","",IFERROR(VLOOKUP(A84,Enquiry!$A:$K,6,0),"— Enter manually"))</f>
        <v/>
      </c>
      <c r="G84" s="9" t="str">
        <f>IF(A84="","",IFERROR(VLOOKUP(A84,Deal!$A:$K,6,0),0))</f>
        <v/>
      </c>
      <c r="H84" t="str">
        <f>IF(A84="","",IFERROR(VLOOKUP(A84,Deal!$A:$K,9,0),""))</f>
        <v/>
      </c>
      <c r="I84" s="6" t="str">
        <f>IF(A84="","",IFERROR(VLOOKUP(A84,Deal!$A:$K,7,0),""))</f>
        <v/>
      </c>
      <c r="J84" s="12"/>
      <c r="K84" s="13"/>
      <c r="L84" s="13"/>
      <c r="M84" s="13"/>
      <c r="N84" s="12"/>
      <c r="O84" s="14"/>
      <c r="P84" s="12"/>
      <c r="Q84" s="12"/>
    </row>
    <row r="85" spans="1:17" ht="15" customHeight="1" x14ac:dyDescent="0.35">
      <c r="A85" s="12"/>
      <c r="B85" s="10" t="str">
        <f>IF(A85="","",IFERROR(IF(VLOOKUP(A85,Deal!$A:$K,8,0)="Win","✅ Win – Proceed","⚠ Stage: "&amp;VLOOKUP(A85,Deal!$A:$K,8,0)),"❌ Deal ID Not Found"))</f>
        <v/>
      </c>
      <c r="C85" t="str">
        <f>IF(A85="","",IFERROR(VLOOKUP(A85,Deal!$A:$K,2,0),""))</f>
        <v/>
      </c>
      <c r="D85" t="str">
        <f>IF(A85="","",IFERROR(VLOOKUP(A85,Deal!$A:$K,3,0),""))</f>
        <v/>
      </c>
      <c r="E85" t="str">
        <f>IF(A85="","",IFERROR(VLOOKUP(A85,Deal!$A:$K,4,0),""))</f>
        <v/>
      </c>
      <c r="F85" t="str">
        <f>IF(A85="","",IFERROR(VLOOKUP(A85,Enquiry!$A:$K,6,0),"— Enter manually"))</f>
        <v/>
      </c>
      <c r="G85" s="9" t="str">
        <f>IF(A85="","",IFERROR(VLOOKUP(A85,Deal!$A:$K,6,0),0))</f>
        <v/>
      </c>
      <c r="H85" t="str">
        <f>IF(A85="","",IFERROR(VLOOKUP(A85,Deal!$A:$K,9,0),""))</f>
        <v/>
      </c>
      <c r="I85" s="6" t="str">
        <f>IF(A85="","",IFERROR(VLOOKUP(A85,Deal!$A:$K,7,0),""))</f>
        <v/>
      </c>
      <c r="J85" s="12"/>
      <c r="K85" s="13"/>
      <c r="L85" s="13"/>
      <c r="M85" s="13"/>
      <c r="N85" s="12"/>
      <c r="O85" s="14"/>
      <c r="P85" s="12"/>
      <c r="Q85" s="12"/>
    </row>
    <row r="86" spans="1:17" ht="15" customHeight="1" x14ac:dyDescent="0.35">
      <c r="A86" s="12"/>
      <c r="B86" s="10" t="str">
        <f>IF(A86="","",IFERROR(IF(VLOOKUP(A86,Deal!$A:$K,8,0)="Win","✅ Win – Proceed","⚠ Stage: "&amp;VLOOKUP(A86,Deal!$A:$K,8,0)),"❌ Deal ID Not Found"))</f>
        <v/>
      </c>
      <c r="C86" t="str">
        <f>IF(A86="","",IFERROR(VLOOKUP(A86,Deal!$A:$K,2,0),""))</f>
        <v/>
      </c>
      <c r="D86" t="str">
        <f>IF(A86="","",IFERROR(VLOOKUP(A86,Deal!$A:$K,3,0),""))</f>
        <v/>
      </c>
      <c r="E86" t="str">
        <f>IF(A86="","",IFERROR(VLOOKUP(A86,Deal!$A:$K,4,0),""))</f>
        <v/>
      </c>
      <c r="F86" t="str">
        <f>IF(A86="","",IFERROR(VLOOKUP(A86,Enquiry!$A:$K,6,0),"— Enter manually"))</f>
        <v/>
      </c>
      <c r="G86" s="9" t="str">
        <f>IF(A86="","",IFERROR(VLOOKUP(A86,Deal!$A:$K,6,0),0))</f>
        <v/>
      </c>
      <c r="H86" t="str">
        <f>IF(A86="","",IFERROR(VLOOKUP(A86,Deal!$A:$K,9,0),""))</f>
        <v/>
      </c>
      <c r="I86" s="6" t="str">
        <f>IF(A86="","",IFERROR(VLOOKUP(A86,Deal!$A:$K,7,0),""))</f>
        <v/>
      </c>
      <c r="J86" s="12"/>
      <c r="K86" s="13"/>
      <c r="L86" s="13"/>
      <c r="M86" s="13"/>
      <c r="N86" s="12"/>
      <c r="O86" s="14"/>
      <c r="P86" s="12"/>
      <c r="Q86" s="12"/>
    </row>
    <row r="87" spans="1:17" ht="15" customHeight="1" x14ac:dyDescent="0.35">
      <c r="A87" s="12"/>
      <c r="B87" s="10" t="str">
        <f>IF(A87="","",IFERROR(IF(VLOOKUP(A87,Deal!$A:$K,8,0)="Win","✅ Win – Proceed","⚠ Stage: "&amp;VLOOKUP(A87,Deal!$A:$K,8,0)),"❌ Deal ID Not Found"))</f>
        <v/>
      </c>
      <c r="C87" t="str">
        <f>IF(A87="","",IFERROR(VLOOKUP(A87,Deal!$A:$K,2,0),""))</f>
        <v/>
      </c>
      <c r="D87" t="str">
        <f>IF(A87="","",IFERROR(VLOOKUP(A87,Deal!$A:$K,3,0),""))</f>
        <v/>
      </c>
      <c r="E87" t="str">
        <f>IF(A87="","",IFERROR(VLOOKUP(A87,Deal!$A:$K,4,0),""))</f>
        <v/>
      </c>
      <c r="F87" t="str">
        <f>IF(A87="","",IFERROR(VLOOKUP(A87,Enquiry!$A:$K,6,0),"— Enter manually"))</f>
        <v/>
      </c>
      <c r="G87" s="9" t="str">
        <f>IF(A87="","",IFERROR(VLOOKUP(A87,Deal!$A:$K,6,0),0))</f>
        <v/>
      </c>
      <c r="H87" t="str">
        <f>IF(A87="","",IFERROR(VLOOKUP(A87,Deal!$A:$K,9,0),""))</f>
        <v/>
      </c>
      <c r="I87" s="6" t="str">
        <f>IF(A87="","",IFERROR(VLOOKUP(A87,Deal!$A:$K,7,0),""))</f>
        <v/>
      </c>
      <c r="J87" s="12"/>
      <c r="K87" s="13"/>
      <c r="L87" s="13"/>
      <c r="M87" s="13"/>
      <c r="N87" s="12"/>
      <c r="O87" s="14"/>
      <c r="P87" s="12"/>
      <c r="Q87" s="12"/>
    </row>
    <row r="88" spans="1:17" ht="15" customHeight="1" x14ac:dyDescent="0.35">
      <c r="A88" s="12"/>
      <c r="B88" s="10" t="str">
        <f>IF(A88="","",IFERROR(IF(VLOOKUP(A88,Deal!$A:$K,8,0)="Win","✅ Win – Proceed","⚠ Stage: "&amp;VLOOKUP(A88,Deal!$A:$K,8,0)),"❌ Deal ID Not Found"))</f>
        <v/>
      </c>
      <c r="C88" t="str">
        <f>IF(A88="","",IFERROR(VLOOKUP(A88,Deal!$A:$K,2,0),""))</f>
        <v/>
      </c>
      <c r="D88" t="str">
        <f>IF(A88="","",IFERROR(VLOOKUP(A88,Deal!$A:$K,3,0),""))</f>
        <v/>
      </c>
      <c r="E88" t="str">
        <f>IF(A88="","",IFERROR(VLOOKUP(A88,Deal!$A:$K,4,0),""))</f>
        <v/>
      </c>
      <c r="F88" t="str">
        <f>IF(A88="","",IFERROR(VLOOKUP(A88,Enquiry!$A:$K,6,0),"— Enter manually"))</f>
        <v/>
      </c>
      <c r="G88" s="9" t="str">
        <f>IF(A88="","",IFERROR(VLOOKUP(A88,Deal!$A:$K,6,0),0))</f>
        <v/>
      </c>
      <c r="H88" t="str">
        <f>IF(A88="","",IFERROR(VLOOKUP(A88,Deal!$A:$K,9,0),""))</f>
        <v/>
      </c>
      <c r="I88" s="6" t="str">
        <f>IF(A88="","",IFERROR(VLOOKUP(A88,Deal!$A:$K,7,0),""))</f>
        <v/>
      </c>
      <c r="J88" s="12"/>
      <c r="K88" s="13"/>
      <c r="L88" s="13"/>
      <c r="M88" s="13"/>
      <c r="N88" s="12"/>
      <c r="O88" s="14"/>
      <c r="P88" s="12"/>
      <c r="Q88" s="12"/>
    </row>
    <row r="89" spans="1:17" ht="15" customHeight="1" x14ac:dyDescent="0.35">
      <c r="A89" s="12"/>
      <c r="B89" s="10" t="str">
        <f>IF(A89="","",IFERROR(IF(VLOOKUP(A89,Deal!$A:$K,8,0)="Win","✅ Win – Proceed","⚠ Stage: "&amp;VLOOKUP(A89,Deal!$A:$K,8,0)),"❌ Deal ID Not Found"))</f>
        <v/>
      </c>
      <c r="C89" t="str">
        <f>IF(A89="","",IFERROR(VLOOKUP(A89,Deal!$A:$K,2,0),""))</f>
        <v/>
      </c>
      <c r="D89" t="str">
        <f>IF(A89="","",IFERROR(VLOOKUP(A89,Deal!$A:$K,3,0),""))</f>
        <v/>
      </c>
      <c r="E89" t="str">
        <f>IF(A89="","",IFERROR(VLOOKUP(A89,Deal!$A:$K,4,0),""))</f>
        <v/>
      </c>
      <c r="F89" t="str">
        <f>IF(A89="","",IFERROR(VLOOKUP(A89,Enquiry!$A:$K,6,0),"— Enter manually"))</f>
        <v/>
      </c>
      <c r="G89" s="9" t="str">
        <f>IF(A89="","",IFERROR(VLOOKUP(A89,Deal!$A:$K,6,0),0))</f>
        <v/>
      </c>
      <c r="H89" t="str">
        <f>IF(A89="","",IFERROR(VLOOKUP(A89,Deal!$A:$K,9,0),""))</f>
        <v/>
      </c>
      <c r="I89" s="6" t="str">
        <f>IF(A89="","",IFERROR(VLOOKUP(A89,Deal!$A:$K,7,0),""))</f>
        <v/>
      </c>
      <c r="J89" s="12"/>
      <c r="K89" s="13"/>
      <c r="L89" s="13"/>
      <c r="M89" s="13"/>
      <c r="N89" s="12"/>
      <c r="O89" s="14"/>
      <c r="P89" s="12"/>
      <c r="Q89" s="12"/>
    </row>
    <row r="90" spans="1:17" ht="15" customHeight="1" x14ac:dyDescent="0.35">
      <c r="A90" s="12"/>
      <c r="B90" s="10" t="str">
        <f>IF(A90="","",IFERROR(IF(VLOOKUP(A90,Deal!$A:$K,8,0)="Win","✅ Win – Proceed","⚠ Stage: "&amp;VLOOKUP(A90,Deal!$A:$K,8,0)),"❌ Deal ID Not Found"))</f>
        <v/>
      </c>
      <c r="C90" t="str">
        <f>IF(A90="","",IFERROR(VLOOKUP(A90,Deal!$A:$K,2,0),""))</f>
        <v/>
      </c>
      <c r="D90" t="str">
        <f>IF(A90="","",IFERROR(VLOOKUP(A90,Deal!$A:$K,3,0),""))</f>
        <v/>
      </c>
      <c r="E90" t="str">
        <f>IF(A90="","",IFERROR(VLOOKUP(A90,Deal!$A:$K,4,0),""))</f>
        <v/>
      </c>
      <c r="F90" t="str">
        <f>IF(A90="","",IFERROR(VLOOKUP(A90,Enquiry!$A:$K,6,0),"— Enter manually"))</f>
        <v/>
      </c>
      <c r="G90" s="9" t="str">
        <f>IF(A90="","",IFERROR(VLOOKUP(A90,Deal!$A:$K,6,0),0))</f>
        <v/>
      </c>
      <c r="H90" t="str">
        <f>IF(A90="","",IFERROR(VLOOKUP(A90,Deal!$A:$K,9,0),""))</f>
        <v/>
      </c>
      <c r="I90" s="6" t="str">
        <f>IF(A90="","",IFERROR(VLOOKUP(A90,Deal!$A:$K,7,0),""))</f>
        <v/>
      </c>
      <c r="J90" s="12"/>
      <c r="K90" s="13"/>
      <c r="L90" s="13"/>
      <c r="M90" s="13"/>
      <c r="N90" s="12"/>
      <c r="O90" s="14"/>
      <c r="P90" s="12"/>
      <c r="Q90" s="12"/>
    </row>
    <row r="91" spans="1:17" ht="15" customHeight="1" x14ac:dyDescent="0.35">
      <c r="A91" s="12"/>
      <c r="B91" s="10" t="str">
        <f>IF(A91="","",IFERROR(IF(VLOOKUP(A91,Deal!$A:$K,8,0)="Win","✅ Win – Proceed","⚠ Stage: "&amp;VLOOKUP(A91,Deal!$A:$K,8,0)),"❌ Deal ID Not Found"))</f>
        <v/>
      </c>
      <c r="C91" t="str">
        <f>IF(A91="","",IFERROR(VLOOKUP(A91,Deal!$A:$K,2,0),""))</f>
        <v/>
      </c>
      <c r="D91" t="str">
        <f>IF(A91="","",IFERROR(VLOOKUP(A91,Deal!$A:$K,3,0),""))</f>
        <v/>
      </c>
      <c r="E91" t="str">
        <f>IF(A91="","",IFERROR(VLOOKUP(A91,Deal!$A:$K,4,0),""))</f>
        <v/>
      </c>
      <c r="F91" t="str">
        <f>IF(A91="","",IFERROR(VLOOKUP(A91,Enquiry!$A:$K,6,0),"— Enter manually"))</f>
        <v/>
      </c>
      <c r="G91" s="9" t="str">
        <f>IF(A91="","",IFERROR(VLOOKUP(A91,Deal!$A:$K,6,0),0))</f>
        <v/>
      </c>
      <c r="H91" t="str">
        <f>IF(A91="","",IFERROR(VLOOKUP(A91,Deal!$A:$K,9,0),""))</f>
        <v/>
      </c>
      <c r="I91" s="6" t="str">
        <f>IF(A91="","",IFERROR(VLOOKUP(A91,Deal!$A:$K,7,0),""))</f>
        <v/>
      </c>
      <c r="J91" s="12"/>
      <c r="K91" s="13"/>
      <c r="L91" s="13"/>
      <c r="M91" s="13"/>
      <c r="N91" s="12"/>
      <c r="O91" s="14"/>
      <c r="P91" s="12"/>
      <c r="Q91" s="12"/>
    </row>
    <row r="92" spans="1:17" ht="15" customHeight="1" x14ac:dyDescent="0.35">
      <c r="A92" s="12"/>
      <c r="B92" s="10" t="str">
        <f>IF(A92="","",IFERROR(IF(VLOOKUP(A92,Deal!$A:$K,8,0)="Win","✅ Win – Proceed","⚠ Stage: "&amp;VLOOKUP(A92,Deal!$A:$K,8,0)),"❌ Deal ID Not Found"))</f>
        <v/>
      </c>
      <c r="C92" t="str">
        <f>IF(A92="","",IFERROR(VLOOKUP(A92,Deal!$A:$K,2,0),""))</f>
        <v/>
      </c>
      <c r="D92" t="str">
        <f>IF(A92="","",IFERROR(VLOOKUP(A92,Deal!$A:$K,3,0),""))</f>
        <v/>
      </c>
      <c r="E92" t="str">
        <f>IF(A92="","",IFERROR(VLOOKUP(A92,Deal!$A:$K,4,0),""))</f>
        <v/>
      </c>
      <c r="F92" t="str">
        <f>IF(A92="","",IFERROR(VLOOKUP(A92,Enquiry!$A:$K,6,0),"— Enter manually"))</f>
        <v/>
      </c>
      <c r="G92" s="9" t="str">
        <f>IF(A92="","",IFERROR(VLOOKUP(A92,Deal!$A:$K,6,0),0))</f>
        <v/>
      </c>
      <c r="H92" t="str">
        <f>IF(A92="","",IFERROR(VLOOKUP(A92,Deal!$A:$K,9,0),""))</f>
        <v/>
      </c>
      <c r="I92" s="6" t="str">
        <f>IF(A92="","",IFERROR(VLOOKUP(A92,Deal!$A:$K,7,0),""))</f>
        <v/>
      </c>
      <c r="J92" s="12"/>
      <c r="K92" s="13"/>
      <c r="L92" s="13"/>
      <c r="M92" s="13"/>
      <c r="N92" s="12"/>
      <c r="O92" s="14"/>
      <c r="P92" s="12"/>
      <c r="Q92" s="12"/>
    </row>
    <row r="93" spans="1:17" ht="15" customHeight="1" x14ac:dyDescent="0.35">
      <c r="A93" s="12"/>
      <c r="B93" s="10" t="str">
        <f>IF(A93="","",IFERROR(IF(VLOOKUP(A93,Deal!$A:$K,8,0)="Win","✅ Win – Proceed","⚠ Stage: "&amp;VLOOKUP(A93,Deal!$A:$K,8,0)),"❌ Deal ID Not Found"))</f>
        <v/>
      </c>
      <c r="C93" t="str">
        <f>IF(A93="","",IFERROR(VLOOKUP(A93,Deal!$A:$K,2,0),""))</f>
        <v/>
      </c>
      <c r="D93" t="str">
        <f>IF(A93="","",IFERROR(VLOOKUP(A93,Deal!$A:$K,3,0),""))</f>
        <v/>
      </c>
      <c r="E93" t="str">
        <f>IF(A93="","",IFERROR(VLOOKUP(A93,Deal!$A:$K,4,0),""))</f>
        <v/>
      </c>
      <c r="F93" t="str">
        <f>IF(A93="","",IFERROR(VLOOKUP(A93,Enquiry!$A:$K,6,0),"— Enter manually"))</f>
        <v/>
      </c>
      <c r="G93" s="9" t="str">
        <f>IF(A93="","",IFERROR(VLOOKUP(A93,Deal!$A:$K,6,0),0))</f>
        <v/>
      </c>
      <c r="H93" t="str">
        <f>IF(A93="","",IFERROR(VLOOKUP(A93,Deal!$A:$K,9,0),""))</f>
        <v/>
      </c>
      <c r="I93" s="6" t="str">
        <f>IF(A93="","",IFERROR(VLOOKUP(A93,Deal!$A:$K,7,0),""))</f>
        <v/>
      </c>
      <c r="J93" s="12"/>
      <c r="K93" s="13"/>
      <c r="L93" s="13"/>
      <c r="M93" s="13"/>
      <c r="N93" s="12"/>
      <c r="O93" s="14"/>
      <c r="P93" s="12"/>
      <c r="Q93" s="12"/>
    </row>
    <row r="94" spans="1:17" ht="15" customHeight="1" x14ac:dyDescent="0.35">
      <c r="A94" s="12"/>
      <c r="B94" s="10" t="str">
        <f>IF(A94="","",IFERROR(IF(VLOOKUP(A94,Deal!$A:$K,8,0)="Win","✅ Win – Proceed","⚠ Stage: "&amp;VLOOKUP(A94,Deal!$A:$K,8,0)),"❌ Deal ID Not Found"))</f>
        <v/>
      </c>
      <c r="C94" t="str">
        <f>IF(A94="","",IFERROR(VLOOKUP(A94,Deal!$A:$K,2,0),""))</f>
        <v/>
      </c>
      <c r="D94" t="str">
        <f>IF(A94="","",IFERROR(VLOOKUP(A94,Deal!$A:$K,3,0),""))</f>
        <v/>
      </c>
      <c r="E94" t="str">
        <f>IF(A94="","",IFERROR(VLOOKUP(A94,Deal!$A:$K,4,0),""))</f>
        <v/>
      </c>
      <c r="F94" t="str">
        <f>IF(A94="","",IFERROR(VLOOKUP(A94,Enquiry!$A:$K,6,0),"— Enter manually"))</f>
        <v/>
      </c>
      <c r="G94" s="9" t="str">
        <f>IF(A94="","",IFERROR(VLOOKUP(A94,Deal!$A:$K,6,0),0))</f>
        <v/>
      </c>
      <c r="H94" t="str">
        <f>IF(A94="","",IFERROR(VLOOKUP(A94,Deal!$A:$K,9,0),""))</f>
        <v/>
      </c>
      <c r="I94" s="6" t="str">
        <f>IF(A94="","",IFERROR(VLOOKUP(A94,Deal!$A:$K,7,0),""))</f>
        <v/>
      </c>
      <c r="J94" s="12"/>
      <c r="K94" s="13"/>
      <c r="L94" s="13"/>
      <c r="M94" s="13"/>
      <c r="N94" s="12"/>
      <c r="O94" s="14"/>
      <c r="P94" s="12"/>
      <c r="Q94" s="12"/>
    </row>
    <row r="95" spans="1:17" ht="15" customHeight="1" x14ac:dyDescent="0.35">
      <c r="A95" s="12"/>
      <c r="B95" s="10" t="str">
        <f>IF(A95="","",IFERROR(IF(VLOOKUP(A95,Deal!$A:$K,8,0)="Win","✅ Win – Proceed","⚠ Stage: "&amp;VLOOKUP(A95,Deal!$A:$K,8,0)),"❌ Deal ID Not Found"))</f>
        <v/>
      </c>
      <c r="C95" t="str">
        <f>IF(A95="","",IFERROR(VLOOKUP(A95,Deal!$A:$K,2,0),""))</f>
        <v/>
      </c>
      <c r="D95" t="str">
        <f>IF(A95="","",IFERROR(VLOOKUP(A95,Deal!$A:$K,3,0),""))</f>
        <v/>
      </c>
      <c r="E95" t="str">
        <f>IF(A95="","",IFERROR(VLOOKUP(A95,Deal!$A:$K,4,0),""))</f>
        <v/>
      </c>
      <c r="F95" t="str">
        <f>IF(A95="","",IFERROR(VLOOKUP(A95,Enquiry!$A:$K,6,0),"— Enter manually"))</f>
        <v/>
      </c>
      <c r="G95" s="9" t="str">
        <f>IF(A95="","",IFERROR(VLOOKUP(A95,Deal!$A:$K,6,0),0))</f>
        <v/>
      </c>
      <c r="H95" t="str">
        <f>IF(A95="","",IFERROR(VLOOKUP(A95,Deal!$A:$K,9,0),""))</f>
        <v/>
      </c>
      <c r="I95" s="6" t="str">
        <f>IF(A95="","",IFERROR(VLOOKUP(A95,Deal!$A:$K,7,0),""))</f>
        <v/>
      </c>
      <c r="J95" s="12"/>
      <c r="K95" s="13"/>
      <c r="L95" s="13"/>
      <c r="M95" s="13"/>
      <c r="N95" s="12"/>
      <c r="O95" s="14"/>
      <c r="P95" s="12"/>
      <c r="Q95" s="12"/>
    </row>
    <row r="96" spans="1:17" ht="15" customHeight="1" x14ac:dyDescent="0.35">
      <c r="A96" s="12"/>
      <c r="B96" s="10" t="str">
        <f>IF(A96="","",IFERROR(IF(VLOOKUP(A96,Deal!$A:$K,8,0)="Win","✅ Win – Proceed","⚠ Stage: "&amp;VLOOKUP(A96,Deal!$A:$K,8,0)),"❌ Deal ID Not Found"))</f>
        <v/>
      </c>
      <c r="C96" t="str">
        <f>IF(A96="","",IFERROR(VLOOKUP(A96,Deal!$A:$K,2,0),""))</f>
        <v/>
      </c>
      <c r="D96" t="str">
        <f>IF(A96="","",IFERROR(VLOOKUP(A96,Deal!$A:$K,3,0),""))</f>
        <v/>
      </c>
      <c r="E96" t="str">
        <f>IF(A96="","",IFERROR(VLOOKUP(A96,Deal!$A:$K,4,0),""))</f>
        <v/>
      </c>
      <c r="F96" t="str">
        <f>IF(A96="","",IFERROR(VLOOKUP(A96,Enquiry!$A:$K,6,0),"— Enter manually"))</f>
        <v/>
      </c>
      <c r="G96" s="9" t="str">
        <f>IF(A96="","",IFERROR(VLOOKUP(A96,Deal!$A:$K,6,0),0))</f>
        <v/>
      </c>
      <c r="H96" t="str">
        <f>IF(A96="","",IFERROR(VLOOKUP(A96,Deal!$A:$K,9,0),""))</f>
        <v/>
      </c>
      <c r="I96" s="6" t="str">
        <f>IF(A96="","",IFERROR(VLOOKUP(A96,Deal!$A:$K,7,0),""))</f>
        <v/>
      </c>
      <c r="J96" s="12"/>
      <c r="K96" s="13"/>
      <c r="L96" s="13"/>
      <c r="M96" s="13"/>
      <c r="N96" s="12"/>
      <c r="O96" s="14"/>
      <c r="P96" s="12"/>
      <c r="Q96" s="12"/>
    </row>
    <row r="97" spans="1:17" ht="15" customHeight="1" x14ac:dyDescent="0.35">
      <c r="A97" s="12"/>
      <c r="B97" s="10" t="str">
        <f>IF(A97="","",IFERROR(IF(VLOOKUP(A97,Deal!$A:$K,8,0)="Win","✅ Win – Proceed","⚠ Stage: "&amp;VLOOKUP(A97,Deal!$A:$K,8,0)),"❌ Deal ID Not Found"))</f>
        <v/>
      </c>
      <c r="C97" t="str">
        <f>IF(A97="","",IFERROR(VLOOKUP(A97,Deal!$A:$K,2,0),""))</f>
        <v/>
      </c>
      <c r="D97" t="str">
        <f>IF(A97="","",IFERROR(VLOOKUP(A97,Deal!$A:$K,3,0),""))</f>
        <v/>
      </c>
      <c r="E97" t="str">
        <f>IF(A97="","",IFERROR(VLOOKUP(A97,Deal!$A:$K,4,0),""))</f>
        <v/>
      </c>
      <c r="F97" t="str">
        <f>IF(A97="","",IFERROR(VLOOKUP(A97,Enquiry!$A:$K,6,0),"— Enter manually"))</f>
        <v/>
      </c>
      <c r="G97" s="9" t="str">
        <f>IF(A97="","",IFERROR(VLOOKUP(A97,Deal!$A:$K,6,0),0))</f>
        <v/>
      </c>
      <c r="H97" t="str">
        <f>IF(A97="","",IFERROR(VLOOKUP(A97,Deal!$A:$K,9,0),""))</f>
        <v/>
      </c>
      <c r="I97" s="6" t="str">
        <f>IF(A97="","",IFERROR(VLOOKUP(A97,Deal!$A:$K,7,0),""))</f>
        <v/>
      </c>
      <c r="J97" s="12"/>
      <c r="K97" s="13"/>
      <c r="L97" s="13"/>
      <c r="M97" s="13"/>
      <c r="N97" s="12"/>
      <c r="O97" s="14"/>
      <c r="P97" s="12"/>
      <c r="Q97" s="12"/>
    </row>
    <row r="98" spans="1:17" ht="15" customHeight="1" x14ac:dyDescent="0.35">
      <c r="A98" s="12"/>
      <c r="B98" s="10" t="str">
        <f>IF(A98="","",IFERROR(IF(VLOOKUP(A98,Deal!$A:$K,8,0)="Win","✅ Win – Proceed","⚠ Stage: "&amp;VLOOKUP(A98,Deal!$A:$K,8,0)),"❌ Deal ID Not Found"))</f>
        <v/>
      </c>
      <c r="C98" t="str">
        <f>IF(A98="","",IFERROR(VLOOKUP(A98,Deal!$A:$K,2,0),""))</f>
        <v/>
      </c>
      <c r="D98" t="str">
        <f>IF(A98="","",IFERROR(VLOOKUP(A98,Deal!$A:$K,3,0),""))</f>
        <v/>
      </c>
      <c r="E98" t="str">
        <f>IF(A98="","",IFERROR(VLOOKUP(A98,Deal!$A:$K,4,0),""))</f>
        <v/>
      </c>
      <c r="F98" t="str">
        <f>IF(A98="","",IFERROR(VLOOKUP(A98,Enquiry!$A:$K,6,0),"— Enter manually"))</f>
        <v/>
      </c>
      <c r="G98" s="9" t="str">
        <f>IF(A98="","",IFERROR(VLOOKUP(A98,Deal!$A:$K,6,0),0))</f>
        <v/>
      </c>
      <c r="H98" t="str">
        <f>IF(A98="","",IFERROR(VLOOKUP(A98,Deal!$A:$K,9,0),""))</f>
        <v/>
      </c>
      <c r="I98" s="6" t="str">
        <f>IF(A98="","",IFERROR(VLOOKUP(A98,Deal!$A:$K,7,0),""))</f>
        <v/>
      </c>
      <c r="J98" s="12"/>
      <c r="K98" s="13"/>
      <c r="L98" s="13"/>
      <c r="M98" s="13"/>
      <c r="N98" s="12"/>
      <c r="O98" s="14"/>
      <c r="P98" s="12"/>
      <c r="Q98" s="12"/>
    </row>
    <row r="99" spans="1:17" ht="15" customHeight="1" x14ac:dyDescent="0.35">
      <c r="A99" s="12"/>
      <c r="B99" s="10" t="str">
        <f>IF(A99="","",IFERROR(IF(VLOOKUP(A99,Deal!$A:$K,8,0)="Win","✅ Win – Proceed","⚠ Stage: "&amp;VLOOKUP(A99,Deal!$A:$K,8,0)),"❌ Deal ID Not Found"))</f>
        <v/>
      </c>
      <c r="C99" t="str">
        <f>IF(A99="","",IFERROR(VLOOKUP(A99,Deal!$A:$K,2,0),""))</f>
        <v/>
      </c>
      <c r="D99" t="str">
        <f>IF(A99="","",IFERROR(VLOOKUP(A99,Deal!$A:$K,3,0),""))</f>
        <v/>
      </c>
      <c r="E99" t="str">
        <f>IF(A99="","",IFERROR(VLOOKUP(A99,Deal!$A:$K,4,0),""))</f>
        <v/>
      </c>
      <c r="F99" t="str">
        <f>IF(A99="","",IFERROR(VLOOKUP(A99,Enquiry!$A:$K,6,0),"— Enter manually"))</f>
        <v/>
      </c>
      <c r="G99" s="9" t="str">
        <f>IF(A99="","",IFERROR(VLOOKUP(A99,Deal!$A:$K,6,0),0))</f>
        <v/>
      </c>
      <c r="H99" t="str">
        <f>IF(A99="","",IFERROR(VLOOKUP(A99,Deal!$A:$K,9,0),""))</f>
        <v/>
      </c>
      <c r="I99" s="6" t="str">
        <f>IF(A99="","",IFERROR(VLOOKUP(A99,Deal!$A:$K,7,0),""))</f>
        <v/>
      </c>
      <c r="J99" s="12"/>
      <c r="K99" s="13"/>
      <c r="L99" s="13"/>
      <c r="M99" s="13"/>
      <c r="N99" s="12"/>
      <c r="O99" s="14"/>
      <c r="P99" s="12"/>
      <c r="Q99" s="12"/>
    </row>
    <row r="100" spans="1:17" ht="15" customHeight="1" x14ac:dyDescent="0.35">
      <c r="A100" s="12"/>
      <c r="B100" s="10" t="str">
        <f>IF(A100="","",IFERROR(IF(VLOOKUP(A100,Deal!$A:$K,8,0)="Win","✅ Win – Proceed","⚠ Stage: "&amp;VLOOKUP(A100,Deal!$A:$K,8,0)),"❌ Deal ID Not Found"))</f>
        <v/>
      </c>
      <c r="C100" t="str">
        <f>IF(A100="","",IFERROR(VLOOKUP(A100,Deal!$A:$K,2,0),""))</f>
        <v/>
      </c>
      <c r="D100" t="str">
        <f>IF(A100="","",IFERROR(VLOOKUP(A100,Deal!$A:$K,3,0),""))</f>
        <v/>
      </c>
      <c r="E100" t="str">
        <f>IF(A100="","",IFERROR(VLOOKUP(A100,Deal!$A:$K,4,0),""))</f>
        <v/>
      </c>
      <c r="F100" t="str">
        <f>IF(A100="","",IFERROR(VLOOKUP(A100,Enquiry!$A:$K,6,0),"— Enter manually"))</f>
        <v/>
      </c>
      <c r="G100" s="9" t="str">
        <f>IF(A100="","",IFERROR(VLOOKUP(A100,Deal!$A:$K,6,0),0))</f>
        <v/>
      </c>
      <c r="H100" t="str">
        <f>IF(A100="","",IFERROR(VLOOKUP(A100,Deal!$A:$K,9,0),""))</f>
        <v/>
      </c>
      <c r="I100" s="6" t="str">
        <f>IF(A100="","",IFERROR(VLOOKUP(A100,Deal!$A:$K,7,0),""))</f>
        <v/>
      </c>
      <c r="J100" s="12"/>
      <c r="K100" s="13"/>
      <c r="L100" s="13"/>
      <c r="M100" s="13"/>
      <c r="N100" s="12"/>
      <c r="O100" s="14"/>
      <c r="P100" s="12"/>
      <c r="Q100" s="12"/>
    </row>
    <row r="101" spans="1:17" ht="15" customHeight="1" x14ac:dyDescent="0.35">
      <c r="A101" s="12"/>
      <c r="B101" s="10" t="str">
        <f>IF(A101="","",IFERROR(IF(VLOOKUP(A101,Deal!$A:$K,8,0)="Win","✅ Win – Proceed","⚠ Stage: "&amp;VLOOKUP(A101,Deal!$A:$K,8,0)),"❌ Deal ID Not Found"))</f>
        <v/>
      </c>
      <c r="C101" t="str">
        <f>IF(A101="","",IFERROR(VLOOKUP(A101,Deal!$A:$K,2,0),""))</f>
        <v/>
      </c>
      <c r="D101" t="str">
        <f>IF(A101="","",IFERROR(VLOOKUP(A101,Deal!$A:$K,3,0),""))</f>
        <v/>
      </c>
      <c r="E101" t="str">
        <f>IF(A101="","",IFERROR(VLOOKUP(A101,Deal!$A:$K,4,0),""))</f>
        <v/>
      </c>
      <c r="F101" t="str">
        <f>IF(A101="","",IFERROR(VLOOKUP(A101,Enquiry!$A:$K,6,0),"— Enter manually"))</f>
        <v/>
      </c>
      <c r="G101" s="9" t="str">
        <f>IF(A101="","",IFERROR(VLOOKUP(A101,Deal!$A:$K,6,0),0))</f>
        <v/>
      </c>
      <c r="H101" t="str">
        <f>IF(A101="","",IFERROR(VLOOKUP(A101,Deal!$A:$K,9,0),""))</f>
        <v/>
      </c>
      <c r="I101" s="6" t="str">
        <f>IF(A101="","",IFERROR(VLOOKUP(A101,Deal!$A:$K,7,0),""))</f>
        <v/>
      </c>
      <c r="J101" s="12"/>
      <c r="K101" s="13"/>
      <c r="L101" s="13"/>
      <c r="M101" s="13"/>
      <c r="N101" s="12"/>
      <c r="O101" s="14"/>
      <c r="P101" s="12"/>
      <c r="Q101" s="12"/>
    </row>
    <row r="102" spans="1:17" ht="15" customHeight="1" x14ac:dyDescent="0.35">
      <c r="A102" s="12"/>
      <c r="B102" s="10" t="str">
        <f>IF(A102="","",IFERROR(IF(VLOOKUP(A102,Deal!$A:$K,8,0)="Win","✅ Win – Proceed","⚠ Stage: "&amp;VLOOKUP(A102,Deal!$A:$K,8,0)),"❌ Deal ID Not Found"))</f>
        <v/>
      </c>
      <c r="C102" t="str">
        <f>IF(A102="","",IFERROR(VLOOKUP(A102,Deal!$A:$K,2,0),""))</f>
        <v/>
      </c>
      <c r="D102" t="str">
        <f>IF(A102="","",IFERROR(VLOOKUP(A102,Deal!$A:$K,3,0),""))</f>
        <v/>
      </c>
      <c r="E102" t="str">
        <f>IF(A102="","",IFERROR(VLOOKUP(A102,Deal!$A:$K,4,0),""))</f>
        <v/>
      </c>
      <c r="F102" t="str">
        <f>IF(A102="","",IFERROR(VLOOKUP(A102,Enquiry!$A:$K,6,0),"— Enter manually"))</f>
        <v/>
      </c>
      <c r="G102" s="9" t="str">
        <f>IF(A102="","",IFERROR(VLOOKUP(A102,Deal!$A:$K,6,0),0))</f>
        <v/>
      </c>
      <c r="H102" t="str">
        <f>IF(A102="","",IFERROR(VLOOKUP(A102,Deal!$A:$K,9,0),""))</f>
        <v/>
      </c>
      <c r="I102" s="6" t="str">
        <f>IF(A102="","",IFERROR(VLOOKUP(A102,Deal!$A:$K,7,0),""))</f>
        <v/>
      </c>
      <c r="J102" s="12"/>
      <c r="K102" s="13"/>
      <c r="L102" s="13"/>
      <c r="M102" s="13"/>
      <c r="N102" s="12"/>
      <c r="O102" s="14"/>
      <c r="P102" s="12"/>
      <c r="Q102" s="12"/>
    </row>
    <row r="103" spans="1:17" ht="15" customHeight="1" x14ac:dyDescent="0.35">
      <c r="A103" s="12"/>
      <c r="B103" s="10" t="str">
        <f>IF(A103="","",IFERROR(IF(VLOOKUP(A103,Deal!$A:$K,8,0)="Win","✅ Win – Proceed","⚠ Stage: "&amp;VLOOKUP(A103,Deal!$A:$K,8,0)),"❌ Deal ID Not Found"))</f>
        <v/>
      </c>
      <c r="C103" t="str">
        <f>IF(A103="","",IFERROR(VLOOKUP(A103,Deal!$A:$K,2,0),""))</f>
        <v/>
      </c>
      <c r="D103" t="str">
        <f>IF(A103="","",IFERROR(VLOOKUP(A103,Deal!$A:$K,3,0),""))</f>
        <v/>
      </c>
      <c r="E103" t="str">
        <f>IF(A103="","",IFERROR(VLOOKUP(A103,Deal!$A:$K,4,0),""))</f>
        <v/>
      </c>
      <c r="F103" t="str">
        <f>IF(A103="","",IFERROR(VLOOKUP(A103,Enquiry!$A:$K,6,0),"— Enter manually"))</f>
        <v/>
      </c>
      <c r="G103" s="9" t="str">
        <f>IF(A103="","",IFERROR(VLOOKUP(A103,Deal!$A:$K,6,0),0))</f>
        <v/>
      </c>
      <c r="H103" t="str">
        <f>IF(A103="","",IFERROR(VLOOKUP(A103,Deal!$A:$K,9,0),""))</f>
        <v/>
      </c>
      <c r="I103" s="6" t="str">
        <f>IF(A103="","",IFERROR(VLOOKUP(A103,Deal!$A:$K,7,0),""))</f>
        <v/>
      </c>
      <c r="J103" s="12"/>
      <c r="K103" s="13"/>
      <c r="L103" s="13"/>
      <c r="M103" s="13"/>
      <c r="N103" s="12"/>
      <c r="O103" s="14"/>
      <c r="P103" s="12"/>
      <c r="Q103" s="12"/>
    </row>
    <row r="104" spans="1:17" ht="15" customHeight="1" x14ac:dyDescent="0.35">
      <c r="A104" s="12"/>
      <c r="B104" s="10" t="str">
        <f>IF(A104="","",IFERROR(IF(VLOOKUP(A104,Deal!$A:$K,8,0)="Win","✅ Win – Proceed","⚠ Stage: "&amp;VLOOKUP(A104,Deal!$A:$K,8,0)),"❌ Deal ID Not Found"))</f>
        <v/>
      </c>
      <c r="C104" t="str">
        <f>IF(A104="","",IFERROR(VLOOKUP(A104,Deal!$A:$K,2,0),""))</f>
        <v/>
      </c>
      <c r="D104" t="str">
        <f>IF(A104="","",IFERROR(VLOOKUP(A104,Deal!$A:$K,3,0),""))</f>
        <v/>
      </c>
      <c r="E104" t="str">
        <f>IF(A104="","",IFERROR(VLOOKUP(A104,Deal!$A:$K,4,0),""))</f>
        <v/>
      </c>
      <c r="F104" t="str">
        <f>IF(A104="","",IFERROR(VLOOKUP(A104,Enquiry!$A:$K,6,0),"— Enter manually"))</f>
        <v/>
      </c>
      <c r="G104" s="9" t="str">
        <f>IF(A104="","",IFERROR(VLOOKUP(A104,Deal!$A:$K,6,0),0))</f>
        <v/>
      </c>
      <c r="H104" t="str">
        <f>IF(A104="","",IFERROR(VLOOKUP(A104,Deal!$A:$K,9,0),""))</f>
        <v/>
      </c>
      <c r="I104" s="6" t="str">
        <f>IF(A104="","",IFERROR(VLOOKUP(A104,Deal!$A:$K,7,0),""))</f>
        <v/>
      </c>
      <c r="J104" s="12"/>
      <c r="K104" s="13"/>
      <c r="L104" s="13"/>
      <c r="M104" s="13"/>
      <c r="N104" s="12"/>
      <c r="O104" s="14"/>
      <c r="P104" s="12"/>
      <c r="Q104" s="12"/>
    </row>
    <row r="105" spans="1:17" ht="15" customHeight="1" x14ac:dyDescent="0.35">
      <c r="A105" s="12"/>
      <c r="B105" s="10" t="str">
        <f>IF(A105="","",IFERROR(IF(VLOOKUP(A105,Deal!$A:$K,8,0)="Win","✅ Win – Proceed","⚠ Stage: "&amp;VLOOKUP(A105,Deal!$A:$K,8,0)),"❌ Deal ID Not Found"))</f>
        <v/>
      </c>
      <c r="C105" t="str">
        <f>IF(A105="","",IFERROR(VLOOKUP(A105,Deal!$A:$K,2,0),""))</f>
        <v/>
      </c>
      <c r="D105" t="str">
        <f>IF(A105="","",IFERROR(VLOOKUP(A105,Deal!$A:$K,3,0),""))</f>
        <v/>
      </c>
      <c r="E105" t="str">
        <f>IF(A105="","",IFERROR(VLOOKUP(A105,Deal!$A:$K,4,0),""))</f>
        <v/>
      </c>
      <c r="F105" t="str">
        <f>IF(A105="","",IFERROR(VLOOKUP(A105,Enquiry!$A:$K,6,0),"— Enter manually"))</f>
        <v/>
      </c>
      <c r="G105" s="9" t="str">
        <f>IF(A105="","",IFERROR(VLOOKUP(A105,Deal!$A:$K,6,0),0))</f>
        <v/>
      </c>
      <c r="H105" t="str">
        <f>IF(A105="","",IFERROR(VLOOKUP(A105,Deal!$A:$K,9,0),""))</f>
        <v/>
      </c>
      <c r="I105" s="6" t="str">
        <f>IF(A105="","",IFERROR(VLOOKUP(A105,Deal!$A:$K,7,0),""))</f>
        <v/>
      </c>
      <c r="J105" s="12"/>
      <c r="K105" s="13"/>
      <c r="L105" s="13"/>
      <c r="M105" s="13"/>
      <c r="N105" s="12"/>
      <c r="O105" s="14"/>
      <c r="P105" s="12"/>
      <c r="Q105" s="12"/>
    </row>
    <row r="106" spans="1:17" ht="15" customHeight="1" x14ac:dyDescent="0.35">
      <c r="A106" s="12"/>
      <c r="B106" s="10" t="str">
        <f>IF(A106="","",IFERROR(IF(VLOOKUP(A106,Deal!$A:$K,8,0)="Win","✅ Win – Proceed","⚠ Stage: "&amp;VLOOKUP(A106,Deal!$A:$K,8,0)),"❌ Deal ID Not Found"))</f>
        <v/>
      </c>
      <c r="C106" t="str">
        <f>IF(A106="","",IFERROR(VLOOKUP(A106,Deal!$A:$K,2,0),""))</f>
        <v/>
      </c>
      <c r="D106" t="str">
        <f>IF(A106="","",IFERROR(VLOOKUP(A106,Deal!$A:$K,3,0),""))</f>
        <v/>
      </c>
      <c r="E106" t="str">
        <f>IF(A106="","",IFERROR(VLOOKUP(A106,Deal!$A:$K,4,0),""))</f>
        <v/>
      </c>
      <c r="F106" t="str">
        <f>IF(A106="","",IFERROR(VLOOKUP(A106,Enquiry!$A:$K,6,0),"— Enter manually"))</f>
        <v/>
      </c>
      <c r="G106" s="9" t="str">
        <f>IF(A106="","",IFERROR(VLOOKUP(A106,Deal!$A:$K,6,0),0))</f>
        <v/>
      </c>
      <c r="H106" t="str">
        <f>IF(A106="","",IFERROR(VLOOKUP(A106,Deal!$A:$K,9,0),""))</f>
        <v/>
      </c>
      <c r="I106" s="6" t="str">
        <f>IF(A106="","",IFERROR(VLOOKUP(A106,Deal!$A:$K,7,0),""))</f>
        <v/>
      </c>
      <c r="J106" s="12"/>
      <c r="K106" s="13"/>
      <c r="L106" s="13"/>
      <c r="M106" s="13"/>
      <c r="N106" s="12"/>
      <c r="O106" s="14"/>
      <c r="P106" s="12"/>
      <c r="Q106" s="12"/>
    </row>
    <row r="107" spans="1:17" ht="15" customHeight="1" x14ac:dyDescent="0.35">
      <c r="A107" s="12"/>
      <c r="B107" s="10" t="str">
        <f>IF(A107="","",IFERROR(IF(VLOOKUP(A107,Deal!$A:$K,8,0)="Win","✅ Win – Proceed","⚠ Stage: "&amp;VLOOKUP(A107,Deal!$A:$K,8,0)),"❌ Deal ID Not Found"))</f>
        <v/>
      </c>
      <c r="C107" t="str">
        <f>IF(A107="","",IFERROR(VLOOKUP(A107,Deal!$A:$K,2,0),""))</f>
        <v/>
      </c>
      <c r="D107" t="str">
        <f>IF(A107="","",IFERROR(VLOOKUP(A107,Deal!$A:$K,3,0),""))</f>
        <v/>
      </c>
      <c r="E107" t="str">
        <f>IF(A107="","",IFERROR(VLOOKUP(A107,Deal!$A:$K,4,0),""))</f>
        <v/>
      </c>
      <c r="F107" t="str">
        <f>IF(A107="","",IFERROR(VLOOKUP(A107,Enquiry!$A:$K,6,0),"— Enter manually"))</f>
        <v/>
      </c>
      <c r="G107" s="9" t="str">
        <f>IF(A107="","",IFERROR(VLOOKUP(A107,Deal!$A:$K,6,0),0))</f>
        <v/>
      </c>
      <c r="H107" t="str">
        <f>IF(A107="","",IFERROR(VLOOKUP(A107,Deal!$A:$K,9,0),""))</f>
        <v/>
      </c>
      <c r="I107" s="6" t="str">
        <f>IF(A107="","",IFERROR(VLOOKUP(A107,Deal!$A:$K,7,0),""))</f>
        <v/>
      </c>
      <c r="J107" s="12"/>
      <c r="K107" s="13"/>
      <c r="L107" s="13"/>
      <c r="M107" s="13"/>
      <c r="N107" s="12"/>
      <c r="O107" s="14"/>
      <c r="P107" s="12"/>
      <c r="Q107" s="12"/>
    </row>
    <row r="108" spans="1:17" ht="15" customHeight="1" x14ac:dyDescent="0.35">
      <c r="A108" s="12"/>
      <c r="B108" s="10" t="str">
        <f>IF(A108="","",IFERROR(IF(VLOOKUP(A108,Deal!$A:$K,8,0)="Win","✅ Win – Proceed","⚠ Stage: "&amp;VLOOKUP(A108,Deal!$A:$K,8,0)),"❌ Deal ID Not Found"))</f>
        <v/>
      </c>
      <c r="C108" t="str">
        <f>IF(A108="","",IFERROR(VLOOKUP(A108,Deal!$A:$K,2,0),""))</f>
        <v/>
      </c>
      <c r="D108" t="str">
        <f>IF(A108="","",IFERROR(VLOOKUP(A108,Deal!$A:$K,3,0),""))</f>
        <v/>
      </c>
      <c r="E108" t="str">
        <f>IF(A108="","",IFERROR(VLOOKUP(A108,Deal!$A:$K,4,0),""))</f>
        <v/>
      </c>
      <c r="F108" t="str">
        <f>IF(A108="","",IFERROR(VLOOKUP(A108,Enquiry!$A:$K,6,0),"— Enter manually"))</f>
        <v/>
      </c>
      <c r="G108" s="9" t="str">
        <f>IF(A108="","",IFERROR(VLOOKUP(A108,Deal!$A:$K,6,0),0))</f>
        <v/>
      </c>
      <c r="H108" t="str">
        <f>IF(A108="","",IFERROR(VLOOKUP(A108,Deal!$A:$K,9,0),""))</f>
        <v/>
      </c>
      <c r="I108" s="6" t="str">
        <f>IF(A108="","",IFERROR(VLOOKUP(A108,Deal!$A:$K,7,0),""))</f>
        <v/>
      </c>
      <c r="J108" s="12"/>
      <c r="K108" s="13"/>
      <c r="L108" s="13"/>
      <c r="M108" s="13"/>
      <c r="N108" s="12"/>
      <c r="O108" s="14"/>
      <c r="P108" s="12"/>
      <c r="Q108" s="12"/>
    </row>
    <row r="109" spans="1:17" ht="15" customHeight="1" x14ac:dyDescent="0.35">
      <c r="A109" s="12"/>
      <c r="B109" s="10" t="str">
        <f>IF(A109="","",IFERROR(IF(VLOOKUP(A109,Deal!$A:$K,8,0)="Win","✅ Win – Proceed","⚠ Stage: "&amp;VLOOKUP(A109,Deal!$A:$K,8,0)),"❌ Deal ID Not Found"))</f>
        <v/>
      </c>
      <c r="C109" t="str">
        <f>IF(A109="","",IFERROR(VLOOKUP(A109,Deal!$A:$K,2,0),""))</f>
        <v/>
      </c>
      <c r="D109" t="str">
        <f>IF(A109="","",IFERROR(VLOOKUP(A109,Deal!$A:$K,3,0),""))</f>
        <v/>
      </c>
      <c r="E109" t="str">
        <f>IF(A109="","",IFERROR(VLOOKUP(A109,Deal!$A:$K,4,0),""))</f>
        <v/>
      </c>
      <c r="F109" t="str">
        <f>IF(A109="","",IFERROR(VLOOKUP(A109,Enquiry!$A:$K,6,0),"— Enter manually"))</f>
        <v/>
      </c>
      <c r="G109" s="9" t="str">
        <f>IF(A109="","",IFERROR(VLOOKUP(A109,Deal!$A:$K,6,0),0))</f>
        <v/>
      </c>
      <c r="H109" t="str">
        <f>IF(A109="","",IFERROR(VLOOKUP(A109,Deal!$A:$K,9,0),""))</f>
        <v/>
      </c>
      <c r="I109" s="6" t="str">
        <f>IF(A109="","",IFERROR(VLOOKUP(A109,Deal!$A:$K,7,0),""))</f>
        <v/>
      </c>
      <c r="J109" s="12"/>
      <c r="K109" s="13"/>
      <c r="L109" s="13"/>
      <c r="M109" s="13"/>
      <c r="N109" s="12"/>
      <c r="O109" s="14"/>
      <c r="P109" s="12"/>
      <c r="Q109" s="12"/>
    </row>
    <row r="110" spans="1:17" ht="15" customHeight="1" x14ac:dyDescent="0.35">
      <c r="A110" s="12"/>
      <c r="B110" s="10" t="str">
        <f>IF(A110="","",IFERROR(IF(VLOOKUP(A110,Deal!$A:$K,8,0)="Win","✅ Win – Proceed","⚠ Stage: "&amp;VLOOKUP(A110,Deal!$A:$K,8,0)),"❌ Deal ID Not Found"))</f>
        <v/>
      </c>
      <c r="C110" t="str">
        <f>IF(A110="","",IFERROR(VLOOKUP(A110,Deal!$A:$K,2,0),""))</f>
        <v/>
      </c>
      <c r="D110" t="str">
        <f>IF(A110="","",IFERROR(VLOOKUP(A110,Deal!$A:$K,3,0),""))</f>
        <v/>
      </c>
      <c r="E110" t="str">
        <f>IF(A110="","",IFERROR(VLOOKUP(A110,Deal!$A:$K,4,0),""))</f>
        <v/>
      </c>
      <c r="F110" t="str">
        <f>IF(A110="","",IFERROR(VLOOKUP(A110,Enquiry!$A:$K,6,0),"— Enter manually"))</f>
        <v/>
      </c>
      <c r="G110" s="9" t="str">
        <f>IF(A110="","",IFERROR(VLOOKUP(A110,Deal!$A:$K,6,0),0))</f>
        <v/>
      </c>
      <c r="H110" t="str">
        <f>IF(A110="","",IFERROR(VLOOKUP(A110,Deal!$A:$K,9,0),""))</f>
        <v/>
      </c>
      <c r="I110" s="6" t="str">
        <f>IF(A110="","",IFERROR(VLOOKUP(A110,Deal!$A:$K,7,0),""))</f>
        <v/>
      </c>
      <c r="J110" s="12"/>
      <c r="K110" s="13"/>
      <c r="L110" s="13"/>
      <c r="M110" s="13"/>
      <c r="N110" s="12"/>
      <c r="O110" s="14"/>
      <c r="P110" s="12"/>
      <c r="Q110" s="12"/>
    </row>
    <row r="111" spans="1:17" ht="15" customHeight="1" x14ac:dyDescent="0.35">
      <c r="A111" s="12"/>
      <c r="B111" s="10" t="str">
        <f>IF(A111="","",IFERROR(IF(VLOOKUP(A111,Deal!$A:$K,8,0)="Win","✅ Win – Proceed","⚠ Stage: "&amp;VLOOKUP(A111,Deal!$A:$K,8,0)),"❌ Deal ID Not Found"))</f>
        <v/>
      </c>
      <c r="C111" t="str">
        <f>IF(A111="","",IFERROR(VLOOKUP(A111,Deal!$A:$K,2,0),""))</f>
        <v/>
      </c>
      <c r="D111" t="str">
        <f>IF(A111="","",IFERROR(VLOOKUP(A111,Deal!$A:$K,3,0),""))</f>
        <v/>
      </c>
      <c r="E111" t="str">
        <f>IF(A111="","",IFERROR(VLOOKUP(A111,Deal!$A:$K,4,0),""))</f>
        <v/>
      </c>
      <c r="F111" t="str">
        <f>IF(A111="","",IFERROR(VLOOKUP(A111,Enquiry!$A:$K,6,0),"— Enter manually"))</f>
        <v/>
      </c>
      <c r="G111" s="9" t="str">
        <f>IF(A111="","",IFERROR(VLOOKUP(A111,Deal!$A:$K,6,0),0))</f>
        <v/>
      </c>
      <c r="H111" t="str">
        <f>IF(A111="","",IFERROR(VLOOKUP(A111,Deal!$A:$K,9,0),""))</f>
        <v/>
      </c>
      <c r="I111" s="6" t="str">
        <f>IF(A111="","",IFERROR(VLOOKUP(A111,Deal!$A:$K,7,0),""))</f>
        <v/>
      </c>
      <c r="J111" s="12"/>
      <c r="K111" s="13"/>
      <c r="L111" s="13"/>
      <c r="M111" s="13"/>
      <c r="N111" s="12"/>
      <c r="O111" s="14"/>
      <c r="P111" s="12"/>
      <c r="Q111" s="12"/>
    </row>
    <row r="112" spans="1:17" ht="15" customHeight="1" x14ac:dyDescent="0.35">
      <c r="A112" s="12"/>
      <c r="B112" s="10" t="str">
        <f>IF(A112="","",IFERROR(IF(VLOOKUP(A112,Deal!$A:$K,8,0)="Win","✅ Win – Proceed","⚠ Stage: "&amp;VLOOKUP(A112,Deal!$A:$K,8,0)),"❌ Deal ID Not Found"))</f>
        <v/>
      </c>
      <c r="C112" t="str">
        <f>IF(A112="","",IFERROR(VLOOKUP(A112,Deal!$A:$K,2,0),""))</f>
        <v/>
      </c>
      <c r="D112" t="str">
        <f>IF(A112="","",IFERROR(VLOOKUP(A112,Deal!$A:$K,3,0),""))</f>
        <v/>
      </c>
      <c r="E112" t="str">
        <f>IF(A112="","",IFERROR(VLOOKUP(A112,Deal!$A:$K,4,0),""))</f>
        <v/>
      </c>
      <c r="F112" t="str">
        <f>IF(A112="","",IFERROR(VLOOKUP(A112,Enquiry!$A:$K,6,0),"— Enter manually"))</f>
        <v/>
      </c>
      <c r="G112" s="9" t="str">
        <f>IF(A112="","",IFERROR(VLOOKUP(A112,Deal!$A:$K,6,0),0))</f>
        <v/>
      </c>
      <c r="H112" t="str">
        <f>IF(A112="","",IFERROR(VLOOKUP(A112,Deal!$A:$K,9,0),""))</f>
        <v/>
      </c>
      <c r="I112" s="6" t="str">
        <f>IF(A112="","",IFERROR(VLOOKUP(A112,Deal!$A:$K,7,0),""))</f>
        <v/>
      </c>
      <c r="J112" s="12"/>
      <c r="K112" s="13"/>
      <c r="L112" s="13"/>
      <c r="M112" s="13"/>
      <c r="N112" s="12"/>
      <c r="O112" s="14"/>
      <c r="P112" s="12"/>
      <c r="Q112" s="12"/>
    </row>
    <row r="113" spans="1:17" ht="15" customHeight="1" x14ac:dyDescent="0.35">
      <c r="A113" s="12"/>
      <c r="B113" s="10" t="str">
        <f>IF(A113="","",IFERROR(IF(VLOOKUP(A113,Deal!$A:$K,8,0)="Win","✅ Win – Proceed","⚠ Stage: "&amp;VLOOKUP(A113,Deal!$A:$K,8,0)),"❌ Deal ID Not Found"))</f>
        <v/>
      </c>
      <c r="C113" t="str">
        <f>IF(A113="","",IFERROR(VLOOKUP(A113,Deal!$A:$K,2,0),""))</f>
        <v/>
      </c>
      <c r="D113" t="str">
        <f>IF(A113="","",IFERROR(VLOOKUP(A113,Deal!$A:$K,3,0),""))</f>
        <v/>
      </c>
      <c r="E113" t="str">
        <f>IF(A113="","",IFERROR(VLOOKUP(A113,Deal!$A:$K,4,0),""))</f>
        <v/>
      </c>
      <c r="F113" t="str">
        <f>IF(A113="","",IFERROR(VLOOKUP(A113,Enquiry!$A:$K,6,0),"— Enter manually"))</f>
        <v/>
      </c>
      <c r="G113" s="9" t="str">
        <f>IF(A113="","",IFERROR(VLOOKUP(A113,Deal!$A:$K,6,0),0))</f>
        <v/>
      </c>
      <c r="H113" t="str">
        <f>IF(A113="","",IFERROR(VLOOKUP(A113,Deal!$A:$K,9,0),""))</f>
        <v/>
      </c>
      <c r="I113" s="6" t="str">
        <f>IF(A113="","",IFERROR(VLOOKUP(A113,Deal!$A:$K,7,0),""))</f>
        <v/>
      </c>
      <c r="J113" s="12"/>
      <c r="K113" s="13"/>
      <c r="L113" s="13"/>
      <c r="M113" s="13"/>
      <c r="N113" s="12"/>
      <c r="O113" s="14"/>
      <c r="P113" s="12"/>
      <c r="Q113" s="12"/>
    </row>
    <row r="114" spans="1:17" ht="15" customHeight="1" x14ac:dyDescent="0.35">
      <c r="A114" s="12"/>
      <c r="B114" s="10" t="str">
        <f>IF(A114="","",IFERROR(IF(VLOOKUP(A114,Deal!$A:$K,8,0)="Win","✅ Win – Proceed","⚠ Stage: "&amp;VLOOKUP(A114,Deal!$A:$K,8,0)),"❌ Deal ID Not Found"))</f>
        <v/>
      </c>
      <c r="C114" t="str">
        <f>IF(A114="","",IFERROR(VLOOKUP(A114,Deal!$A:$K,2,0),""))</f>
        <v/>
      </c>
      <c r="D114" t="str">
        <f>IF(A114="","",IFERROR(VLOOKUP(A114,Deal!$A:$K,3,0),""))</f>
        <v/>
      </c>
      <c r="E114" t="str">
        <f>IF(A114="","",IFERROR(VLOOKUP(A114,Deal!$A:$K,4,0),""))</f>
        <v/>
      </c>
      <c r="F114" t="str">
        <f>IF(A114="","",IFERROR(VLOOKUP(A114,Enquiry!$A:$K,6,0),"— Enter manually"))</f>
        <v/>
      </c>
      <c r="G114" s="9" t="str">
        <f>IF(A114="","",IFERROR(VLOOKUP(A114,Deal!$A:$K,6,0),0))</f>
        <v/>
      </c>
      <c r="H114" t="str">
        <f>IF(A114="","",IFERROR(VLOOKUP(A114,Deal!$A:$K,9,0),""))</f>
        <v/>
      </c>
      <c r="I114" s="6" t="str">
        <f>IF(A114="","",IFERROR(VLOOKUP(A114,Deal!$A:$K,7,0),""))</f>
        <v/>
      </c>
      <c r="J114" s="12"/>
      <c r="K114" s="13"/>
      <c r="L114" s="13"/>
      <c r="M114" s="13"/>
      <c r="N114" s="12"/>
      <c r="O114" s="14"/>
      <c r="P114" s="12"/>
      <c r="Q114" s="12"/>
    </row>
    <row r="115" spans="1:17" ht="15" customHeight="1" x14ac:dyDescent="0.35">
      <c r="A115" s="12"/>
      <c r="B115" s="10" t="str">
        <f>IF(A115="","",IFERROR(IF(VLOOKUP(A115,Deal!$A:$K,8,0)="Win","✅ Win – Proceed","⚠ Stage: "&amp;VLOOKUP(A115,Deal!$A:$K,8,0)),"❌ Deal ID Not Found"))</f>
        <v/>
      </c>
      <c r="C115" t="str">
        <f>IF(A115="","",IFERROR(VLOOKUP(A115,Deal!$A:$K,2,0),""))</f>
        <v/>
      </c>
      <c r="D115" t="str">
        <f>IF(A115="","",IFERROR(VLOOKUP(A115,Deal!$A:$K,3,0),""))</f>
        <v/>
      </c>
      <c r="E115" t="str">
        <f>IF(A115="","",IFERROR(VLOOKUP(A115,Deal!$A:$K,4,0),""))</f>
        <v/>
      </c>
      <c r="F115" t="str">
        <f>IF(A115="","",IFERROR(VLOOKUP(A115,Enquiry!$A:$K,6,0),"— Enter manually"))</f>
        <v/>
      </c>
      <c r="G115" s="9" t="str">
        <f>IF(A115="","",IFERROR(VLOOKUP(A115,Deal!$A:$K,6,0),0))</f>
        <v/>
      </c>
      <c r="H115" t="str">
        <f>IF(A115="","",IFERROR(VLOOKUP(A115,Deal!$A:$K,9,0),""))</f>
        <v/>
      </c>
      <c r="I115" s="6" t="str">
        <f>IF(A115="","",IFERROR(VLOOKUP(A115,Deal!$A:$K,7,0),""))</f>
        <v/>
      </c>
      <c r="J115" s="12"/>
      <c r="K115" s="13"/>
      <c r="L115" s="13"/>
      <c r="M115" s="13"/>
      <c r="N115" s="12"/>
      <c r="O115" s="14"/>
      <c r="P115" s="12"/>
      <c r="Q115" s="12"/>
    </row>
    <row r="116" spans="1:17" ht="15" customHeight="1" x14ac:dyDescent="0.35">
      <c r="A116" s="12"/>
      <c r="B116" s="10" t="str">
        <f>IF(A116="","",IFERROR(IF(VLOOKUP(A116,Deal!$A:$K,8,0)="Win","✅ Win – Proceed","⚠ Stage: "&amp;VLOOKUP(A116,Deal!$A:$K,8,0)),"❌ Deal ID Not Found"))</f>
        <v/>
      </c>
      <c r="C116" t="str">
        <f>IF(A116="","",IFERROR(VLOOKUP(A116,Deal!$A:$K,2,0),""))</f>
        <v/>
      </c>
      <c r="D116" t="str">
        <f>IF(A116="","",IFERROR(VLOOKUP(A116,Deal!$A:$K,3,0),""))</f>
        <v/>
      </c>
      <c r="E116" t="str">
        <f>IF(A116="","",IFERROR(VLOOKUP(A116,Deal!$A:$K,4,0),""))</f>
        <v/>
      </c>
      <c r="F116" t="str">
        <f>IF(A116="","",IFERROR(VLOOKUP(A116,Enquiry!$A:$K,6,0),"— Enter manually"))</f>
        <v/>
      </c>
      <c r="G116" s="9" t="str">
        <f>IF(A116="","",IFERROR(VLOOKUP(A116,Deal!$A:$K,6,0),0))</f>
        <v/>
      </c>
      <c r="H116" t="str">
        <f>IF(A116="","",IFERROR(VLOOKUP(A116,Deal!$A:$K,9,0),""))</f>
        <v/>
      </c>
      <c r="I116" s="6" t="str">
        <f>IF(A116="","",IFERROR(VLOOKUP(A116,Deal!$A:$K,7,0),""))</f>
        <v/>
      </c>
      <c r="J116" s="12"/>
      <c r="K116" s="13"/>
      <c r="L116" s="13"/>
      <c r="M116" s="13"/>
      <c r="N116" s="12"/>
      <c r="O116" s="14"/>
      <c r="P116" s="12"/>
      <c r="Q116" s="12"/>
    </row>
    <row r="117" spans="1:17" ht="15" customHeight="1" x14ac:dyDescent="0.35">
      <c r="A117" s="12"/>
      <c r="B117" s="10" t="str">
        <f>IF(A117="","",IFERROR(IF(VLOOKUP(A117,Deal!$A:$K,8,0)="Win","✅ Win – Proceed","⚠ Stage: "&amp;VLOOKUP(A117,Deal!$A:$K,8,0)),"❌ Deal ID Not Found"))</f>
        <v/>
      </c>
      <c r="C117" t="str">
        <f>IF(A117="","",IFERROR(VLOOKUP(A117,Deal!$A:$K,2,0),""))</f>
        <v/>
      </c>
      <c r="D117" t="str">
        <f>IF(A117="","",IFERROR(VLOOKUP(A117,Deal!$A:$K,3,0),""))</f>
        <v/>
      </c>
      <c r="E117" t="str">
        <f>IF(A117="","",IFERROR(VLOOKUP(A117,Deal!$A:$K,4,0),""))</f>
        <v/>
      </c>
      <c r="F117" t="str">
        <f>IF(A117="","",IFERROR(VLOOKUP(A117,Enquiry!$A:$K,6,0),"— Enter manually"))</f>
        <v/>
      </c>
      <c r="G117" s="9" t="str">
        <f>IF(A117="","",IFERROR(VLOOKUP(A117,Deal!$A:$K,6,0),0))</f>
        <v/>
      </c>
      <c r="H117" t="str">
        <f>IF(A117="","",IFERROR(VLOOKUP(A117,Deal!$A:$K,9,0),""))</f>
        <v/>
      </c>
      <c r="I117" s="6" t="str">
        <f>IF(A117="","",IFERROR(VLOOKUP(A117,Deal!$A:$K,7,0),""))</f>
        <v/>
      </c>
      <c r="J117" s="12"/>
      <c r="K117" s="13"/>
      <c r="L117" s="13"/>
      <c r="M117" s="13"/>
      <c r="N117" s="12"/>
      <c r="O117" s="14"/>
      <c r="P117" s="12"/>
      <c r="Q117" s="12"/>
    </row>
    <row r="118" spans="1:17" ht="15" customHeight="1" x14ac:dyDescent="0.35">
      <c r="A118" s="12"/>
      <c r="B118" s="10" t="str">
        <f>IF(A118="","",IFERROR(IF(VLOOKUP(A118,Deal!$A:$K,8,0)="Win","✅ Win – Proceed","⚠ Stage: "&amp;VLOOKUP(A118,Deal!$A:$K,8,0)),"❌ Deal ID Not Found"))</f>
        <v/>
      </c>
      <c r="C118" t="str">
        <f>IF(A118="","",IFERROR(VLOOKUP(A118,Deal!$A:$K,2,0),""))</f>
        <v/>
      </c>
      <c r="D118" t="str">
        <f>IF(A118="","",IFERROR(VLOOKUP(A118,Deal!$A:$K,3,0),""))</f>
        <v/>
      </c>
      <c r="E118" t="str">
        <f>IF(A118="","",IFERROR(VLOOKUP(A118,Deal!$A:$K,4,0),""))</f>
        <v/>
      </c>
      <c r="F118" t="str">
        <f>IF(A118="","",IFERROR(VLOOKUP(A118,Enquiry!$A:$K,6,0),"— Enter manually"))</f>
        <v/>
      </c>
      <c r="G118" s="9" t="str">
        <f>IF(A118="","",IFERROR(VLOOKUP(A118,Deal!$A:$K,6,0),0))</f>
        <v/>
      </c>
      <c r="H118" t="str">
        <f>IF(A118="","",IFERROR(VLOOKUP(A118,Deal!$A:$K,9,0),""))</f>
        <v/>
      </c>
      <c r="I118" s="6" t="str">
        <f>IF(A118="","",IFERROR(VLOOKUP(A118,Deal!$A:$K,7,0),""))</f>
        <v/>
      </c>
      <c r="J118" s="12"/>
      <c r="K118" s="13"/>
      <c r="L118" s="13"/>
      <c r="M118" s="13"/>
      <c r="N118" s="12"/>
      <c r="O118" s="14"/>
      <c r="P118" s="12"/>
      <c r="Q118" s="12"/>
    </row>
    <row r="119" spans="1:17" ht="15" customHeight="1" x14ac:dyDescent="0.35">
      <c r="A119" s="12"/>
      <c r="B119" s="10" t="str">
        <f>IF(A119="","",IFERROR(IF(VLOOKUP(A119,Deal!$A:$K,8,0)="Win","✅ Win – Proceed","⚠ Stage: "&amp;VLOOKUP(A119,Deal!$A:$K,8,0)),"❌ Deal ID Not Found"))</f>
        <v/>
      </c>
      <c r="C119" t="str">
        <f>IF(A119="","",IFERROR(VLOOKUP(A119,Deal!$A:$K,2,0),""))</f>
        <v/>
      </c>
      <c r="D119" t="str">
        <f>IF(A119="","",IFERROR(VLOOKUP(A119,Deal!$A:$K,3,0),""))</f>
        <v/>
      </c>
      <c r="E119" t="str">
        <f>IF(A119="","",IFERROR(VLOOKUP(A119,Deal!$A:$K,4,0),""))</f>
        <v/>
      </c>
      <c r="F119" t="str">
        <f>IF(A119="","",IFERROR(VLOOKUP(A119,Enquiry!$A:$K,6,0),"— Enter manually"))</f>
        <v/>
      </c>
      <c r="G119" s="9" t="str">
        <f>IF(A119="","",IFERROR(VLOOKUP(A119,Deal!$A:$K,6,0),0))</f>
        <v/>
      </c>
      <c r="H119" t="str">
        <f>IF(A119="","",IFERROR(VLOOKUP(A119,Deal!$A:$K,9,0),""))</f>
        <v/>
      </c>
      <c r="I119" s="6" t="str">
        <f>IF(A119="","",IFERROR(VLOOKUP(A119,Deal!$A:$K,7,0),""))</f>
        <v/>
      </c>
      <c r="J119" s="12"/>
      <c r="K119" s="13"/>
      <c r="L119" s="13"/>
      <c r="M119" s="13"/>
      <c r="N119" s="12"/>
      <c r="O119" s="14"/>
      <c r="P119" s="12"/>
      <c r="Q119" s="12"/>
    </row>
    <row r="120" spans="1:17" ht="15" customHeight="1" x14ac:dyDescent="0.35">
      <c r="A120" s="12"/>
      <c r="B120" s="10" t="str">
        <f>IF(A120="","",IFERROR(IF(VLOOKUP(A120,Deal!$A:$K,8,0)="Win","✅ Win – Proceed","⚠ Stage: "&amp;VLOOKUP(A120,Deal!$A:$K,8,0)),"❌ Deal ID Not Found"))</f>
        <v/>
      </c>
      <c r="C120" t="str">
        <f>IF(A120="","",IFERROR(VLOOKUP(A120,Deal!$A:$K,2,0),""))</f>
        <v/>
      </c>
      <c r="D120" t="str">
        <f>IF(A120="","",IFERROR(VLOOKUP(A120,Deal!$A:$K,3,0),""))</f>
        <v/>
      </c>
      <c r="E120" t="str">
        <f>IF(A120="","",IFERROR(VLOOKUP(A120,Deal!$A:$K,4,0),""))</f>
        <v/>
      </c>
      <c r="F120" t="str">
        <f>IF(A120="","",IFERROR(VLOOKUP(A120,Enquiry!$A:$K,6,0),"— Enter manually"))</f>
        <v/>
      </c>
      <c r="G120" s="9" t="str">
        <f>IF(A120="","",IFERROR(VLOOKUP(A120,Deal!$A:$K,6,0),0))</f>
        <v/>
      </c>
      <c r="H120" t="str">
        <f>IF(A120="","",IFERROR(VLOOKUP(A120,Deal!$A:$K,9,0),""))</f>
        <v/>
      </c>
      <c r="I120" s="6" t="str">
        <f>IF(A120="","",IFERROR(VLOOKUP(A120,Deal!$A:$K,7,0),""))</f>
        <v/>
      </c>
      <c r="J120" s="12"/>
      <c r="K120" s="13"/>
      <c r="L120" s="13"/>
      <c r="M120" s="13"/>
      <c r="N120" s="12"/>
      <c r="O120" s="14"/>
      <c r="P120" s="12"/>
      <c r="Q120" s="12"/>
    </row>
    <row r="121" spans="1:17" ht="15" customHeight="1" x14ac:dyDescent="0.35">
      <c r="A121" s="12"/>
      <c r="B121" s="10" t="str">
        <f>IF(A121="","",IFERROR(IF(VLOOKUP(A121,Deal!$A:$K,8,0)="Win","✅ Win – Proceed","⚠ Stage: "&amp;VLOOKUP(A121,Deal!$A:$K,8,0)),"❌ Deal ID Not Found"))</f>
        <v/>
      </c>
      <c r="C121" t="str">
        <f>IF(A121="","",IFERROR(VLOOKUP(A121,Deal!$A:$K,2,0),""))</f>
        <v/>
      </c>
      <c r="D121" t="str">
        <f>IF(A121="","",IFERROR(VLOOKUP(A121,Deal!$A:$K,3,0),""))</f>
        <v/>
      </c>
      <c r="E121" t="str">
        <f>IF(A121="","",IFERROR(VLOOKUP(A121,Deal!$A:$K,4,0),""))</f>
        <v/>
      </c>
      <c r="F121" t="str">
        <f>IF(A121="","",IFERROR(VLOOKUP(A121,Enquiry!$A:$K,6,0),"— Enter manually"))</f>
        <v/>
      </c>
      <c r="G121" s="9" t="str">
        <f>IF(A121="","",IFERROR(VLOOKUP(A121,Deal!$A:$K,6,0),0))</f>
        <v/>
      </c>
      <c r="H121" t="str">
        <f>IF(A121="","",IFERROR(VLOOKUP(A121,Deal!$A:$K,9,0),""))</f>
        <v/>
      </c>
      <c r="I121" s="6" t="str">
        <f>IF(A121="","",IFERROR(VLOOKUP(A121,Deal!$A:$K,7,0),""))</f>
        <v/>
      </c>
      <c r="J121" s="12"/>
      <c r="K121" s="13"/>
      <c r="L121" s="13"/>
      <c r="M121" s="13"/>
      <c r="N121" s="12"/>
      <c r="O121" s="14"/>
      <c r="P121" s="12"/>
      <c r="Q121" s="12"/>
    </row>
    <row r="122" spans="1:17" ht="15" customHeight="1" x14ac:dyDescent="0.35">
      <c r="A122" s="12"/>
      <c r="B122" s="10" t="str">
        <f>IF(A122="","",IFERROR(IF(VLOOKUP(A122,Deal!$A:$K,8,0)="Win","✅ Win – Proceed","⚠ Stage: "&amp;VLOOKUP(A122,Deal!$A:$K,8,0)),"❌ Deal ID Not Found"))</f>
        <v/>
      </c>
      <c r="C122" t="str">
        <f>IF(A122="","",IFERROR(VLOOKUP(A122,Deal!$A:$K,2,0),""))</f>
        <v/>
      </c>
      <c r="D122" t="str">
        <f>IF(A122="","",IFERROR(VLOOKUP(A122,Deal!$A:$K,3,0),""))</f>
        <v/>
      </c>
      <c r="E122" t="str">
        <f>IF(A122="","",IFERROR(VLOOKUP(A122,Deal!$A:$K,4,0),""))</f>
        <v/>
      </c>
      <c r="F122" t="str">
        <f>IF(A122="","",IFERROR(VLOOKUP(A122,Enquiry!$A:$K,6,0),"— Enter manually"))</f>
        <v/>
      </c>
      <c r="G122" s="9" t="str">
        <f>IF(A122="","",IFERROR(VLOOKUP(A122,Deal!$A:$K,6,0),0))</f>
        <v/>
      </c>
      <c r="H122" t="str">
        <f>IF(A122="","",IFERROR(VLOOKUP(A122,Deal!$A:$K,9,0),""))</f>
        <v/>
      </c>
      <c r="I122" s="6" t="str">
        <f>IF(A122="","",IFERROR(VLOOKUP(A122,Deal!$A:$K,7,0),""))</f>
        <v/>
      </c>
      <c r="J122" s="12"/>
      <c r="K122" s="13"/>
      <c r="L122" s="13"/>
      <c r="M122" s="13"/>
      <c r="N122" s="12"/>
      <c r="O122" s="14"/>
      <c r="P122" s="12"/>
      <c r="Q122" s="12"/>
    </row>
    <row r="123" spans="1:17" ht="15" customHeight="1" x14ac:dyDescent="0.35">
      <c r="A123" s="12"/>
      <c r="B123" s="10" t="str">
        <f>IF(A123="","",IFERROR(IF(VLOOKUP(A123,Deal!$A:$K,8,0)="Win","✅ Win – Proceed","⚠ Stage: "&amp;VLOOKUP(A123,Deal!$A:$K,8,0)),"❌ Deal ID Not Found"))</f>
        <v/>
      </c>
      <c r="C123" t="str">
        <f>IF(A123="","",IFERROR(VLOOKUP(A123,Deal!$A:$K,2,0),""))</f>
        <v/>
      </c>
      <c r="D123" t="str">
        <f>IF(A123="","",IFERROR(VLOOKUP(A123,Deal!$A:$K,3,0),""))</f>
        <v/>
      </c>
      <c r="E123" t="str">
        <f>IF(A123="","",IFERROR(VLOOKUP(A123,Deal!$A:$K,4,0),""))</f>
        <v/>
      </c>
      <c r="F123" t="str">
        <f>IF(A123="","",IFERROR(VLOOKUP(A123,Enquiry!$A:$K,6,0),"— Enter manually"))</f>
        <v/>
      </c>
      <c r="G123" s="9" t="str">
        <f>IF(A123="","",IFERROR(VLOOKUP(A123,Deal!$A:$K,6,0),0))</f>
        <v/>
      </c>
      <c r="H123" t="str">
        <f>IF(A123="","",IFERROR(VLOOKUP(A123,Deal!$A:$K,9,0),""))</f>
        <v/>
      </c>
      <c r="I123" s="6" t="str">
        <f>IF(A123="","",IFERROR(VLOOKUP(A123,Deal!$A:$K,7,0),""))</f>
        <v/>
      </c>
      <c r="J123" s="12"/>
      <c r="K123" s="13"/>
      <c r="L123" s="13"/>
      <c r="M123" s="13"/>
      <c r="N123" s="12"/>
      <c r="O123" s="14"/>
      <c r="P123" s="12"/>
      <c r="Q123" s="12"/>
    </row>
    <row r="124" spans="1:17" ht="15" customHeight="1" x14ac:dyDescent="0.35">
      <c r="A124" s="12"/>
      <c r="B124" s="10" t="str">
        <f>IF(A124="","",IFERROR(IF(VLOOKUP(A124,Deal!$A:$K,8,0)="Win","✅ Win – Proceed","⚠ Stage: "&amp;VLOOKUP(A124,Deal!$A:$K,8,0)),"❌ Deal ID Not Found"))</f>
        <v/>
      </c>
      <c r="C124" t="str">
        <f>IF(A124="","",IFERROR(VLOOKUP(A124,Deal!$A:$K,2,0),""))</f>
        <v/>
      </c>
      <c r="D124" t="str">
        <f>IF(A124="","",IFERROR(VLOOKUP(A124,Deal!$A:$K,3,0),""))</f>
        <v/>
      </c>
      <c r="E124" t="str">
        <f>IF(A124="","",IFERROR(VLOOKUP(A124,Deal!$A:$K,4,0),""))</f>
        <v/>
      </c>
      <c r="F124" t="str">
        <f>IF(A124="","",IFERROR(VLOOKUP(A124,Enquiry!$A:$K,6,0),"— Enter manually"))</f>
        <v/>
      </c>
      <c r="G124" s="9" t="str">
        <f>IF(A124="","",IFERROR(VLOOKUP(A124,Deal!$A:$K,6,0),0))</f>
        <v/>
      </c>
      <c r="H124" t="str">
        <f>IF(A124="","",IFERROR(VLOOKUP(A124,Deal!$A:$K,9,0),""))</f>
        <v/>
      </c>
      <c r="I124" s="6" t="str">
        <f>IF(A124="","",IFERROR(VLOOKUP(A124,Deal!$A:$K,7,0),""))</f>
        <v/>
      </c>
      <c r="J124" s="12"/>
      <c r="K124" s="13"/>
      <c r="L124" s="13"/>
      <c r="M124" s="13"/>
      <c r="N124" s="12"/>
      <c r="O124" s="14"/>
      <c r="P124" s="12"/>
      <c r="Q124" s="12"/>
    </row>
    <row r="125" spans="1:17" ht="15" customHeight="1" x14ac:dyDescent="0.35">
      <c r="A125" s="12"/>
      <c r="B125" s="10" t="str">
        <f>IF(A125="","",IFERROR(IF(VLOOKUP(A125,Deal!$A:$K,8,0)="Win","✅ Win – Proceed","⚠ Stage: "&amp;VLOOKUP(A125,Deal!$A:$K,8,0)),"❌ Deal ID Not Found"))</f>
        <v/>
      </c>
      <c r="C125" t="str">
        <f>IF(A125="","",IFERROR(VLOOKUP(A125,Deal!$A:$K,2,0),""))</f>
        <v/>
      </c>
      <c r="D125" t="str">
        <f>IF(A125="","",IFERROR(VLOOKUP(A125,Deal!$A:$K,3,0),""))</f>
        <v/>
      </c>
      <c r="E125" t="str">
        <f>IF(A125="","",IFERROR(VLOOKUP(A125,Deal!$A:$K,4,0),""))</f>
        <v/>
      </c>
      <c r="F125" t="str">
        <f>IF(A125="","",IFERROR(VLOOKUP(A125,Enquiry!$A:$K,6,0),"— Enter manually"))</f>
        <v/>
      </c>
      <c r="G125" s="9" t="str">
        <f>IF(A125="","",IFERROR(VLOOKUP(A125,Deal!$A:$K,6,0),0))</f>
        <v/>
      </c>
      <c r="H125" t="str">
        <f>IF(A125="","",IFERROR(VLOOKUP(A125,Deal!$A:$K,9,0),""))</f>
        <v/>
      </c>
      <c r="I125" s="6" t="str">
        <f>IF(A125="","",IFERROR(VLOOKUP(A125,Deal!$A:$K,7,0),""))</f>
        <v/>
      </c>
      <c r="J125" s="12"/>
      <c r="K125" s="13"/>
      <c r="L125" s="13"/>
      <c r="M125" s="13"/>
      <c r="N125" s="12"/>
      <c r="O125" s="14"/>
      <c r="P125" s="12"/>
      <c r="Q125" s="12"/>
    </row>
    <row r="126" spans="1:17" ht="15" customHeight="1" x14ac:dyDescent="0.35">
      <c r="A126" s="12"/>
      <c r="B126" s="10" t="str">
        <f>IF(A126="","",IFERROR(IF(VLOOKUP(A126,Deal!$A:$K,8,0)="Win","✅ Win – Proceed","⚠ Stage: "&amp;VLOOKUP(A126,Deal!$A:$K,8,0)),"❌ Deal ID Not Found"))</f>
        <v/>
      </c>
      <c r="C126" t="str">
        <f>IF(A126="","",IFERROR(VLOOKUP(A126,Deal!$A:$K,2,0),""))</f>
        <v/>
      </c>
      <c r="D126" t="str">
        <f>IF(A126="","",IFERROR(VLOOKUP(A126,Deal!$A:$K,3,0),""))</f>
        <v/>
      </c>
      <c r="E126" t="str">
        <f>IF(A126="","",IFERROR(VLOOKUP(A126,Deal!$A:$K,4,0),""))</f>
        <v/>
      </c>
      <c r="F126" t="str">
        <f>IF(A126="","",IFERROR(VLOOKUP(A126,Enquiry!$A:$K,6,0),"— Enter manually"))</f>
        <v/>
      </c>
      <c r="G126" s="9" t="str">
        <f>IF(A126="","",IFERROR(VLOOKUP(A126,Deal!$A:$K,6,0),0))</f>
        <v/>
      </c>
      <c r="H126" t="str">
        <f>IF(A126="","",IFERROR(VLOOKUP(A126,Deal!$A:$K,9,0),""))</f>
        <v/>
      </c>
      <c r="I126" s="6" t="str">
        <f>IF(A126="","",IFERROR(VLOOKUP(A126,Deal!$A:$K,7,0),""))</f>
        <v/>
      </c>
      <c r="J126" s="12"/>
      <c r="K126" s="13"/>
      <c r="L126" s="13"/>
      <c r="M126" s="13"/>
      <c r="N126" s="12"/>
      <c r="O126" s="14"/>
      <c r="P126" s="12"/>
      <c r="Q126" s="12"/>
    </row>
    <row r="127" spans="1:17" ht="15" customHeight="1" x14ac:dyDescent="0.35">
      <c r="A127" s="12"/>
      <c r="B127" s="10" t="str">
        <f>IF(A127="","",IFERROR(IF(VLOOKUP(A127,Deal!$A:$K,8,0)="Win","✅ Win – Proceed","⚠ Stage: "&amp;VLOOKUP(A127,Deal!$A:$K,8,0)),"❌ Deal ID Not Found"))</f>
        <v/>
      </c>
      <c r="C127" t="str">
        <f>IF(A127="","",IFERROR(VLOOKUP(A127,Deal!$A:$K,2,0),""))</f>
        <v/>
      </c>
      <c r="D127" t="str">
        <f>IF(A127="","",IFERROR(VLOOKUP(A127,Deal!$A:$K,3,0),""))</f>
        <v/>
      </c>
      <c r="E127" t="str">
        <f>IF(A127="","",IFERROR(VLOOKUP(A127,Deal!$A:$K,4,0),""))</f>
        <v/>
      </c>
      <c r="F127" t="str">
        <f>IF(A127="","",IFERROR(VLOOKUP(A127,Enquiry!$A:$K,6,0),"— Enter manually"))</f>
        <v/>
      </c>
      <c r="G127" s="9" t="str">
        <f>IF(A127="","",IFERROR(VLOOKUP(A127,Deal!$A:$K,6,0),0))</f>
        <v/>
      </c>
      <c r="H127" t="str">
        <f>IF(A127="","",IFERROR(VLOOKUP(A127,Deal!$A:$K,9,0),""))</f>
        <v/>
      </c>
      <c r="I127" s="6" t="str">
        <f>IF(A127="","",IFERROR(VLOOKUP(A127,Deal!$A:$K,7,0),""))</f>
        <v/>
      </c>
      <c r="J127" s="12"/>
      <c r="K127" s="13"/>
      <c r="L127" s="13"/>
      <c r="M127" s="13"/>
      <c r="N127" s="12"/>
      <c r="O127" s="14"/>
      <c r="P127" s="12"/>
      <c r="Q127" s="12"/>
    </row>
    <row r="128" spans="1:17" ht="15" customHeight="1" x14ac:dyDescent="0.35">
      <c r="A128" s="12"/>
      <c r="B128" s="10" t="str">
        <f>IF(A128="","",IFERROR(IF(VLOOKUP(A128,Deal!$A:$K,8,0)="Win","✅ Win – Proceed","⚠ Stage: "&amp;VLOOKUP(A128,Deal!$A:$K,8,0)),"❌ Deal ID Not Found"))</f>
        <v/>
      </c>
      <c r="C128" t="str">
        <f>IF(A128="","",IFERROR(VLOOKUP(A128,Deal!$A:$K,2,0),""))</f>
        <v/>
      </c>
      <c r="D128" t="str">
        <f>IF(A128="","",IFERROR(VLOOKUP(A128,Deal!$A:$K,3,0),""))</f>
        <v/>
      </c>
      <c r="E128" t="str">
        <f>IF(A128="","",IFERROR(VLOOKUP(A128,Deal!$A:$K,4,0),""))</f>
        <v/>
      </c>
      <c r="F128" t="str">
        <f>IF(A128="","",IFERROR(VLOOKUP(A128,Enquiry!$A:$K,6,0),"— Enter manually"))</f>
        <v/>
      </c>
      <c r="G128" s="9" t="str">
        <f>IF(A128="","",IFERROR(VLOOKUP(A128,Deal!$A:$K,6,0),0))</f>
        <v/>
      </c>
      <c r="H128" t="str">
        <f>IF(A128="","",IFERROR(VLOOKUP(A128,Deal!$A:$K,9,0),""))</f>
        <v/>
      </c>
      <c r="I128" s="6" t="str">
        <f>IF(A128="","",IFERROR(VLOOKUP(A128,Deal!$A:$K,7,0),""))</f>
        <v/>
      </c>
      <c r="J128" s="12"/>
      <c r="K128" s="13"/>
      <c r="L128" s="13"/>
      <c r="M128" s="13"/>
      <c r="N128" s="12"/>
      <c r="O128" s="14"/>
      <c r="P128" s="12"/>
      <c r="Q128" s="12"/>
    </row>
    <row r="129" spans="1:17" ht="15" customHeight="1" x14ac:dyDescent="0.35">
      <c r="A129" s="12"/>
      <c r="B129" s="10" t="str">
        <f>IF(A129="","",IFERROR(IF(VLOOKUP(A129,Deal!$A:$K,8,0)="Win","✅ Win – Proceed","⚠ Stage: "&amp;VLOOKUP(A129,Deal!$A:$K,8,0)),"❌ Deal ID Not Found"))</f>
        <v/>
      </c>
      <c r="C129" t="str">
        <f>IF(A129="","",IFERROR(VLOOKUP(A129,Deal!$A:$K,2,0),""))</f>
        <v/>
      </c>
      <c r="D129" t="str">
        <f>IF(A129="","",IFERROR(VLOOKUP(A129,Deal!$A:$K,3,0),""))</f>
        <v/>
      </c>
      <c r="E129" t="str">
        <f>IF(A129="","",IFERROR(VLOOKUP(A129,Deal!$A:$K,4,0),""))</f>
        <v/>
      </c>
      <c r="F129" t="str">
        <f>IF(A129="","",IFERROR(VLOOKUP(A129,Enquiry!$A:$K,6,0),"— Enter manually"))</f>
        <v/>
      </c>
      <c r="G129" s="9" t="str">
        <f>IF(A129="","",IFERROR(VLOOKUP(A129,Deal!$A:$K,6,0),0))</f>
        <v/>
      </c>
      <c r="H129" t="str">
        <f>IF(A129="","",IFERROR(VLOOKUP(A129,Deal!$A:$K,9,0),""))</f>
        <v/>
      </c>
      <c r="I129" s="6" t="str">
        <f>IF(A129="","",IFERROR(VLOOKUP(A129,Deal!$A:$K,7,0),""))</f>
        <v/>
      </c>
      <c r="J129" s="12"/>
      <c r="K129" s="13"/>
      <c r="L129" s="13"/>
      <c r="M129" s="13"/>
      <c r="N129" s="12"/>
      <c r="O129" s="14"/>
      <c r="P129" s="12"/>
      <c r="Q129" s="12"/>
    </row>
    <row r="130" spans="1:17" ht="15" customHeight="1" x14ac:dyDescent="0.35">
      <c r="A130" s="12"/>
      <c r="B130" s="10" t="str">
        <f>IF(A130="","",IFERROR(IF(VLOOKUP(A130,Deal!$A:$K,8,0)="Win","✅ Win – Proceed","⚠ Stage: "&amp;VLOOKUP(A130,Deal!$A:$K,8,0)),"❌ Deal ID Not Found"))</f>
        <v/>
      </c>
      <c r="C130" t="str">
        <f>IF(A130="","",IFERROR(VLOOKUP(A130,Deal!$A:$K,2,0),""))</f>
        <v/>
      </c>
      <c r="D130" t="str">
        <f>IF(A130="","",IFERROR(VLOOKUP(A130,Deal!$A:$K,3,0),""))</f>
        <v/>
      </c>
      <c r="E130" t="str">
        <f>IF(A130="","",IFERROR(VLOOKUP(A130,Deal!$A:$K,4,0),""))</f>
        <v/>
      </c>
      <c r="F130" t="str">
        <f>IF(A130="","",IFERROR(VLOOKUP(A130,Enquiry!$A:$K,6,0),"— Enter manually"))</f>
        <v/>
      </c>
      <c r="G130" s="9" t="str">
        <f>IF(A130="","",IFERROR(VLOOKUP(A130,Deal!$A:$K,6,0),0))</f>
        <v/>
      </c>
      <c r="H130" t="str">
        <f>IF(A130="","",IFERROR(VLOOKUP(A130,Deal!$A:$K,9,0),""))</f>
        <v/>
      </c>
      <c r="I130" s="6" t="str">
        <f>IF(A130="","",IFERROR(VLOOKUP(A130,Deal!$A:$K,7,0),""))</f>
        <v/>
      </c>
      <c r="J130" s="12"/>
      <c r="K130" s="13"/>
      <c r="L130" s="13"/>
      <c r="M130" s="13"/>
      <c r="N130" s="12"/>
      <c r="O130" s="14"/>
      <c r="P130" s="12"/>
      <c r="Q130" s="12"/>
    </row>
    <row r="131" spans="1:17" ht="15" customHeight="1" x14ac:dyDescent="0.35">
      <c r="A131" s="12"/>
      <c r="B131" s="10" t="str">
        <f>IF(A131="","",IFERROR(IF(VLOOKUP(A131,Deal!$A:$K,8,0)="Win","✅ Win – Proceed","⚠ Stage: "&amp;VLOOKUP(A131,Deal!$A:$K,8,0)),"❌ Deal ID Not Found"))</f>
        <v/>
      </c>
      <c r="C131" t="str">
        <f>IF(A131="","",IFERROR(VLOOKUP(A131,Deal!$A:$K,2,0),""))</f>
        <v/>
      </c>
      <c r="D131" t="str">
        <f>IF(A131="","",IFERROR(VLOOKUP(A131,Deal!$A:$K,3,0),""))</f>
        <v/>
      </c>
      <c r="E131" t="str">
        <f>IF(A131="","",IFERROR(VLOOKUP(A131,Deal!$A:$K,4,0),""))</f>
        <v/>
      </c>
      <c r="F131" t="str">
        <f>IF(A131="","",IFERROR(VLOOKUP(A131,Enquiry!$A:$K,6,0),"— Enter manually"))</f>
        <v/>
      </c>
      <c r="G131" s="9" t="str">
        <f>IF(A131="","",IFERROR(VLOOKUP(A131,Deal!$A:$K,6,0),0))</f>
        <v/>
      </c>
      <c r="H131" t="str">
        <f>IF(A131="","",IFERROR(VLOOKUP(A131,Deal!$A:$K,9,0),""))</f>
        <v/>
      </c>
      <c r="I131" s="6" t="str">
        <f>IF(A131="","",IFERROR(VLOOKUP(A131,Deal!$A:$K,7,0),""))</f>
        <v/>
      </c>
      <c r="J131" s="12"/>
      <c r="K131" s="13"/>
      <c r="L131" s="13"/>
      <c r="M131" s="13"/>
      <c r="N131" s="12"/>
      <c r="O131" s="14"/>
      <c r="P131" s="12"/>
      <c r="Q131" s="12"/>
    </row>
    <row r="132" spans="1:17" ht="15" customHeight="1" x14ac:dyDescent="0.35">
      <c r="A132" s="12"/>
      <c r="B132" s="10" t="str">
        <f>IF(A132="","",IFERROR(IF(VLOOKUP(A132,Deal!$A:$K,8,0)="Win","✅ Win – Proceed","⚠ Stage: "&amp;VLOOKUP(A132,Deal!$A:$K,8,0)),"❌ Deal ID Not Found"))</f>
        <v/>
      </c>
      <c r="C132" t="str">
        <f>IF(A132="","",IFERROR(VLOOKUP(A132,Deal!$A:$K,2,0),""))</f>
        <v/>
      </c>
      <c r="D132" t="str">
        <f>IF(A132="","",IFERROR(VLOOKUP(A132,Deal!$A:$K,3,0),""))</f>
        <v/>
      </c>
      <c r="E132" t="str">
        <f>IF(A132="","",IFERROR(VLOOKUP(A132,Deal!$A:$K,4,0),""))</f>
        <v/>
      </c>
      <c r="F132" t="str">
        <f>IF(A132="","",IFERROR(VLOOKUP(A132,Enquiry!$A:$K,6,0),"— Enter manually"))</f>
        <v/>
      </c>
      <c r="G132" s="9" t="str">
        <f>IF(A132="","",IFERROR(VLOOKUP(A132,Deal!$A:$K,6,0),0))</f>
        <v/>
      </c>
      <c r="H132" t="str">
        <f>IF(A132="","",IFERROR(VLOOKUP(A132,Deal!$A:$K,9,0),""))</f>
        <v/>
      </c>
      <c r="I132" s="6" t="str">
        <f>IF(A132="","",IFERROR(VLOOKUP(A132,Deal!$A:$K,7,0),""))</f>
        <v/>
      </c>
      <c r="J132" s="12"/>
      <c r="K132" s="13"/>
      <c r="L132" s="13"/>
      <c r="M132" s="13"/>
      <c r="N132" s="12"/>
      <c r="O132" s="14"/>
      <c r="P132" s="12"/>
      <c r="Q132" s="12"/>
    </row>
    <row r="133" spans="1:17" ht="15" customHeight="1" x14ac:dyDescent="0.35">
      <c r="A133" s="12"/>
      <c r="B133" s="10" t="str">
        <f>IF(A133="","",IFERROR(IF(VLOOKUP(A133,Deal!$A:$K,8,0)="Win","✅ Win – Proceed","⚠ Stage: "&amp;VLOOKUP(A133,Deal!$A:$K,8,0)),"❌ Deal ID Not Found"))</f>
        <v/>
      </c>
      <c r="C133" t="str">
        <f>IF(A133="","",IFERROR(VLOOKUP(A133,Deal!$A:$K,2,0),""))</f>
        <v/>
      </c>
      <c r="D133" t="str">
        <f>IF(A133="","",IFERROR(VLOOKUP(A133,Deal!$A:$K,3,0),""))</f>
        <v/>
      </c>
      <c r="E133" t="str">
        <f>IF(A133="","",IFERROR(VLOOKUP(A133,Deal!$A:$K,4,0),""))</f>
        <v/>
      </c>
      <c r="F133" t="str">
        <f>IF(A133="","",IFERROR(VLOOKUP(A133,Enquiry!$A:$K,6,0),"— Enter manually"))</f>
        <v/>
      </c>
      <c r="G133" s="9" t="str">
        <f>IF(A133="","",IFERROR(VLOOKUP(A133,Deal!$A:$K,6,0),0))</f>
        <v/>
      </c>
      <c r="H133" t="str">
        <f>IF(A133="","",IFERROR(VLOOKUP(A133,Deal!$A:$K,9,0),""))</f>
        <v/>
      </c>
      <c r="I133" s="6" t="str">
        <f>IF(A133="","",IFERROR(VLOOKUP(A133,Deal!$A:$K,7,0),""))</f>
        <v/>
      </c>
      <c r="J133" s="12"/>
      <c r="K133" s="13"/>
      <c r="L133" s="13"/>
      <c r="M133" s="13"/>
      <c r="N133" s="12"/>
      <c r="O133" s="14"/>
      <c r="P133" s="12"/>
      <c r="Q133" s="12"/>
    </row>
    <row r="134" spans="1:17" ht="15" customHeight="1" x14ac:dyDescent="0.35">
      <c r="A134" s="12"/>
      <c r="B134" s="10" t="str">
        <f>IF(A134="","",IFERROR(IF(VLOOKUP(A134,Deal!$A:$K,8,0)="Win","✅ Win – Proceed","⚠ Stage: "&amp;VLOOKUP(A134,Deal!$A:$K,8,0)),"❌ Deal ID Not Found"))</f>
        <v/>
      </c>
      <c r="C134" t="str">
        <f>IF(A134="","",IFERROR(VLOOKUP(A134,Deal!$A:$K,2,0),""))</f>
        <v/>
      </c>
      <c r="D134" t="str">
        <f>IF(A134="","",IFERROR(VLOOKUP(A134,Deal!$A:$K,3,0),""))</f>
        <v/>
      </c>
      <c r="E134" t="str">
        <f>IF(A134="","",IFERROR(VLOOKUP(A134,Deal!$A:$K,4,0),""))</f>
        <v/>
      </c>
      <c r="F134" t="str">
        <f>IF(A134="","",IFERROR(VLOOKUP(A134,Enquiry!$A:$K,6,0),"— Enter manually"))</f>
        <v/>
      </c>
      <c r="G134" s="9" t="str">
        <f>IF(A134="","",IFERROR(VLOOKUP(A134,Deal!$A:$K,6,0),0))</f>
        <v/>
      </c>
      <c r="H134" t="str">
        <f>IF(A134="","",IFERROR(VLOOKUP(A134,Deal!$A:$K,9,0),""))</f>
        <v/>
      </c>
      <c r="I134" s="6" t="str">
        <f>IF(A134="","",IFERROR(VLOOKUP(A134,Deal!$A:$K,7,0),""))</f>
        <v/>
      </c>
      <c r="J134" s="12"/>
      <c r="K134" s="13"/>
      <c r="L134" s="13"/>
      <c r="M134" s="13"/>
      <c r="N134" s="12"/>
      <c r="O134" s="14"/>
      <c r="P134" s="12"/>
      <c r="Q134" s="12"/>
    </row>
    <row r="135" spans="1:17" ht="15" customHeight="1" x14ac:dyDescent="0.35">
      <c r="A135" s="12"/>
      <c r="B135" s="10" t="str">
        <f>IF(A135="","",IFERROR(IF(VLOOKUP(A135,Deal!$A:$K,8,0)="Win","✅ Win – Proceed","⚠ Stage: "&amp;VLOOKUP(A135,Deal!$A:$K,8,0)),"❌ Deal ID Not Found"))</f>
        <v/>
      </c>
      <c r="C135" t="str">
        <f>IF(A135="","",IFERROR(VLOOKUP(A135,Deal!$A:$K,2,0),""))</f>
        <v/>
      </c>
      <c r="D135" t="str">
        <f>IF(A135="","",IFERROR(VLOOKUP(A135,Deal!$A:$K,3,0),""))</f>
        <v/>
      </c>
      <c r="E135" t="str">
        <f>IF(A135="","",IFERROR(VLOOKUP(A135,Deal!$A:$K,4,0),""))</f>
        <v/>
      </c>
      <c r="F135" t="str">
        <f>IF(A135="","",IFERROR(VLOOKUP(A135,Enquiry!$A:$K,6,0),"— Enter manually"))</f>
        <v/>
      </c>
      <c r="G135" s="9" t="str">
        <f>IF(A135="","",IFERROR(VLOOKUP(A135,Deal!$A:$K,6,0),0))</f>
        <v/>
      </c>
      <c r="H135" t="str">
        <f>IF(A135="","",IFERROR(VLOOKUP(A135,Deal!$A:$K,9,0),""))</f>
        <v/>
      </c>
      <c r="I135" s="6" t="str">
        <f>IF(A135="","",IFERROR(VLOOKUP(A135,Deal!$A:$K,7,0),""))</f>
        <v/>
      </c>
      <c r="J135" s="12"/>
      <c r="K135" s="13"/>
      <c r="L135" s="13"/>
      <c r="M135" s="13"/>
      <c r="N135" s="12"/>
      <c r="O135" s="14"/>
      <c r="P135" s="12"/>
      <c r="Q135" s="12"/>
    </row>
    <row r="136" spans="1:17" ht="15" customHeight="1" x14ac:dyDescent="0.35">
      <c r="A136" s="12"/>
      <c r="B136" s="10" t="str">
        <f>IF(A136="","",IFERROR(IF(VLOOKUP(A136,Deal!$A:$K,8,0)="Win","✅ Win – Proceed","⚠ Stage: "&amp;VLOOKUP(A136,Deal!$A:$K,8,0)),"❌ Deal ID Not Found"))</f>
        <v/>
      </c>
      <c r="C136" t="str">
        <f>IF(A136="","",IFERROR(VLOOKUP(A136,Deal!$A:$K,2,0),""))</f>
        <v/>
      </c>
      <c r="D136" t="str">
        <f>IF(A136="","",IFERROR(VLOOKUP(A136,Deal!$A:$K,3,0),""))</f>
        <v/>
      </c>
      <c r="E136" t="str">
        <f>IF(A136="","",IFERROR(VLOOKUP(A136,Deal!$A:$K,4,0),""))</f>
        <v/>
      </c>
      <c r="F136" t="str">
        <f>IF(A136="","",IFERROR(VLOOKUP(A136,Enquiry!$A:$K,6,0),"— Enter manually"))</f>
        <v/>
      </c>
      <c r="G136" s="9" t="str">
        <f>IF(A136="","",IFERROR(VLOOKUP(A136,Deal!$A:$K,6,0),0))</f>
        <v/>
      </c>
      <c r="H136" t="str">
        <f>IF(A136="","",IFERROR(VLOOKUP(A136,Deal!$A:$K,9,0),""))</f>
        <v/>
      </c>
      <c r="I136" s="6" t="str">
        <f>IF(A136="","",IFERROR(VLOOKUP(A136,Deal!$A:$K,7,0),""))</f>
        <v/>
      </c>
      <c r="J136" s="12"/>
      <c r="K136" s="13"/>
      <c r="L136" s="13"/>
      <c r="M136" s="13"/>
      <c r="N136" s="12"/>
      <c r="O136" s="14"/>
      <c r="P136" s="12"/>
      <c r="Q136" s="12"/>
    </row>
    <row r="137" spans="1:17" ht="15" customHeight="1" x14ac:dyDescent="0.35">
      <c r="A137" s="12"/>
      <c r="B137" s="10" t="str">
        <f>IF(A137="","",IFERROR(IF(VLOOKUP(A137,Deal!$A:$K,8,0)="Win","✅ Win – Proceed","⚠ Stage: "&amp;VLOOKUP(A137,Deal!$A:$K,8,0)),"❌ Deal ID Not Found"))</f>
        <v/>
      </c>
      <c r="C137" t="str">
        <f>IF(A137="","",IFERROR(VLOOKUP(A137,Deal!$A:$K,2,0),""))</f>
        <v/>
      </c>
      <c r="D137" t="str">
        <f>IF(A137="","",IFERROR(VLOOKUP(A137,Deal!$A:$K,3,0),""))</f>
        <v/>
      </c>
      <c r="E137" t="str">
        <f>IF(A137="","",IFERROR(VLOOKUP(A137,Deal!$A:$K,4,0),""))</f>
        <v/>
      </c>
      <c r="F137" t="str">
        <f>IF(A137="","",IFERROR(VLOOKUP(A137,Enquiry!$A:$K,6,0),"— Enter manually"))</f>
        <v/>
      </c>
      <c r="G137" s="9" t="str">
        <f>IF(A137="","",IFERROR(VLOOKUP(A137,Deal!$A:$K,6,0),0))</f>
        <v/>
      </c>
      <c r="H137" t="str">
        <f>IF(A137="","",IFERROR(VLOOKUP(A137,Deal!$A:$K,9,0),""))</f>
        <v/>
      </c>
      <c r="I137" s="6" t="str">
        <f>IF(A137="","",IFERROR(VLOOKUP(A137,Deal!$A:$K,7,0),""))</f>
        <v/>
      </c>
      <c r="J137" s="12"/>
      <c r="K137" s="13"/>
      <c r="L137" s="13"/>
      <c r="M137" s="13"/>
      <c r="N137" s="12"/>
      <c r="O137" s="14"/>
      <c r="P137" s="12"/>
      <c r="Q137" s="12"/>
    </row>
    <row r="138" spans="1:17" ht="15" customHeight="1" x14ac:dyDescent="0.35">
      <c r="A138" s="12"/>
      <c r="B138" s="10" t="str">
        <f>IF(A138="","",IFERROR(IF(VLOOKUP(A138,Deal!$A:$K,8,0)="Win","✅ Win – Proceed","⚠ Stage: "&amp;VLOOKUP(A138,Deal!$A:$K,8,0)),"❌ Deal ID Not Found"))</f>
        <v/>
      </c>
      <c r="C138" t="str">
        <f>IF(A138="","",IFERROR(VLOOKUP(A138,Deal!$A:$K,2,0),""))</f>
        <v/>
      </c>
      <c r="D138" t="str">
        <f>IF(A138="","",IFERROR(VLOOKUP(A138,Deal!$A:$K,3,0),""))</f>
        <v/>
      </c>
      <c r="E138" t="str">
        <f>IF(A138="","",IFERROR(VLOOKUP(A138,Deal!$A:$K,4,0),""))</f>
        <v/>
      </c>
      <c r="F138" t="str">
        <f>IF(A138="","",IFERROR(VLOOKUP(A138,Enquiry!$A:$K,6,0),"— Enter manually"))</f>
        <v/>
      </c>
      <c r="G138" s="9" t="str">
        <f>IF(A138="","",IFERROR(VLOOKUP(A138,Deal!$A:$K,6,0),0))</f>
        <v/>
      </c>
      <c r="H138" t="str">
        <f>IF(A138="","",IFERROR(VLOOKUP(A138,Deal!$A:$K,9,0),""))</f>
        <v/>
      </c>
      <c r="I138" s="6" t="str">
        <f>IF(A138="","",IFERROR(VLOOKUP(A138,Deal!$A:$K,7,0),""))</f>
        <v/>
      </c>
      <c r="J138" s="12"/>
      <c r="K138" s="13"/>
      <c r="L138" s="13"/>
      <c r="M138" s="13"/>
      <c r="N138" s="12"/>
      <c r="O138" s="14"/>
      <c r="P138" s="12"/>
      <c r="Q138" s="12"/>
    </row>
    <row r="139" spans="1:17" ht="15" customHeight="1" x14ac:dyDescent="0.35">
      <c r="A139" s="12"/>
      <c r="B139" s="10" t="str">
        <f>IF(A139="","",IFERROR(IF(VLOOKUP(A139,Deal!$A:$K,8,0)="Win","✅ Win – Proceed","⚠ Stage: "&amp;VLOOKUP(A139,Deal!$A:$K,8,0)),"❌ Deal ID Not Found"))</f>
        <v/>
      </c>
      <c r="C139" t="str">
        <f>IF(A139="","",IFERROR(VLOOKUP(A139,Deal!$A:$K,2,0),""))</f>
        <v/>
      </c>
      <c r="D139" t="str">
        <f>IF(A139="","",IFERROR(VLOOKUP(A139,Deal!$A:$K,3,0),""))</f>
        <v/>
      </c>
      <c r="E139" t="str">
        <f>IF(A139="","",IFERROR(VLOOKUP(A139,Deal!$A:$K,4,0),""))</f>
        <v/>
      </c>
      <c r="F139" t="str">
        <f>IF(A139="","",IFERROR(VLOOKUP(A139,Enquiry!$A:$K,6,0),"— Enter manually"))</f>
        <v/>
      </c>
      <c r="G139" s="9" t="str">
        <f>IF(A139="","",IFERROR(VLOOKUP(A139,Deal!$A:$K,6,0),0))</f>
        <v/>
      </c>
      <c r="H139" t="str">
        <f>IF(A139="","",IFERROR(VLOOKUP(A139,Deal!$A:$K,9,0),""))</f>
        <v/>
      </c>
      <c r="I139" s="6" t="str">
        <f>IF(A139="","",IFERROR(VLOOKUP(A139,Deal!$A:$K,7,0),""))</f>
        <v/>
      </c>
      <c r="J139" s="12"/>
      <c r="K139" s="13"/>
      <c r="L139" s="13"/>
      <c r="M139" s="13"/>
      <c r="N139" s="12"/>
      <c r="O139" s="14"/>
      <c r="P139" s="12"/>
      <c r="Q139" s="12"/>
    </row>
    <row r="140" spans="1:17" ht="15" customHeight="1" x14ac:dyDescent="0.35">
      <c r="A140" s="12"/>
      <c r="B140" s="10" t="str">
        <f>IF(A140="","",IFERROR(IF(VLOOKUP(A140,Deal!$A:$K,8,0)="Win","✅ Win – Proceed","⚠ Stage: "&amp;VLOOKUP(A140,Deal!$A:$K,8,0)),"❌ Deal ID Not Found"))</f>
        <v/>
      </c>
      <c r="C140" t="str">
        <f>IF(A140="","",IFERROR(VLOOKUP(A140,Deal!$A:$K,2,0),""))</f>
        <v/>
      </c>
      <c r="D140" t="str">
        <f>IF(A140="","",IFERROR(VLOOKUP(A140,Deal!$A:$K,3,0),""))</f>
        <v/>
      </c>
      <c r="E140" t="str">
        <f>IF(A140="","",IFERROR(VLOOKUP(A140,Deal!$A:$K,4,0),""))</f>
        <v/>
      </c>
      <c r="F140" t="str">
        <f>IF(A140="","",IFERROR(VLOOKUP(A140,Enquiry!$A:$K,6,0),"— Enter manually"))</f>
        <v/>
      </c>
      <c r="G140" s="9" t="str">
        <f>IF(A140="","",IFERROR(VLOOKUP(A140,Deal!$A:$K,6,0),0))</f>
        <v/>
      </c>
      <c r="H140" t="str">
        <f>IF(A140="","",IFERROR(VLOOKUP(A140,Deal!$A:$K,9,0),""))</f>
        <v/>
      </c>
      <c r="I140" s="6" t="str">
        <f>IF(A140="","",IFERROR(VLOOKUP(A140,Deal!$A:$K,7,0),""))</f>
        <v/>
      </c>
      <c r="J140" s="12"/>
      <c r="K140" s="13"/>
      <c r="L140" s="13"/>
      <c r="M140" s="13"/>
      <c r="N140" s="12"/>
      <c r="O140" s="14"/>
      <c r="P140" s="12"/>
      <c r="Q140" s="12"/>
    </row>
    <row r="141" spans="1:17" ht="15" customHeight="1" x14ac:dyDescent="0.35">
      <c r="A141" s="12"/>
      <c r="B141" s="10" t="str">
        <f>IF(A141="","",IFERROR(IF(VLOOKUP(A141,Deal!$A:$K,8,0)="Win","✅ Win – Proceed","⚠ Stage: "&amp;VLOOKUP(A141,Deal!$A:$K,8,0)),"❌ Deal ID Not Found"))</f>
        <v/>
      </c>
      <c r="C141" t="str">
        <f>IF(A141="","",IFERROR(VLOOKUP(A141,Deal!$A:$K,2,0),""))</f>
        <v/>
      </c>
      <c r="D141" t="str">
        <f>IF(A141="","",IFERROR(VLOOKUP(A141,Deal!$A:$K,3,0),""))</f>
        <v/>
      </c>
      <c r="E141" t="str">
        <f>IF(A141="","",IFERROR(VLOOKUP(A141,Deal!$A:$K,4,0),""))</f>
        <v/>
      </c>
      <c r="F141" t="str">
        <f>IF(A141="","",IFERROR(VLOOKUP(A141,Enquiry!$A:$K,6,0),"— Enter manually"))</f>
        <v/>
      </c>
      <c r="G141" s="9" t="str">
        <f>IF(A141="","",IFERROR(VLOOKUP(A141,Deal!$A:$K,6,0),0))</f>
        <v/>
      </c>
      <c r="H141" t="str">
        <f>IF(A141="","",IFERROR(VLOOKUP(A141,Deal!$A:$K,9,0),""))</f>
        <v/>
      </c>
      <c r="I141" s="6" t="str">
        <f>IF(A141="","",IFERROR(VLOOKUP(A141,Deal!$A:$K,7,0),""))</f>
        <v/>
      </c>
      <c r="J141" s="12"/>
      <c r="K141" s="13"/>
      <c r="L141" s="13"/>
      <c r="M141" s="13"/>
      <c r="N141" s="12"/>
      <c r="O141" s="14"/>
      <c r="P141" s="12"/>
      <c r="Q141" s="12"/>
    </row>
    <row r="142" spans="1:17" ht="15" customHeight="1" x14ac:dyDescent="0.35">
      <c r="A142" s="12"/>
      <c r="B142" s="10" t="str">
        <f>IF(A142="","",IFERROR(IF(VLOOKUP(A142,Deal!$A:$K,8,0)="Win","✅ Win – Proceed","⚠ Stage: "&amp;VLOOKUP(A142,Deal!$A:$K,8,0)),"❌ Deal ID Not Found"))</f>
        <v/>
      </c>
      <c r="C142" t="str">
        <f>IF(A142="","",IFERROR(VLOOKUP(A142,Deal!$A:$K,2,0),""))</f>
        <v/>
      </c>
      <c r="D142" t="str">
        <f>IF(A142="","",IFERROR(VLOOKUP(A142,Deal!$A:$K,3,0),""))</f>
        <v/>
      </c>
      <c r="E142" t="str">
        <f>IF(A142="","",IFERROR(VLOOKUP(A142,Deal!$A:$K,4,0),""))</f>
        <v/>
      </c>
      <c r="F142" t="str">
        <f>IF(A142="","",IFERROR(VLOOKUP(A142,Enquiry!$A:$K,6,0),"— Enter manually"))</f>
        <v/>
      </c>
      <c r="G142" s="9" t="str">
        <f>IF(A142="","",IFERROR(VLOOKUP(A142,Deal!$A:$K,6,0),0))</f>
        <v/>
      </c>
      <c r="H142" t="str">
        <f>IF(A142="","",IFERROR(VLOOKUP(A142,Deal!$A:$K,9,0),""))</f>
        <v/>
      </c>
      <c r="I142" s="6" t="str">
        <f>IF(A142="","",IFERROR(VLOOKUP(A142,Deal!$A:$K,7,0),""))</f>
        <v/>
      </c>
      <c r="J142" s="12"/>
      <c r="K142" s="13"/>
      <c r="L142" s="13"/>
      <c r="M142" s="13"/>
      <c r="N142" s="12"/>
      <c r="O142" s="14"/>
      <c r="P142" s="12"/>
      <c r="Q142" s="12"/>
    </row>
    <row r="143" spans="1:17" ht="15" customHeight="1" x14ac:dyDescent="0.35">
      <c r="A143" s="12"/>
      <c r="B143" s="10" t="str">
        <f>IF(A143="","",IFERROR(IF(VLOOKUP(A143,Deal!$A:$K,8,0)="Win","✅ Win – Proceed","⚠ Stage: "&amp;VLOOKUP(A143,Deal!$A:$K,8,0)),"❌ Deal ID Not Found"))</f>
        <v/>
      </c>
      <c r="C143" t="str">
        <f>IF(A143="","",IFERROR(VLOOKUP(A143,Deal!$A:$K,2,0),""))</f>
        <v/>
      </c>
      <c r="D143" t="str">
        <f>IF(A143="","",IFERROR(VLOOKUP(A143,Deal!$A:$K,3,0),""))</f>
        <v/>
      </c>
      <c r="E143" t="str">
        <f>IF(A143="","",IFERROR(VLOOKUP(A143,Deal!$A:$K,4,0),""))</f>
        <v/>
      </c>
      <c r="F143" t="str">
        <f>IF(A143="","",IFERROR(VLOOKUP(A143,Enquiry!$A:$K,6,0),"— Enter manually"))</f>
        <v/>
      </c>
      <c r="G143" s="9" t="str">
        <f>IF(A143="","",IFERROR(VLOOKUP(A143,Deal!$A:$K,6,0),0))</f>
        <v/>
      </c>
      <c r="H143" t="str">
        <f>IF(A143="","",IFERROR(VLOOKUP(A143,Deal!$A:$K,9,0),""))</f>
        <v/>
      </c>
      <c r="I143" s="6" t="str">
        <f>IF(A143="","",IFERROR(VLOOKUP(A143,Deal!$A:$K,7,0),""))</f>
        <v/>
      </c>
      <c r="J143" s="12"/>
      <c r="K143" s="13"/>
      <c r="L143" s="13"/>
      <c r="M143" s="13"/>
      <c r="N143" s="12"/>
      <c r="O143" s="14"/>
      <c r="P143" s="12"/>
      <c r="Q143" s="12"/>
    </row>
    <row r="144" spans="1:17" ht="15" customHeight="1" x14ac:dyDescent="0.35">
      <c r="A144" s="12"/>
      <c r="B144" s="10" t="str">
        <f>IF(A144="","",IFERROR(IF(VLOOKUP(A144,Deal!$A:$K,8,0)="Win","✅ Win – Proceed","⚠ Stage: "&amp;VLOOKUP(A144,Deal!$A:$K,8,0)),"❌ Deal ID Not Found"))</f>
        <v/>
      </c>
      <c r="C144" t="str">
        <f>IF(A144="","",IFERROR(VLOOKUP(A144,Deal!$A:$K,2,0),""))</f>
        <v/>
      </c>
      <c r="D144" t="str">
        <f>IF(A144="","",IFERROR(VLOOKUP(A144,Deal!$A:$K,3,0),""))</f>
        <v/>
      </c>
      <c r="E144" t="str">
        <f>IF(A144="","",IFERROR(VLOOKUP(A144,Deal!$A:$K,4,0),""))</f>
        <v/>
      </c>
      <c r="F144" t="str">
        <f>IF(A144="","",IFERROR(VLOOKUP(A144,Enquiry!$A:$K,6,0),"— Enter manually"))</f>
        <v/>
      </c>
      <c r="G144" s="9" t="str">
        <f>IF(A144="","",IFERROR(VLOOKUP(A144,Deal!$A:$K,6,0),0))</f>
        <v/>
      </c>
      <c r="H144" t="str">
        <f>IF(A144="","",IFERROR(VLOOKUP(A144,Deal!$A:$K,9,0),""))</f>
        <v/>
      </c>
      <c r="I144" s="6" t="str">
        <f>IF(A144="","",IFERROR(VLOOKUP(A144,Deal!$A:$K,7,0),""))</f>
        <v/>
      </c>
      <c r="J144" s="12"/>
      <c r="K144" s="13"/>
      <c r="L144" s="13"/>
      <c r="M144" s="13"/>
      <c r="N144" s="12"/>
      <c r="O144" s="14"/>
      <c r="P144" s="12"/>
      <c r="Q144" s="12"/>
    </row>
    <row r="145" spans="1:17" ht="15" customHeight="1" x14ac:dyDescent="0.35">
      <c r="A145" s="12"/>
      <c r="B145" s="10" t="str">
        <f>IF(A145="","",IFERROR(IF(VLOOKUP(A145,Deal!$A:$K,8,0)="Win","✅ Win – Proceed","⚠ Stage: "&amp;VLOOKUP(A145,Deal!$A:$K,8,0)),"❌ Deal ID Not Found"))</f>
        <v/>
      </c>
      <c r="C145" t="str">
        <f>IF(A145="","",IFERROR(VLOOKUP(A145,Deal!$A:$K,2,0),""))</f>
        <v/>
      </c>
      <c r="D145" t="str">
        <f>IF(A145="","",IFERROR(VLOOKUP(A145,Deal!$A:$K,3,0),""))</f>
        <v/>
      </c>
      <c r="E145" t="str">
        <f>IF(A145="","",IFERROR(VLOOKUP(A145,Deal!$A:$K,4,0),""))</f>
        <v/>
      </c>
      <c r="F145" t="str">
        <f>IF(A145="","",IFERROR(VLOOKUP(A145,Enquiry!$A:$K,6,0),"— Enter manually"))</f>
        <v/>
      </c>
      <c r="G145" s="9" t="str">
        <f>IF(A145="","",IFERROR(VLOOKUP(A145,Deal!$A:$K,6,0),0))</f>
        <v/>
      </c>
      <c r="H145" t="str">
        <f>IF(A145="","",IFERROR(VLOOKUP(A145,Deal!$A:$K,9,0),""))</f>
        <v/>
      </c>
      <c r="I145" s="6" t="str">
        <f>IF(A145="","",IFERROR(VLOOKUP(A145,Deal!$A:$K,7,0),""))</f>
        <v/>
      </c>
      <c r="J145" s="12"/>
      <c r="K145" s="13"/>
      <c r="L145" s="13"/>
      <c r="M145" s="13"/>
      <c r="N145" s="12"/>
      <c r="O145" s="14"/>
      <c r="P145" s="12"/>
      <c r="Q145" s="12"/>
    </row>
    <row r="146" spans="1:17" ht="15" customHeight="1" x14ac:dyDescent="0.35">
      <c r="A146" s="12"/>
      <c r="B146" s="10" t="str">
        <f>IF(A146="","",IFERROR(IF(VLOOKUP(A146,Deal!$A:$K,8,0)="Win","✅ Win – Proceed","⚠ Stage: "&amp;VLOOKUP(A146,Deal!$A:$K,8,0)),"❌ Deal ID Not Found"))</f>
        <v/>
      </c>
      <c r="C146" t="str">
        <f>IF(A146="","",IFERROR(VLOOKUP(A146,Deal!$A:$K,2,0),""))</f>
        <v/>
      </c>
      <c r="D146" t="str">
        <f>IF(A146="","",IFERROR(VLOOKUP(A146,Deal!$A:$K,3,0),""))</f>
        <v/>
      </c>
      <c r="E146" t="str">
        <f>IF(A146="","",IFERROR(VLOOKUP(A146,Deal!$A:$K,4,0),""))</f>
        <v/>
      </c>
      <c r="F146" t="str">
        <f>IF(A146="","",IFERROR(VLOOKUP(A146,Enquiry!$A:$K,6,0),"— Enter manually"))</f>
        <v/>
      </c>
      <c r="G146" s="9" t="str">
        <f>IF(A146="","",IFERROR(VLOOKUP(A146,Deal!$A:$K,6,0),0))</f>
        <v/>
      </c>
      <c r="H146" t="str">
        <f>IF(A146="","",IFERROR(VLOOKUP(A146,Deal!$A:$K,9,0),""))</f>
        <v/>
      </c>
      <c r="I146" s="6" t="str">
        <f>IF(A146="","",IFERROR(VLOOKUP(A146,Deal!$A:$K,7,0),""))</f>
        <v/>
      </c>
      <c r="J146" s="12"/>
      <c r="K146" s="13"/>
      <c r="L146" s="13"/>
      <c r="M146" s="13"/>
      <c r="N146" s="12"/>
      <c r="O146" s="14"/>
      <c r="P146" s="12"/>
      <c r="Q146" s="12"/>
    </row>
    <row r="147" spans="1:17" ht="15" customHeight="1" x14ac:dyDescent="0.35">
      <c r="A147" s="12"/>
      <c r="B147" s="10" t="str">
        <f>IF(A147="","",IFERROR(IF(VLOOKUP(A147,Deal!$A:$K,8,0)="Win","✅ Win – Proceed","⚠ Stage: "&amp;VLOOKUP(A147,Deal!$A:$K,8,0)),"❌ Deal ID Not Found"))</f>
        <v/>
      </c>
      <c r="C147" t="str">
        <f>IF(A147="","",IFERROR(VLOOKUP(A147,Deal!$A:$K,2,0),""))</f>
        <v/>
      </c>
      <c r="D147" t="str">
        <f>IF(A147="","",IFERROR(VLOOKUP(A147,Deal!$A:$K,3,0),""))</f>
        <v/>
      </c>
      <c r="E147" t="str">
        <f>IF(A147="","",IFERROR(VLOOKUP(A147,Deal!$A:$K,4,0),""))</f>
        <v/>
      </c>
      <c r="F147" t="str">
        <f>IF(A147="","",IFERROR(VLOOKUP(A147,Enquiry!$A:$K,6,0),"— Enter manually"))</f>
        <v/>
      </c>
      <c r="G147" s="9" t="str">
        <f>IF(A147="","",IFERROR(VLOOKUP(A147,Deal!$A:$K,6,0),0))</f>
        <v/>
      </c>
      <c r="H147" t="str">
        <f>IF(A147="","",IFERROR(VLOOKUP(A147,Deal!$A:$K,9,0),""))</f>
        <v/>
      </c>
      <c r="I147" s="6" t="str">
        <f>IF(A147="","",IFERROR(VLOOKUP(A147,Deal!$A:$K,7,0),""))</f>
        <v/>
      </c>
      <c r="J147" s="12"/>
      <c r="K147" s="13"/>
      <c r="L147" s="13"/>
      <c r="M147" s="13"/>
      <c r="N147" s="12"/>
      <c r="O147" s="14"/>
      <c r="P147" s="12"/>
      <c r="Q147" s="12"/>
    </row>
    <row r="148" spans="1:17" ht="15" customHeight="1" x14ac:dyDescent="0.35">
      <c r="A148" s="12"/>
      <c r="B148" s="10" t="str">
        <f>IF(A148="","",IFERROR(IF(VLOOKUP(A148,Deal!$A:$K,8,0)="Win","✅ Win – Proceed","⚠ Stage: "&amp;VLOOKUP(A148,Deal!$A:$K,8,0)),"❌ Deal ID Not Found"))</f>
        <v/>
      </c>
      <c r="C148" t="str">
        <f>IF(A148="","",IFERROR(VLOOKUP(A148,Deal!$A:$K,2,0),""))</f>
        <v/>
      </c>
      <c r="D148" t="str">
        <f>IF(A148="","",IFERROR(VLOOKUP(A148,Deal!$A:$K,3,0),""))</f>
        <v/>
      </c>
      <c r="E148" t="str">
        <f>IF(A148="","",IFERROR(VLOOKUP(A148,Deal!$A:$K,4,0),""))</f>
        <v/>
      </c>
      <c r="F148" t="str">
        <f>IF(A148="","",IFERROR(VLOOKUP(A148,Enquiry!$A:$K,6,0),"— Enter manually"))</f>
        <v/>
      </c>
      <c r="G148" s="9" t="str">
        <f>IF(A148="","",IFERROR(VLOOKUP(A148,Deal!$A:$K,6,0),0))</f>
        <v/>
      </c>
      <c r="H148" t="str">
        <f>IF(A148="","",IFERROR(VLOOKUP(A148,Deal!$A:$K,9,0),""))</f>
        <v/>
      </c>
      <c r="I148" s="6" t="str">
        <f>IF(A148="","",IFERROR(VLOOKUP(A148,Deal!$A:$K,7,0),""))</f>
        <v/>
      </c>
      <c r="J148" s="12"/>
      <c r="K148" s="13"/>
      <c r="L148" s="13"/>
      <c r="M148" s="13"/>
      <c r="N148" s="12"/>
      <c r="O148" s="14"/>
      <c r="P148" s="12"/>
      <c r="Q148" s="12"/>
    </row>
    <row r="149" spans="1:17" ht="15" customHeight="1" x14ac:dyDescent="0.35">
      <c r="A149" s="12"/>
      <c r="B149" s="10" t="str">
        <f>IF(A149="","",IFERROR(IF(VLOOKUP(A149,Deal!$A:$K,8,0)="Win","✅ Win – Proceed","⚠ Stage: "&amp;VLOOKUP(A149,Deal!$A:$K,8,0)),"❌ Deal ID Not Found"))</f>
        <v/>
      </c>
      <c r="C149" t="str">
        <f>IF(A149="","",IFERROR(VLOOKUP(A149,Deal!$A:$K,2,0),""))</f>
        <v/>
      </c>
      <c r="D149" t="str">
        <f>IF(A149="","",IFERROR(VLOOKUP(A149,Deal!$A:$K,3,0),""))</f>
        <v/>
      </c>
      <c r="E149" t="str">
        <f>IF(A149="","",IFERROR(VLOOKUP(A149,Deal!$A:$K,4,0),""))</f>
        <v/>
      </c>
      <c r="F149" t="str">
        <f>IF(A149="","",IFERROR(VLOOKUP(A149,Enquiry!$A:$K,6,0),"— Enter manually"))</f>
        <v/>
      </c>
      <c r="G149" s="9" t="str">
        <f>IF(A149="","",IFERROR(VLOOKUP(A149,Deal!$A:$K,6,0),0))</f>
        <v/>
      </c>
      <c r="H149" t="str">
        <f>IF(A149="","",IFERROR(VLOOKUP(A149,Deal!$A:$K,9,0),""))</f>
        <v/>
      </c>
      <c r="I149" s="6" t="str">
        <f>IF(A149="","",IFERROR(VLOOKUP(A149,Deal!$A:$K,7,0),""))</f>
        <v/>
      </c>
      <c r="J149" s="12"/>
      <c r="K149" s="13"/>
      <c r="L149" s="13"/>
      <c r="M149" s="13"/>
      <c r="N149" s="12"/>
      <c r="O149" s="14"/>
      <c r="P149" s="12"/>
      <c r="Q149" s="12"/>
    </row>
    <row r="150" spans="1:17" ht="15" customHeight="1" x14ac:dyDescent="0.35">
      <c r="A150" s="12"/>
      <c r="B150" s="10" t="str">
        <f>IF(A150="","",IFERROR(IF(VLOOKUP(A150,Deal!$A:$K,8,0)="Win","✅ Win – Proceed","⚠ Stage: "&amp;VLOOKUP(A150,Deal!$A:$K,8,0)),"❌ Deal ID Not Found"))</f>
        <v/>
      </c>
      <c r="C150" t="str">
        <f>IF(A150="","",IFERROR(VLOOKUP(A150,Deal!$A:$K,2,0),""))</f>
        <v/>
      </c>
      <c r="D150" t="str">
        <f>IF(A150="","",IFERROR(VLOOKUP(A150,Deal!$A:$K,3,0),""))</f>
        <v/>
      </c>
      <c r="E150" t="str">
        <f>IF(A150="","",IFERROR(VLOOKUP(A150,Deal!$A:$K,4,0),""))</f>
        <v/>
      </c>
      <c r="F150" t="str">
        <f>IF(A150="","",IFERROR(VLOOKUP(A150,Enquiry!$A:$K,6,0),"— Enter manually"))</f>
        <v/>
      </c>
      <c r="G150" s="9" t="str">
        <f>IF(A150="","",IFERROR(VLOOKUP(A150,Deal!$A:$K,6,0),0))</f>
        <v/>
      </c>
      <c r="H150" t="str">
        <f>IF(A150="","",IFERROR(VLOOKUP(A150,Deal!$A:$K,9,0),""))</f>
        <v/>
      </c>
      <c r="I150" s="6" t="str">
        <f>IF(A150="","",IFERROR(VLOOKUP(A150,Deal!$A:$K,7,0),""))</f>
        <v/>
      </c>
      <c r="J150" s="12"/>
      <c r="K150" s="13"/>
      <c r="L150" s="13"/>
      <c r="M150" s="13"/>
      <c r="N150" s="12"/>
      <c r="O150" s="14"/>
      <c r="P150" s="12"/>
      <c r="Q150" s="12"/>
    </row>
    <row r="151" spans="1:17" ht="15" customHeight="1" x14ac:dyDescent="0.35">
      <c r="A151" s="12"/>
      <c r="B151" s="10" t="str">
        <f>IF(A151="","",IFERROR(IF(VLOOKUP(A151,Deal!$A:$K,8,0)="Win","✅ Win – Proceed","⚠ Stage: "&amp;VLOOKUP(A151,Deal!$A:$K,8,0)),"❌ Deal ID Not Found"))</f>
        <v/>
      </c>
      <c r="C151" t="str">
        <f>IF(A151="","",IFERROR(VLOOKUP(A151,Deal!$A:$K,2,0),""))</f>
        <v/>
      </c>
      <c r="D151" t="str">
        <f>IF(A151="","",IFERROR(VLOOKUP(A151,Deal!$A:$K,3,0),""))</f>
        <v/>
      </c>
      <c r="E151" t="str">
        <f>IF(A151="","",IFERROR(VLOOKUP(A151,Deal!$A:$K,4,0),""))</f>
        <v/>
      </c>
      <c r="F151" t="str">
        <f>IF(A151="","",IFERROR(VLOOKUP(A151,Enquiry!$A:$K,6,0),"— Enter manually"))</f>
        <v/>
      </c>
      <c r="G151" s="9" t="str">
        <f>IF(A151="","",IFERROR(VLOOKUP(A151,Deal!$A:$K,6,0),0))</f>
        <v/>
      </c>
      <c r="H151" t="str">
        <f>IF(A151="","",IFERROR(VLOOKUP(A151,Deal!$A:$K,9,0),""))</f>
        <v/>
      </c>
      <c r="I151" s="6" t="str">
        <f>IF(A151="","",IFERROR(VLOOKUP(A151,Deal!$A:$K,7,0),""))</f>
        <v/>
      </c>
      <c r="J151" s="12"/>
      <c r="K151" s="13"/>
      <c r="L151" s="13"/>
      <c r="M151" s="13"/>
      <c r="N151" s="12"/>
      <c r="O151" s="14"/>
      <c r="P151" s="12"/>
      <c r="Q151" s="12"/>
    </row>
    <row r="152" spans="1:17" ht="15" customHeight="1" x14ac:dyDescent="0.35">
      <c r="A152" s="12"/>
      <c r="B152" s="10" t="str">
        <f>IF(A152="","",IFERROR(IF(VLOOKUP(A152,Deal!$A:$K,8,0)="Win","✅ Win – Proceed","⚠ Stage: "&amp;VLOOKUP(A152,Deal!$A:$K,8,0)),"❌ Deal ID Not Found"))</f>
        <v/>
      </c>
      <c r="C152" t="str">
        <f>IF(A152="","",IFERROR(VLOOKUP(A152,Deal!$A:$K,2,0),""))</f>
        <v/>
      </c>
      <c r="D152" t="str">
        <f>IF(A152="","",IFERROR(VLOOKUP(A152,Deal!$A:$K,3,0),""))</f>
        <v/>
      </c>
      <c r="E152" t="str">
        <f>IF(A152="","",IFERROR(VLOOKUP(A152,Deal!$A:$K,4,0),""))</f>
        <v/>
      </c>
      <c r="F152" t="str">
        <f>IF(A152="","",IFERROR(VLOOKUP(A152,Enquiry!$A:$K,6,0),"— Enter manually"))</f>
        <v/>
      </c>
      <c r="G152" s="9" t="str">
        <f>IF(A152="","",IFERROR(VLOOKUP(A152,Deal!$A:$K,6,0),0))</f>
        <v/>
      </c>
      <c r="H152" t="str">
        <f>IF(A152="","",IFERROR(VLOOKUP(A152,Deal!$A:$K,9,0),""))</f>
        <v/>
      </c>
      <c r="I152" s="6" t="str">
        <f>IF(A152="","",IFERROR(VLOOKUP(A152,Deal!$A:$K,7,0),""))</f>
        <v/>
      </c>
      <c r="J152" s="12"/>
      <c r="K152" s="13"/>
      <c r="L152" s="13"/>
      <c r="M152" s="13"/>
      <c r="N152" s="12"/>
      <c r="O152" s="14"/>
      <c r="P152" s="12"/>
      <c r="Q152" s="12"/>
    </row>
    <row r="153" spans="1:17" ht="15" customHeight="1" x14ac:dyDescent="0.35">
      <c r="A153" s="12"/>
      <c r="B153" s="10" t="str">
        <f>IF(A153="","",IFERROR(IF(VLOOKUP(A153,Deal!$A:$K,8,0)="Win","✅ Win – Proceed","⚠ Stage: "&amp;VLOOKUP(A153,Deal!$A:$K,8,0)),"❌ Deal ID Not Found"))</f>
        <v/>
      </c>
      <c r="C153" t="str">
        <f>IF(A153="","",IFERROR(VLOOKUP(A153,Deal!$A:$K,2,0),""))</f>
        <v/>
      </c>
      <c r="D153" t="str">
        <f>IF(A153="","",IFERROR(VLOOKUP(A153,Deal!$A:$K,3,0),""))</f>
        <v/>
      </c>
      <c r="E153" t="str">
        <f>IF(A153="","",IFERROR(VLOOKUP(A153,Deal!$A:$K,4,0),""))</f>
        <v/>
      </c>
      <c r="F153" t="str">
        <f>IF(A153="","",IFERROR(VLOOKUP(A153,Enquiry!$A:$K,6,0),"— Enter manually"))</f>
        <v/>
      </c>
      <c r="G153" s="9" t="str">
        <f>IF(A153="","",IFERROR(VLOOKUP(A153,Deal!$A:$K,6,0),0))</f>
        <v/>
      </c>
      <c r="H153" t="str">
        <f>IF(A153="","",IFERROR(VLOOKUP(A153,Deal!$A:$K,9,0),""))</f>
        <v/>
      </c>
      <c r="I153" s="6" t="str">
        <f>IF(A153="","",IFERROR(VLOOKUP(A153,Deal!$A:$K,7,0),""))</f>
        <v/>
      </c>
      <c r="J153" s="12"/>
      <c r="K153" s="13"/>
      <c r="L153" s="13"/>
      <c r="M153" s="13"/>
      <c r="N153" s="12"/>
      <c r="O153" s="14"/>
      <c r="P153" s="12"/>
      <c r="Q153" s="12"/>
    </row>
    <row r="154" spans="1:17" ht="15" customHeight="1" x14ac:dyDescent="0.35">
      <c r="A154" s="12"/>
      <c r="B154" s="10" t="str">
        <f>IF(A154="","",IFERROR(IF(VLOOKUP(A154,Deal!$A:$K,8,0)="Win","✅ Win – Proceed","⚠ Stage: "&amp;VLOOKUP(A154,Deal!$A:$K,8,0)),"❌ Deal ID Not Found"))</f>
        <v/>
      </c>
      <c r="C154" t="str">
        <f>IF(A154="","",IFERROR(VLOOKUP(A154,Deal!$A:$K,2,0),""))</f>
        <v/>
      </c>
      <c r="D154" t="str">
        <f>IF(A154="","",IFERROR(VLOOKUP(A154,Deal!$A:$K,3,0),""))</f>
        <v/>
      </c>
      <c r="E154" t="str">
        <f>IF(A154="","",IFERROR(VLOOKUP(A154,Deal!$A:$K,4,0),""))</f>
        <v/>
      </c>
      <c r="F154" t="str">
        <f>IF(A154="","",IFERROR(VLOOKUP(A154,Enquiry!$A:$K,6,0),"— Enter manually"))</f>
        <v/>
      </c>
      <c r="G154" s="9" t="str">
        <f>IF(A154="","",IFERROR(VLOOKUP(A154,Deal!$A:$K,6,0),0))</f>
        <v/>
      </c>
      <c r="H154" t="str">
        <f>IF(A154="","",IFERROR(VLOOKUP(A154,Deal!$A:$K,9,0),""))</f>
        <v/>
      </c>
      <c r="I154" s="6" t="str">
        <f>IF(A154="","",IFERROR(VLOOKUP(A154,Deal!$A:$K,7,0),""))</f>
        <v/>
      </c>
      <c r="J154" s="12"/>
      <c r="K154" s="13"/>
      <c r="L154" s="13"/>
      <c r="M154" s="13"/>
      <c r="N154" s="12"/>
      <c r="O154" s="14"/>
      <c r="P154" s="12"/>
      <c r="Q154" s="12"/>
    </row>
    <row r="155" spans="1:17" ht="15" customHeight="1" x14ac:dyDescent="0.35">
      <c r="A155" s="12"/>
      <c r="B155" s="10" t="str">
        <f>IF(A155="","",IFERROR(IF(VLOOKUP(A155,Deal!$A:$K,8,0)="Win","✅ Win – Proceed","⚠ Stage: "&amp;VLOOKUP(A155,Deal!$A:$K,8,0)),"❌ Deal ID Not Found"))</f>
        <v/>
      </c>
      <c r="C155" t="str">
        <f>IF(A155="","",IFERROR(VLOOKUP(A155,Deal!$A:$K,2,0),""))</f>
        <v/>
      </c>
      <c r="D155" t="str">
        <f>IF(A155="","",IFERROR(VLOOKUP(A155,Deal!$A:$K,3,0),""))</f>
        <v/>
      </c>
      <c r="E155" t="str">
        <f>IF(A155="","",IFERROR(VLOOKUP(A155,Deal!$A:$K,4,0),""))</f>
        <v/>
      </c>
      <c r="F155" t="str">
        <f>IF(A155="","",IFERROR(VLOOKUP(A155,Enquiry!$A:$K,6,0),"— Enter manually"))</f>
        <v/>
      </c>
      <c r="G155" s="9" t="str">
        <f>IF(A155="","",IFERROR(VLOOKUP(A155,Deal!$A:$K,6,0),0))</f>
        <v/>
      </c>
      <c r="H155" t="str">
        <f>IF(A155="","",IFERROR(VLOOKUP(A155,Deal!$A:$K,9,0),""))</f>
        <v/>
      </c>
      <c r="I155" s="6" t="str">
        <f>IF(A155="","",IFERROR(VLOOKUP(A155,Deal!$A:$K,7,0),""))</f>
        <v/>
      </c>
      <c r="J155" s="12"/>
      <c r="K155" s="13"/>
      <c r="L155" s="13"/>
      <c r="M155" s="13"/>
      <c r="N155" s="12"/>
      <c r="O155" s="14"/>
      <c r="P155" s="12"/>
      <c r="Q155" s="12"/>
    </row>
    <row r="156" spans="1:17" ht="15" customHeight="1" x14ac:dyDescent="0.35">
      <c r="A156" s="12"/>
      <c r="B156" s="10" t="str">
        <f>IF(A156="","",IFERROR(IF(VLOOKUP(A156,Deal!$A:$K,8,0)="Win","✅ Win – Proceed","⚠ Stage: "&amp;VLOOKUP(A156,Deal!$A:$K,8,0)),"❌ Deal ID Not Found"))</f>
        <v/>
      </c>
      <c r="C156" t="str">
        <f>IF(A156="","",IFERROR(VLOOKUP(A156,Deal!$A:$K,2,0),""))</f>
        <v/>
      </c>
      <c r="D156" t="str">
        <f>IF(A156="","",IFERROR(VLOOKUP(A156,Deal!$A:$K,3,0),""))</f>
        <v/>
      </c>
      <c r="E156" t="str">
        <f>IF(A156="","",IFERROR(VLOOKUP(A156,Deal!$A:$K,4,0),""))</f>
        <v/>
      </c>
      <c r="F156" t="str">
        <f>IF(A156="","",IFERROR(VLOOKUP(A156,Enquiry!$A:$K,6,0),"— Enter manually"))</f>
        <v/>
      </c>
      <c r="G156" s="9" t="str">
        <f>IF(A156="","",IFERROR(VLOOKUP(A156,Deal!$A:$K,6,0),0))</f>
        <v/>
      </c>
      <c r="H156" t="str">
        <f>IF(A156="","",IFERROR(VLOOKUP(A156,Deal!$A:$K,9,0),""))</f>
        <v/>
      </c>
      <c r="I156" s="6" t="str">
        <f>IF(A156="","",IFERROR(VLOOKUP(A156,Deal!$A:$K,7,0),""))</f>
        <v/>
      </c>
      <c r="J156" s="12"/>
      <c r="K156" s="13"/>
      <c r="L156" s="13"/>
      <c r="M156" s="13"/>
      <c r="N156" s="12"/>
      <c r="O156" s="14"/>
      <c r="P156" s="12"/>
      <c r="Q156" s="12"/>
    </row>
    <row r="157" spans="1:17" ht="15" customHeight="1" x14ac:dyDescent="0.35">
      <c r="A157" s="12"/>
      <c r="B157" s="10" t="str">
        <f>IF(A157="","",IFERROR(IF(VLOOKUP(A157,Deal!$A:$K,8,0)="Win","✅ Win – Proceed","⚠ Stage: "&amp;VLOOKUP(A157,Deal!$A:$K,8,0)),"❌ Deal ID Not Found"))</f>
        <v/>
      </c>
      <c r="C157" t="str">
        <f>IF(A157="","",IFERROR(VLOOKUP(A157,Deal!$A:$K,2,0),""))</f>
        <v/>
      </c>
      <c r="D157" t="str">
        <f>IF(A157="","",IFERROR(VLOOKUP(A157,Deal!$A:$K,3,0),""))</f>
        <v/>
      </c>
      <c r="E157" t="str">
        <f>IF(A157="","",IFERROR(VLOOKUP(A157,Deal!$A:$K,4,0),""))</f>
        <v/>
      </c>
      <c r="F157" t="str">
        <f>IF(A157="","",IFERROR(VLOOKUP(A157,Enquiry!$A:$K,6,0),"— Enter manually"))</f>
        <v/>
      </c>
      <c r="G157" s="9" t="str">
        <f>IF(A157="","",IFERROR(VLOOKUP(A157,Deal!$A:$K,6,0),0))</f>
        <v/>
      </c>
      <c r="H157" t="str">
        <f>IF(A157="","",IFERROR(VLOOKUP(A157,Deal!$A:$K,9,0),""))</f>
        <v/>
      </c>
      <c r="I157" s="6" t="str">
        <f>IF(A157="","",IFERROR(VLOOKUP(A157,Deal!$A:$K,7,0),""))</f>
        <v/>
      </c>
      <c r="J157" s="12"/>
      <c r="K157" s="13"/>
      <c r="L157" s="13"/>
      <c r="M157" s="13"/>
      <c r="N157" s="12"/>
      <c r="O157" s="14"/>
      <c r="P157" s="12"/>
      <c r="Q157" s="12"/>
    </row>
    <row r="158" spans="1:17" ht="15" customHeight="1" x14ac:dyDescent="0.35">
      <c r="A158" s="12"/>
      <c r="B158" s="10" t="str">
        <f>IF(A158="","",IFERROR(IF(VLOOKUP(A158,Deal!$A:$K,8,0)="Win","✅ Win – Proceed","⚠ Stage: "&amp;VLOOKUP(A158,Deal!$A:$K,8,0)),"❌ Deal ID Not Found"))</f>
        <v/>
      </c>
      <c r="C158" t="str">
        <f>IF(A158="","",IFERROR(VLOOKUP(A158,Deal!$A:$K,2,0),""))</f>
        <v/>
      </c>
      <c r="D158" t="str">
        <f>IF(A158="","",IFERROR(VLOOKUP(A158,Deal!$A:$K,3,0),""))</f>
        <v/>
      </c>
      <c r="E158" t="str">
        <f>IF(A158="","",IFERROR(VLOOKUP(A158,Deal!$A:$K,4,0),""))</f>
        <v/>
      </c>
      <c r="F158" t="str">
        <f>IF(A158="","",IFERROR(VLOOKUP(A158,Enquiry!$A:$K,6,0),"— Enter manually"))</f>
        <v/>
      </c>
      <c r="G158" s="9" t="str">
        <f>IF(A158="","",IFERROR(VLOOKUP(A158,Deal!$A:$K,6,0),0))</f>
        <v/>
      </c>
      <c r="H158" t="str">
        <f>IF(A158="","",IFERROR(VLOOKUP(A158,Deal!$A:$K,9,0),""))</f>
        <v/>
      </c>
      <c r="I158" s="6" t="str">
        <f>IF(A158="","",IFERROR(VLOOKUP(A158,Deal!$A:$K,7,0),""))</f>
        <v/>
      </c>
      <c r="J158" s="12"/>
      <c r="K158" s="13"/>
      <c r="L158" s="13"/>
      <c r="M158" s="13"/>
      <c r="N158" s="12"/>
      <c r="O158" s="14"/>
      <c r="P158" s="12"/>
      <c r="Q158" s="12"/>
    </row>
    <row r="159" spans="1:17" ht="15" customHeight="1" x14ac:dyDescent="0.35">
      <c r="A159" s="12"/>
      <c r="B159" s="10" t="str">
        <f>IF(A159="","",IFERROR(IF(VLOOKUP(A159,Deal!$A:$K,8,0)="Win","✅ Win – Proceed","⚠ Stage: "&amp;VLOOKUP(A159,Deal!$A:$K,8,0)),"❌ Deal ID Not Found"))</f>
        <v/>
      </c>
      <c r="C159" t="str">
        <f>IF(A159="","",IFERROR(VLOOKUP(A159,Deal!$A:$K,2,0),""))</f>
        <v/>
      </c>
      <c r="D159" t="str">
        <f>IF(A159="","",IFERROR(VLOOKUP(A159,Deal!$A:$K,3,0),""))</f>
        <v/>
      </c>
      <c r="E159" t="str">
        <f>IF(A159="","",IFERROR(VLOOKUP(A159,Deal!$A:$K,4,0),""))</f>
        <v/>
      </c>
      <c r="F159" t="str">
        <f>IF(A159="","",IFERROR(VLOOKUP(A159,Enquiry!$A:$K,6,0),"— Enter manually"))</f>
        <v/>
      </c>
      <c r="G159" s="9" t="str">
        <f>IF(A159="","",IFERROR(VLOOKUP(A159,Deal!$A:$K,6,0),0))</f>
        <v/>
      </c>
      <c r="H159" t="str">
        <f>IF(A159="","",IFERROR(VLOOKUP(A159,Deal!$A:$K,9,0),""))</f>
        <v/>
      </c>
      <c r="I159" s="6" t="str">
        <f>IF(A159="","",IFERROR(VLOOKUP(A159,Deal!$A:$K,7,0),""))</f>
        <v/>
      </c>
      <c r="J159" s="12"/>
      <c r="K159" s="13"/>
      <c r="L159" s="13"/>
      <c r="M159" s="13"/>
      <c r="N159" s="12"/>
      <c r="O159" s="14"/>
      <c r="P159" s="12"/>
      <c r="Q159" s="12"/>
    </row>
    <row r="160" spans="1:17" ht="15" customHeight="1" x14ac:dyDescent="0.35">
      <c r="A160" s="12"/>
      <c r="B160" s="10" t="str">
        <f>IF(A160="","",IFERROR(IF(VLOOKUP(A160,Deal!$A:$K,8,0)="Win","✅ Win – Proceed","⚠ Stage: "&amp;VLOOKUP(A160,Deal!$A:$K,8,0)),"❌ Deal ID Not Found"))</f>
        <v/>
      </c>
      <c r="C160" t="str">
        <f>IF(A160="","",IFERROR(VLOOKUP(A160,Deal!$A:$K,2,0),""))</f>
        <v/>
      </c>
      <c r="D160" t="str">
        <f>IF(A160="","",IFERROR(VLOOKUP(A160,Deal!$A:$K,3,0),""))</f>
        <v/>
      </c>
      <c r="E160" t="str">
        <f>IF(A160="","",IFERROR(VLOOKUP(A160,Deal!$A:$K,4,0),""))</f>
        <v/>
      </c>
      <c r="F160" t="str">
        <f>IF(A160="","",IFERROR(VLOOKUP(A160,Enquiry!$A:$K,6,0),"— Enter manually"))</f>
        <v/>
      </c>
      <c r="G160" s="9" t="str">
        <f>IF(A160="","",IFERROR(VLOOKUP(A160,Deal!$A:$K,6,0),0))</f>
        <v/>
      </c>
      <c r="H160" t="str">
        <f>IF(A160="","",IFERROR(VLOOKUP(A160,Deal!$A:$K,9,0),""))</f>
        <v/>
      </c>
      <c r="I160" s="6" t="str">
        <f>IF(A160="","",IFERROR(VLOOKUP(A160,Deal!$A:$K,7,0),""))</f>
        <v/>
      </c>
      <c r="J160" s="12"/>
      <c r="K160" s="13"/>
      <c r="L160" s="13"/>
      <c r="M160" s="13"/>
      <c r="N160" s="12"/>
      <c r="O160" s="14"/>
      <c r="P160" s="12"/>
      <c r="Q160" s="12"/>
    </row>
    <row r="161" spans="1:17" ht="15" customHeight="1" x14ac:dyDescent="0.35">
      <c r="A161" s="12"/>
      <c r="B161" s="10" t="str">
        <f>IF(A161="","",IFERROR(IF(VLOOKUP(A161,Deal!$A:$K,8,0)="Win","✅ Win – Proceed","⚠ Stage: "&amp;VLOOKUP(A161,Deal!$A:$K,8,0)),"❌ Deal ID Not Found"))</f>
        <v/>
      </c>
      <c r="C161" t="str">
        <f>IF(A161="","",IFERROR(VLOOKUP(A161,Deal!$A:$K,2,0),""))</f>
        <v/>
      </c>
      <c r="D161" t="str">
        <f>IF(A161="","",IFERROR(VLOOKUP(A161,Deal!$A:$K,3,0),""))</f>
        <v/>
      </c>
      <c r="E161" t="str">
        <f>IF(A161="","",IFERROR(VLOOKUP(A161,Deal!$A:$K,4,0),""))</f>
        <v/>
      </c>
      <c r="F161" t="str">
        <f>IF(A161="","",IFERROR(VLOOKUP(A161,Enquiry!$A:$K,6,0),"— Enter manually"))</f>
        <v/>
      </c>
      <c r="G161" s="9" t="str">
        <f>IF(A161="","",IFERROR(VLOOKUP(A161,Deal!$A:$K,6,0),0))</f>
        <v/>
      </c>
      <c r="H161" t="str">
        <f>IF(A161="","",IFERROR(VLOOKUP(A161,Deal!$A:$K,9,0),""))</f>
        <v/>
      </c>
      <c r="I161" s="6" t="str">
        <f>IF(A161="","",IFERROR(VLOOKUP(A161,Deal!$A:$K,7,0),""))</f>
        <v/>
      </c>
      <c r="J161" s="12"/>
      <c r="K161" s="13"/>
      <c r="L161" s="13"/>
      <c r="M161" s="13"/>
      <c r="N161" s="12"/>
      <c r="O161" s="14"/>
      <c r="P161" s="12"/>
      <c r="Q161" s="12"/>
    </row>
    <row r="162" spans="1:17" ht="15" customHeight="1" x14ac:dyDescent="0.35">
      <c r="A162" s="12"/>
      <c r="B162" s="10" t="str">
        <f>IF(A162="","",IFERROR(IF(VLOOKUP(A162,Deal!$A:$K,8,0)="Win","✅ Win – Proceed","⚠ Stage: "&amp;VLOOKUP(A162,Deal!$A:$K,8,0)),"❌ Deal ID Not Found"))</f>
        <v/>
      </c>
      <c r="C162" t="str">
        <f>IF(A162="","",IFERROR(VLOOKUP(A162,Deal!$A:$K,2,0),""))</f>
        <v/>
      </c>
      <c r="D162" t="str">
        <f>IF(A162="","",IFERROR(VLOOKUP(A162,Deal!$A:$K,3,0),""))</f>
        <v/>
      </c>
      <c r="E162" t="str">
        <f>IF(A162="","",IFERROR(VLOOKUP(A162,Deal!$A:$K,4,0),""))</f>
        <v/>
      </c>
      <c r="F162" t="str">
        <f>IF(A162="","",IFERROR(VLOOKUP(A162,Enquiry!$A:$K,6,0),"— Enter manually"))</f>
        <v/>
      </c>
      <c r="G162" s="9" t="str">
        <f>IF(A162="","",IFERROR(VLOOKUP(A162,Deal!$A:$K,6,0),0))</f>
        <v/>
      </c>
      <c r="H162" t="str">
        <f>IF(A162="","",IFERROR(VLOOKUP(A162,Deal!$A:$K,9,0),""))</f>
        <v/>
      </c>
      <c r="I162" s="6" t="str">
        <f>IF(A162="","",IFERROR(VLOOKUP(A162,Deal!$A:$K,7,0),""))</f>
        <v/>
      </c>
      <c r="J162" s="12"/>
      <c r="K162" s="13"/>
      <c r="L162" s="13"/>
      <c r="M162" s="13"/>
      <c r="N162" s="12"/>
      <c r="O162" s="14"/>
      <c r="P162" s="12"/>
      <c r="Q162" s="12"/>
    </row>
    <row r="163" spans="1:17" ht="15" customHeight="1" x14ac:dyDescent="0.35">
      <c r="A163" s="12"/>
      <c r="B163" s="10" t="str">
        <f>IF(A163="","",IFERROR(IF(VLOOKUP(A163,Deal!$A:$K,8,0)="Win","✅ Win – Proceed","⚠ Stage: "&amp;VLOOKUP(A163,Deal!$A:$K,8,0)),"❌ Deal ID Not Found"))</f>
        <v/>
      </c>
      <c r="C163" t="str">
        <f>IF(A163="","",IFERROR(VLOOKUP(A163,Deal!$A:$K,2,0),""))</f>
        <v/>
      </c>
      <c r="D163" t="str">
        <f>IF(A163="","",IFERROR(VLOOKUP(A163,Deal!$A:$K,3,0),""))</f>
        <v/>
      </c>
      <c r="E163" t="str">
        <f>IF(A163="","",IFERROR(VLOOKUP(A163,Deal!$A:$K,4,0),""))</f>
        <v/>
      </c>
      <c r="F163" t="str">
        <f>IF(A163="","",IFERROR(VLOOKUP(A163,Enquiry!$A:$K,6,0),"— Enter manually"))</f>
        <v/>
      </c>
      <c r="G163" s="9" t="str">
        <f>IF(A163="","",IFERROR(VLOOKUP(A163,Deal!$A:$K,6,0),0))</f>
        <v/>
      </c>
      <c r="H163" t="str">
        <f>IF(A163="","",IFERROR(VLOOKUP(A163,Deal!$A:$K,9,0),""))</f>
        <v/>
      </c>
      <c r="I163" s="6" t="str">
        <f>IF(A163="","",IFERROR(VLOOKUP(A163,Deal!$A:$K,7,0),""))</f>
        <v/>
      </c>
      <c r="J163" s="12"/>
      <c r="K163" s="13"/>
      <c r="L163" s="13"/>
      <c r="M163" s="13"/>
      <c r="N163" s="12"/>
      <c r="O163" s="14"/>
      <c r="P163" s="12"/>
      <c r="Q163" s="12"/>
    </row>
    <row r="164" spans="1:17" ht="15" customHeight="1" x14ac:dyDescent="0.35">
      <c r="A164" s="12"/>
      <c r="B164" s="10" t="str">
        <f>IF(A164="","",IFERROR(IF(VLOOKUP(A164,Deal!$A:$K,8,0)="Win","✅ Win – Proceed","⚠ Stage: "&amp;VLOOKUP(A164,Deal!$A:$K,8,0)),"❌ Deal ID Not Found"))</f>
        <v/>
      </c>
      <c r="C164" t="str">
        <f>IF(A164="","",IFERROR(VLOOKUP(A164,Deal!$A:$K,2,0),""))</f>
        <v/>
      </c>
      <c r="D164" t="str">
        <f>IF(A164="","",IFERROR(VLOOKUP(A164,Deal!$A:$K,3,0),""))</f>
        <v/>
      </c>
      <c r="E164" t="str">
        <f>IF(A164="","",IFERROR(VLOOKUP(A164,Deal!$A:$K,4,0),""))</f>
        <v/>
      </c>
      <c r="F164" t="str">
        <f>IF(A164="","",IFERROR(VLOOKUP(A164,Enquiry!$A:$K,6,0),"— Enter manually"))</f>
        <v/>
      </c>
      <c r="G164" s="9" t="str">
        <f>IF(A164="","",IFERROR(VLOOKUP(A164,Deal!$A:$K,6,0),0))</f>
        <v/>
      </c>
      <c r="H164" t="str">
        <f>IF(A164="","",IFERROR(VLOOKUP(A164,Deal!$A:$K,9,0),""))</f>
        <v/>
      </c>
      <c r="I164" s="6" t="str">
        <f>IF(A164="","",IFERROR(VLOOKUP(A164,Deal!$A:$K,7,0),""))</f>
        <v/>
      </c>
      <c r="J164" s="12"/>
      <c r="K164" s="13"/>
      <c r="L164" s="13"/>
      <c r="M164" s="13"/>
      <c r="N164" s="12"/>
      <c r="O164" s="14"/>
      <c r="P164" s="12"/>
      <c r="Q164" s="12"/>
    </row>
    <row r="165" spans="1:17" ht="15" customHeight="1" x14ac:dyDescent="0.35">
      <c r="A165" s="12"/>
      <c r="B165" s="10" t="str">
        <f>IF(A165="","",IFERROR(IF(VLOOKUP(A165,Deal!$A:$K,8,0)="Win","✅ Win – Proceed","⚠ Stage: "&amp;VLOOKUP(A165,Deal!$A:$K,8,0)),"❌ Deal ID Not Found"))</f>
        <v/>
      </c>
      <c r="C165" t="str">
        <f>IF(A165="","",IFERROR(VLOOKUP(A165,Deal!$A:$K,2,0),""))</f>
        <v/>
      </c>
      <c r="D165" t="str">
        <f>IF(A165="","",IFERROR(VLOOKUP(A165,Deal!$A:$K,3,0),""))</f>
        <v/>
      </c>
      <c r="E165" t="str">
        <f>IF(A165="","",IFERROR(VLOOKUP(A165,Deal!$A:$K,4,0),""))</f>
        <v/>
      </c>
      <c r="F165" t="str">
        <f>IF(A165="","",IFERROR(VLOOKUP(A165,Enquiry!$A:$K,6,0),"— Enter manually"))</f>
        <v/>
      </c>
      <c r="G165" s="9" t="str">
        <f>IF(A165="","",IFERROR(VLOOKUP(A165,Deal!$A:$K,6,0),0))</f>
        <v/>
      </c>
      <c r="H165" t="str">
        <f>IF(A165="","",IFERROR(VLOOKUP(A165,Deal!$A:$K,9,0),""))</f>
        <v/>
      </c>
      <c r="I165" s="6" t="str">
        <f>IF(A165="","",IFERROR(VLOOKUP(A165,Deal!$A:$K,7,0),""))</f>
        <v/>
      </c>
      <c r="J165" s="12"/>
      <c r="K165" s="13"/>
      <c r="L165" s="13"/>
      <c r="M165" s="13"/>
      <c r="N165" s="12"/>
      <c r="O165" s="14"/>
      <c r="P165" s="12"/>
      <c r="Q165" s="12"/>
    </row>
    <row r="166" spans="1:17" ht="15" customHeight="1" x14ac:dyDescent="0.35">
      <c r="A166" s="12"/>
      <c r="B166" s="10" t="str">
        <f>IF(A166="","",IFERROR(IF(VLOOKUP(A166,Deal!$A:$K,8,0)="Win","✅ Win – Proceed","⚠ Stage: "&amp;VLOOKUP(A166,Deal!$A:$K,8,0)),"❌ Deal ID Not Found"))</f>
        <v/>
      </c>
      <c r="C166" t="str">
        <f>IF(A166="","",IFERROR(VLOOKUP(A166,Deal!$A:$K,2,0),""))</f>
        <v/>
      </c>
      <c r="D166" t="str">
        <f>IF(A166="","",IFERROR(VLOOKUP(A166,Deal!$A:$K,3,0),""))</f>
        <v/>
      </c>
      <c r="E166" t="str">
        <f>IF(A166="","",IFERROR(VLOOKUP(A166,Deal!$A:$K,4,0),""))</f>
        <v/>
      </c>
      <c r="F166" t="str">
        <f>IF(A166="","",IFERROR(VLOOKUP(A166,Enquiry!$A:$K,6,0),"— Enter manually"))</f>
        <v/>
      </c>
      <c r="G166" s="9" t="str">
        <f>IF(A166="","",IFERROR(VLOOKUP(A166,Deal!$A:$K,6,0),0))</f>
        <v/>
      </c>
      <c r="H166" t="str">
        <f>IF(A166="","",IFERROR(VLOOKUP(A166,Deal!$A:$K,9,0),""))</f>
        <v/>
      </c>
      <c r="I166" s="6" t="str">
        <f>IF(A166="","",IFERROR(VLOOKUP(A166,Deal!$A:$K,7,0),""))</f>
        <v/>
      </c>
      <c r="J166" s="12"/>
      <c r="K166" s="13"/>
      <c r="L166" s="13"/>
      <c r="M166" s="13"/>
      <c r="N166" s="12"/>
      <c r="O166" s="14"/>
      <c r="P166" s="12"/>
      <c r="Q166" s="12"/>
    </row>
    <row r="167" spans="1:17" ht="15" customHeight="1" x14ac:dyDescent="0.35">
      <c r="A167" s="12"/>
      <c r="B167" s="10" t="str">
        <f>IF(A167="","",IFERROR(IF(VLOOKUP(A167,Deal!$A:$K,8,0)="Win","✅ Win – Proceed","⚠ Stage: "&amp;VLOOKUP(A167,Deal!$A:$K,8,0)),"❌ Deal ID Not Found"))</f>
        <v/>
      </c>
      <c r="C167" t="str">
        <f>IF(A167="","",IFERROR(VLOOKUP(A167,Deal!$A:$K,2,0),""))</f>
        <v/>
      </c>
      <c r="D167" t="str">
        <f>IF(A167="","",IFERROR(VLOOKUP(A167,Deal!$A:$K,3,0),""))</f>
        <v/>
      </c>
      <c r="E167" t="str">
        <f>IF(A167="","",IFERROR(VLOOKUP(A167,Deal!$A:$K,4,0),""))</f>
        <v/>
      </c>
      <c r="F167" t="str">
        <f>IF(A167="","",IFERROR(VLOOKUP(A167,Enquiry!$A:$K,6,0),"— Enter manually"))</f>
        <v/>
      </c>
      <c r="G167" s="9" t="str">
        <f>IF(A167="","",IFERROR(VLOOKUP(A167,Deal!$A:$K,6,0),0))</f>
        <v/>
      </c>
      <c r="H167" t="str">
        <f>IF(A167="","",IFERROR(VLOOKUP(A167,Deal!$A:$K,9,0),""))</f>
        <v/>
      </c>
      <c r="I167" s="6" t="str">
        <f>IF(A167="","",IFERROR(VLOOKUP(A167,Deal!$A:$K,7,0),""))</f>
        <v/>
      </c>
      <c r="J167" s="12"/>
      <c r="K167" s="13"/>
      <c r="L167" s="13"/>
      <c r="M167" s="13"/>
      <c r="N167" s="12"/>
      <c r="O167" s="14"/>
      <c r="P167" s="12"/>
      <c r="Q167" s="12"/>
    </row>
    <row r="168" spans="1:17" ht="15" customHeight="1" x14ac:dyDescent="0.35">
      <c r="A168" s="12"/>
      <c r="B168" s="10" t="str">
        <f>IF(A168="","",IFERROR(IF(VLOOKUP(A168,Deal!$A:$K,8,0)="Win","✅ Win – Proceed","⚠ Stage: "&amp;VLOOKUP(A168,Deal!$A:$K,8,0)),"❌ Deal ID Not Found"))</f>
        <v/>
      </c>
      <c r="C168" t="str">
        <f>IF(A168="","",IFERROR(VLOOKUP(A168,Deal!$A:$K,2,0),""))</f>
        <v/>
      </c>
      <c r="D168" t="str">
        <f>IF(A168="","",IFERROR(VLOOKUP(A168,Deal!$A:$K,3,0),""))</f>
        <v/>
      </c>
      <c r="E168" t="str">
        <f>IF(A168="","",IFERROR(VLOOKUP(A168,Deal!$A:$K,4,0),""))</f>
        <v/>
      </c>
      <c r="F168" t="str">
        <f>IF(A168="","",IFERROR(VLOOKUP(A168,Enquiry!$A:$K,6,0),"— Enter manually"))</f>
        <v/>
      </c>
      <c r="G168" s="9" t="str">
        <f>IF(A168="","",IFERROR(VLOOKUP(A168,Deal!$A:$K,6,0),0))</f>
        <v/>
      </c>
      <c r="H168" t="str">
        <f>IF(A168="","",IFERROR(VLOOKUP(A168,Deal!$A:$K,9,0),""))</f>
        <v/>
      </c>
      <c r="I168" s="6" t="str">
        <f>IF(A168="","",IFERROR(VLOOKUP(A168,Deal!$A:$K,7,0),""))</f>
        <v/>
      </c>
      <c r="J168" s="12"/>
      <c r="K168" s="13"/>
      <c r="L168" s="13"/>
      <c r="M168" s="13"/>
      <c r="N168" s="12"/>
      <c r="O168" s="14"/>
      <c r="P168" s="12"/>
      <c r="Q168" s="12"/>
    </row>
    <row r="169" spans="1:17" ht="15" customHeight="1" x14ac:dyDescent="0.35">
      <c r="A169" s="12"/>
      <c r="B169" s="10" t="str">
        <f>IF(A169="","",IFERROR(IF(VLOOKUP(A169,Deal!$A:$K,8,0)="Win","✅ Win – Proceed","⚠ Stage: "&amp;VLOOKUP(A169,Deal!$A:$K,8,0)),"❌ Deal ID Not Found"))</f>
        <v/>
      </c>
      <c r="C169" t="str">
        <f>IF(A169="","",IFERROR(VLOOKUP(A169,Deal!$A:$K,2,0),""))</f>
        <v/>
      </c>
      <c r="D169" t="str">
        <f>IF(A169="","",IFERROR(VLOOKUP(A169,Deal!$A:$K,3,0),""))</f>
        <v/>
      </c>
      <c r="E169" t="str">
        <f>IF(A169="","",IFERROR(VLOOKUP(A169,Deal!$A:$K,4,0),""))</f>
        <v/>
      </c>
      <c r="F169" t="str">
        <f>IF(A169="","",IFERROR(VLOOKUP(A169,Enquiry!$A:$K,6,0),"— Enter manually"))</f>
        <v/>
      </c>
      <c r="G169" s="9" t="str">
        <f>IF(A169="","",IFERROR(VLOOKUP(A169,Deal!$A:$K,6,0),0))</f>
        <v/>
      </c>
      <c r="H169" t="str">
        <f>IF(A169="","",IFERROR(VLOOKUP(A169,Deal!$A:$K,9,0),""))</f>
        <v/>
      </c>
      <c r="I169" s="6" t="str">
        <f>IF(A169="","",IFERROR(VLOOKUP(A169,Deal!$A:$K,7,0),""))</f>
        <v/>
      </c>
      <c r="J169" s="12"/>
      <c r="K169" s="13"/>
      <c r="L169" s="13"/>
      <c r="M169" s="13"/>
      <c r="N169" s="12"/>
      <c r="O169" s="14"/>
      <c r="P169" s="12"/>
      <c r="Q169" s="12"/>
    </row>
    <row r="170" spans="1:17" ht="15" customHeight="1" x14ac:dyDescent="0.35">
      <c r="A170" s="12"/>
      <c r="B170" s="10" t="str">
        <f>IF(A170="","",IFERROR(IF(VLOOKUP(A170,Deal!$A:$K,8,0)="Win","✅ Win – Proceed","⚠ Stage: "&amp;VLOOKUP(A170,Deal!$A:$K,8,0)),"❌ Deal ID Not Found"))</f>
        <v/>
      </c>
      <c r="C170" t="str">
        <f>IF(A170="","",IFERROR(VLOOKUP(A170,Deal!$A:$K,2,0),""))</f>
        <v/>
      </c>
      <c r="D170" t="str">
        <f>IF(A170="","",IFERROR(VLOOKUP(A170,Deal!$A:$K,3,0),""))</f>
        <v/>
      </c>
      <c r="E170" t="str">
        <f>IF(A170="","",IFERROR(VLOOKUP(A170,Deal!$A:$K,4,0),""))</f>
        <v/>
      </c>
      <c r="F170" t="str">
        <f>IF(A170="","",IFERROR(VLOOKUP(A170,Enquiry!$A:$K,6,0),"— Enter manually"))</f>
        <v/>
      </c>
      <c r="G170" s="9" t="str">
        <f>IF(A170="","",IFERROR(VLOOKUP(A170,Deal!$A:$K,6,0),0))</f>
        <v/>
      </c>
      <c r="H170" t="str">
        <f>IF(A170="","",IFERROR(VLOOKUP(A170,Deal!$A:$K,9,0),""))</f>
        <v/>
      </c>
      <c r="I170" s="6" t="str">
        <f>IF(A170="","",IFERROR(VLOOKUP(A170,Deal!$A:$K,7,0),""))</f>
        <v/>
      </c>
      <c r="J170" s="12"/>
      <c r="K170" s="13"/>
      <c r="L170" s="13"/>
      <c r="M170" s="13"/>
      <c r="N170" s="12"/>
      <c r="O170" s="14"/>
      <c r="P170" s="12"/>
      <c r="Q170" s="12"/>
    </row>
    <row r="171" spans="1:17" ht="15" customHeight="1" x14ac:dyDescent="0.35">
      <c r="A171" s="12"/>
      <c r="B171" s="10" t="str">
        <f>IF(A171="","",IFERROR(IF(VLOOKUP(A171,Deal!$A:$K,8,0)="Win","✅ Win – Proceed","⚠ Stage: "&amp;VLOOKUP(A171,Deal!$A:$K,8,0)),"❌ Deal ID Not Found"))</f>
        <v/>
      </c>
      <c r="C171" t="str">
        <f>IF(A171="","",IFERROR(VLOOKUP(A171,Deal!$A:$K,2,0),""))</f>
        <v/>
      </c>
      <c r="D171" t="str">
        <f>IF(A171="","",IFERROR(VLOOKUP(A171,Deal!$A:$K,3,0),""))</f>
        <v/>
      </c>
      <c r="E171" t="str">
        <f>IF(A171="","",IFERROR(VLOOKUP(A171,Deal!$A:$K,4,0),""))</f>
        <v/>
      </c>
      <c r="F171" t="str">
        <f>IF(A171="","",IFERROR(VLOOKUP(A171,Enquiry!$A:$K,6,0),"— Enter manually"))</f>
        <v/>
      </c>
      <c r="G171" s="9" t="str">
        <f>IF(A171="","",IFERROR(VLOOKUP(A171,Deal!$A:$K,6,0),0))</f>
        <v/>
      </c>
      <c r="H171" t="str">
        <f>IF(A171="","",IFERROR(VLOOKUP(A171,Deal!$A:$K,9,0),""))</f>
        <v/>
      </c>
      <c r="I171" s="6" t="str">
        <f>IF(A171="","",IFERROR(VLOOKUP(A171,Deal!$A:$K,7,0),""))</f>
        <v/>
      </c>
      <c r="J171" s="12"/>
      <c r="K171" s="13"/>
      <c r="L171" s="13"/>
      <c r="M171" s="13"/>
      <c r="N171" s="12"/>
      <c r="O171" s="14"/>
      <c r="P171" s="12"/>
      <c r="Q171" s="12"/>
    </row>
    <row r="172" spans="1:17" ht="15" customHeight="1" x14ac:dyDescent="0.35">
      <c r="A172" s="12"/>
      <c r="B172" s="10" t="str">
        <f>IF(A172="","",IFERROR(IF(VLOOKUP(A172,Deal!$A:$K,8,0)="Win","✅ Win – Proceed","⚠ Stage: "&amp;VLOOKUP(A172,Deal!$A:$K,8,0)),"❌ Deal ID Not Found"))</f>
        <v/>
      </c>
      <c r="C172" t="str">
        <f>IF(A172="","",IFERROR(VLOOKUP(A172,Deal!$A:$K,2,0),""))</f>
        <v/>
      </c>
      <c r="D172" t="str">
        <f>IF(A172="","",IFERROR(VLOOKUP(A172,Deal!$A:$K,3,0),""))</f>
        <v/>
      </c>
      <c r="E172" t="str">
        <f>IF(A172="","",IFERROR(VLOOKUP(A172,Deal!$A:$K,4,0),""))</f>
        <v/>
      </c>
      <c r="F172" t="str">
        <f>IF(A172="","",IFERROR(VLOOKUP(A172,Enquiry!$A:$K,6,0),"— Enter manually"))</f>
        <v/>
      </c>
      <c r="G172" s="9" t="str">
        <f>IF(A172="","",IFERROR(VLOOKUP(A172,Deal!$A:$K,6,0),0))</f>
        <v/>
      </c>
      <c r="H172" t="str">
        <f>IF(A172="","",IFERROR(VLOOKUP(A172,Deal!$A:$K,9,0),""))</f>
        <v/>
      </c>
      <c r="I172" s="6" t="str">
        <f>IF(A172="","",IFERROR(VLOOKUP(A172,Deal!$A:$K,7,0),""))</f>
        <v/>
      </c>
      <c r="J172" s="12"/>
      <c r="K172" s="13"/>
      <c r="L172" s="13"/>
      <c r="M172" s="13"/>
      <c r="N172" s="12"/>
      <c r="O172" s="14"/>
      <c r="P172" s="12"/>
      <c r="Q172" s="12"/>
    </row>
    <row r="173" spans="1:17" ht="15" customHeight="1" x14ac:dyDescent="0.35">
      <c r="A173" s="12"/>
      <c r="B173" s="10" t="str">
        <f>IF(A173="","",IFERROR(IF(VLOOKUP(A173,Deal!$A:$K,8,0)="Win","✅ Win – Proceed","⚠ Stage: "&amp;VLOOKUP(A173,Deal!$A:$K,8,0)),"❌ Deal ID Not Found"))</f>
        <v/>
      </c>
      <c r="C173" t="str">
        <f>IF(A173="","",IFERROR(VLOOKUP(A173,Deal!$A:$K,2,0),""))</f>
        <v/>
      </c>
      <c r="D173" t="str">
        <f>IF(A173="","",IFERROR(VLOOKUP(A173,Deal!$A:$K,3,0),""))</f>
        <v/>
      </c>
      <c r="E173" t="str">
        <f>IF(A173="","",IFERROR(VLOOKUP(A173,Deal!$A:$K,4,0),""))</f>
        <v/>
      </c>
      <c r="F173" t="str">
        <f>IF(A173="","",IFERROR(VLOOKUP(A173,Enquiry!$A:$K,6,0),"— Enter manually"))</f>
        <v/>
      </c>
      <c r="G173" s="9" t="str">
        <f>IF(A173="","",IFERROR(VLOOKUP(A173,Deal!$A:$K,6,0),0))</f>
        <v/>
      </c>
      <c r="H173" t="str">
        <f>IF(A173="","",IFERROR(VLOOKUP(A173,Deal!$A:$K,9,0),""))</f>
        <v/>
      </c>
      <c r="I173" s="6" t="str">
        <f>IF(A173="","",IFERROR(VLOOKUP(A173,Deal!$A:$K,7,0),""))</f>
        <v/>
      </c>
      <c r="J173" s="12"/>
      <c r="K173" s="13"/>
      <c r="L173" s="13"/>
      <c r="M173" s="13"/>
      <c r="N173" s="12"/>
      <c r="O173" s="14"/>
      <c r="P173" s="12"/>
      <c r="Q173" s="12"/>
    </row>
    <row r="174" spans="1:17" ht="15" customHeight="1" x14ac:dyDescent="0.35">
      <c r="A174" s="12"/>
      <c r="B174" s="10" t="str">
        <f>IF(A174="","",IFERROR(IF(VLOOKUP(A174,Deal!$A:$K,8,0)="Win","✅ Win – Proceed","⚠ Stage: "&amp;VLOOKUP(A174,Deal!$A:$K,8,0)),"❌ Deal ID Not Found"))</f>
        <v/>
      </c>
      <c r="C174" t="str">
        <f>IF(A174="","",IFERROR(VLOOKUP(A174,Deal!$A:$K,2,0),""))</f>
        <v/>
      </c>
      <c r="D174" t="str">
        <f>IF(A174="","",IFERROR(VLOOKUP(A174,Deal!$A:$K,3,0),""))</f>
        <v/>
      </c>
      <c r="E174" t="str">
        <f>IF(A174="","",IFERROR(VLOOKUP(A174,Deal!$A:$K,4,0),""))</f>
        <v/>
      </c>
      <c r="F174" t="str">
        <f>IF(A174="","",IFERROR(VLOOKUP(A174,Enquiry!$A:$K,6,0),"— Enter manually"))</f>
        <v/>
      </c>
      <c r="G174" s="9" t="str">
        <f>IF(A174="","",IFERROR(VLOOKUP(A174,Deal!$A:$K,6,0),0))</f>
        <v/>
      </c>
      <c r="H174" t="str">
        <f>IF(A174="","",IFERROR(VLOOKUP(A174,Deal!$A:$K,9,0),""))</f>
        <v/>
      </c>
      <c r="I174" s="6" t="str">
        <f>IF(A174="","",IFERROR(VLOOKUP(A174,Deal!$A:$K,7,0),""))</f>
        <v/>
      </c>
      <c r="J174" s="12"/>
      <c r="K174" s="13"/>
      <c r="L174" s="13"/>
      <c r="M174" s="13"/>
      <c r="N174" s="12"/>
      <c r="O174" s="14"/>
      <c r="P174" s="12"/>
      <c r="Q174" s="12"/>
    </row>
    <row r="175" spans="1:17" ht="15" customHeight="1" x14ac:dyDescent="0.35">
      <c r="A175" s="12"/>
      <c r="B175" s="10" t="str">
        <f>IF(A175="","",IFERROR(IF(VLOOKUP(A175,Deal!$A:$K,8,0)="Win","✅ Win – Proceed","⚠ Stage: "&amp;VLOOKUP(A175,Deal!$A:$K,8,0)),"❌ Deal ID Not Found"))</f>
        <v/>
      </c>
      <c r="C175" t="str">
        <f>IF(A175="","",IFERROR(VLOOKUP(A175,Deal!$A:$K,2,0),""))</f>
        <v/>
      </c>
      <c r="D175" t="str">
        <f>IF(A175="","",IFERROR(VLOOKUP(A175,Deal!$A:$K,3,0),""))</f>
        <v/>
      </c>
      <c r="E175" t="str">
        <f>IF(A175="","",IFERROR(VLOOKUP(A175,Deal!$A:$K,4,0),""))</f>
        <v/>
      </c>
      <c r="F175" t="str">
        <f>IF(A175="","",IFERROR(VLOOKUP(A175,Enquiry!$A:$K,6,0),"— Enter manually"))</f>
        <v/>
      </c>
      <c r="G175" s="9" t="str">
        <f>IF(A175="","",IFERROR(VLOOKUP(A175,Deal!$A:$K,6,0),0))</f>
        <v/>
      </c>
      <c r="H175" t="str">
        <f>IF(A175="","",IFERROR(VLOOKUP(A175,Deal!$A:$K,9,0),""))</f>
        <v/>
      </c>
      <c r="I175" s="6" t="str">
        <f>IF(A175="","",IFERROR(VLOOKUP(A175,Deal!$A:$K,7,0),""))</f>
        <v/>
      </c>
      <c r="J175" s="12"/>
      <c r="K175" s="13"/>
      <c r="L175" s="13"/>
      <c r="M175" s="13"/>
      <c r="N175" s="12"/>
      <c r="O175" s="14"/>
      <c r="P175" s="12"/>
      <c r="Q175" s="12"/>
    </row>
    <row r="176" spans="1:17" ht="15" customHeight="1" x14ac:dyDescent="0.35">
      <c r="A176" s="12"/>
      <c r="B176" s="10" t="str">
        <f>IF(A176="","",IFERROR(IF(VLOOKUP(A176,Deal!$A:$K,8,0)="Win","✅ Win – Proceed","⚠ Stage: "&amp;VLOOKUP(A176,Deal!$A:$K,8,0)),"❌ Deal ID Not Found"))</f>
        <v/>
      </c>
      <c r="C176" t="str">
        <f>IF(A176="","",IFERROR(VLOOKUP(A176,Deal!$A:$K,2,0),""))</f>
        <v/>
      </c>
      <c r="D176" t="str">
        <f>IF(A176="","",IFERROR(VLOOKUP(A176,Deal!$A:$K,3,0),""))</f>
        <v/>
      </c>
      <c r="E176" t="str">
        <f>IF(A176="","",IFERROR(VLOOKUP(A176,Deal!$A:$K,4,0),""))</f>
        <v/>
      </c>
      <c r="F176" t="str">
        <f>IF(A176="","",IFERROR(VLOOKUP(A176,Enquiry!$A:$K,6,0),"— Enter manually"))</f>
        <v/>
      </c>
      <c r="G176" s="9" t="str">
        <f>IF(A176="","",IFERROR(VLOOKUP(A176,Deal!$A:$K,6,0),0))</f>
        <v/>
      </c>
      <c r="H176" t="str">
        <f>IF(A176="","",IFERROR(VLOOKUP(A176,Deal!$A:$K,9,0),""))</f>
        <v/>
      </c>
      <c r="I176" s="6" t="str">
        <f>IF(A176="","",IFERROR(VLOOKUP(A176,Deal!$A:$K,7,0),""))</f>
        <v/>
      </c>
      <c r="J176" s="12"/>
      <c r="K176" s="13"/>
      <c r="L176" s="13"/>
      <c r="M176" s="13"/>
      <c r="N176" s="12"/>
      <c r="O176" s="14"/>
      <c r="P176" s="12"/>
      <c r="Q176" s="12"/>
    </row>
    <row r="177" spans="1:17" ht="15" customHeight="1" x14ac:dyDescent="0.35">
      <c r="A177" s="12"/>
      <c r="B177" s="10" t="str">
        <f>IF(A177="","",IFERROR(IF(VLOOKUP(A177,Deal!$A:$K,8,0)="Win","✅ Win – Proceed","⚠ Stage: "&amp;VLOOKUP(A177,Deal!$A:$K,8,0)),"❌ Deal ID Not Found"))</f>
        <v/>
      </c>
      <c r="C177" t="str">
        <f>IF(A177="","",IFERROR(VLOOKUP(A177,Deal!$A:$K,2,0),""))</f>
        <v/>
      </c>
      <c r="D177" t="str">
        <f>IF(A177="","",IFERROR(VLOOKUP(A177,Deal!$A:$K,3,0),""))</f>
        <v/>
      </c>
      <c r="E177" t="str">
        <f>IF(A177="","",IFERROR(VLOOKUP(A177,Deal!$A:$K,4,0),""))</f>
        <v/>
      </c>
      <c r="F177" t="str">
        <f>IF(A177="","",IFERROR(VLOOKUP(A177,Enquiry!$A:$K,6,0),"— Enter manually"))</f>
        <v/>
      </c>
      <c r="G177" s="9" t="str">
        <f>IF(A177="","",IFERROR(VLOOKUP(A177,Deal!$A:$K,6,0),0))</f>
        <v/>
      </c>
      <c r="H177" t="str">
        <f>IF(A177="","",IFERROR(VLOOKUP(A177,Deal!$A:$K,9,0),""))</f>
        <v/>
      </c>
      <c r="I177" s="6" t="str">
        <f>IF(A177="","",IFERROR(VLOOKUP(A177,Deal!$A:$K,7,0),""))</f>
        <v/>
      </c>
      <c r="J177" s="12"/>
      <c r="K177" s="13"/>
      <c r="L177" s="13"/>
      <c r="M177" s="13"/>
      <c r="N177" s="12"/>
      <c r="O177" s="14"/>
      <c r="P177" s="12"/>
      <c r="Q177" s="12"/>
    </row>
    <row r="178" spans="1:17" ht="15" customHeight="1" x14ac:dyDescent="0.35">
      <c r="A178" s="12"/>
      <c r="B178" s="10" t="str">
        <f>IF(A178="","",IFERROR(IF(VLOOKUP(A178,Deal!$A:$K,8,0)="Win","✅ Win – Proceed","⚠ Stage: "&amp;VLOOKUP(A178,Deal!$A:$K,8,0)),"❌ Deal ID Not Found"))</f>
        <v/>
      </c>
      <c r="C178" t="str">
        <f>IF(A178="","",IFERROR(VLOOKUP(A178,Deal!$A:$K,2,0),""))</f>
        <v/>
      </c>
      <c r="D178" t="str">
        <f>IF(A178="","",IFERROR(VLOOKUP(A178,Deal!$A:$K,3,0),""))</f>
        <v/>
      </c>
      <c r="E178" t="str">
        <f>IF(A178="","",IFERROR(VLOOKUP(A178,Deal!$A:$K,4,0),""))</f>
        <v/>
      </c>
      <c r="F178" t="str">
        <f>IF(A178="","",IFERROR(VLOOKUP(A178,Enquiry!$A:$K,6,0),"— Enter manually"))</f>
        <v/>
      </c>
      <c r="G178" s="9" t="str">
        <f>IF(A178="","",IFERROR(VLOOKUP(A178,Deal!$A:$K,6,0),0))</f>
        <v/>
      </c>
      <c r="H178" t="str">
        <f>IF(A178="","",IFERROR(VLOOKUP(A178,Deal!$A:$K,9,0),""))</f>
        <v/>
      </c>
      <c r="I178" s="6" t="str">
        <f>IF(A178="","",IFERROR(VLOOKUP(A178,Deal!$A:$K,7,0),""))</f>
        <v/>
      </c>
      <c r="J178" s="12"/>
      <c r="K178" s="13"/>
      <c r="L178" s="13"/>
      <c r="M178" s="13"/>
      <c r="N178" s="12"/>
      <c r="O178" s="14"/>
      <c r="P178" s="12"/>
      <c r="Q178" s="12"/>
    </row>
    <row r="179" spans="1:17" ht="15" customHeight="1" x14ac:dyDescent="0.35">
      <c r="A179" s="12"/>
      <c r="B179" s="10" t="str">
        <f>IF(A179="","",IFERROR(IF(VLOOKUP(A179,Deal!$A:$K,8,0)="Win","✅ Win – Proceed","⚠ Stage: "&amp;VLOOKUP(A179,Deal!$A:$K,8,0)),"❌ Deal ID Not Found"))</f>
        <v/>
      </c>
      <c r="C179" t="str">
        <f>IF(A179="","",IFERROR(VLOOKUP(A179,Deal!$A:$K,2,0),""))</f>
        <v/>
      </c>
      <c r="D179" t="str">
        <f>IF(A179="","",IFERROR(VLOOKUP(A179,Deal!$A:$K,3,0),""))</f>
        <v/>
      </c>
      <c r="E179" t="str">
        <f>IF(A179="","",IFERROR(VLOOKUP(A179,Deal!$A:$K,4,0),""))</f>
        <v/>
      </c>
      <c r="F179" t="str">
        <f>IF(A179="","",IFERROR(VLOOKUP(A179,Enquiry!$A:$K,6,0),"— Enter manually"))</f>
        <v/>
      </c>
      <c r="G179" s="9" t="str">
        <f>IF(A179="","",IFERROR(VLOOKUP(A179,Deal!$A:$K,6,0),0))</f>
        <v/>
      </c>
      <c r="H179" t="str">
        <f>IF(A179="","",IFERROR(VLOOKUP(A179,Deal!$A:$K,9,0),""))</f>
        <v/>
      </c>
      <c r="I179" s="6" t="str">
        <f>IF(A179="","",IFERROR(VLOOKUP(A179,Deal!$A:$K,7,0),""))</f>
        <v/>
      </c>
      <c r="J179" s="12"/>
      <c r="K179" s="13"/>
      <c r="L179" s="13"/>
      <c r="M179" s="13"/>
      <c r="N179" s="12"/>
      <c r="O179" s="14"/>
      <c r="P179" s="12"/>
      <c r="Q179" s="12"/>
    </row>
    <row r="180" spans="1:17" ht="15" customHeight="1" x14ac:dyDescent="0.35">
      <c r="A180" s="12"/>
      <c r="B180" s="10" t="str">
        <f>IF(A180="","",IFERROR(IF(VLOOKUP(A180,Deal!$A:$K,8,0)="Win","✅ Win – Proceed","⚠ Stage: "&amp;VLOOKUP(A180,Deal!$A:$K,8,0)),"❌ Deal ID Not Found"))</f>
        <v/>
      </c>
      <c r="C180" t="str">
        <f>IF(A180="","",IFERROR(VLOOKUP(A180,Deal!$A:$K,2,0),""))</f>
        <v/>
      </c>
      <c r="D180" t="str">
        <f>IF(A180="","",IFERROR(VLOOKUP(A180,Deal!$A:$K,3,0),""))</f>
        <v/>
      </c>
      <c r="E180" t="str">
        <f>IF(A180="","",IFERROR(VLOOKUP(A180,Deal!$A:$K,4,0),""))</f>
        <v/>
      </c>
      <c r="F180" t="str">
        <f>IF(A180="","",IFERROR(VLOOKUP(A180,Enquiry!$A:$K,6,0),"— Enter manually"))</f>
        <v/>
      </c>
      <c r="G180" s="9" t="str">
        <f>IF(A180="","",IFERROR(VLOOKUP(A180,Deal!$A:$K,6,0),0))</f>
        <v/>
      </c>
      <c r="H180" t="str">
        <f>IF(A180="","",IFERROR(VLOOKUP(A180,Deal!$A:$K,9,0),""))</f>
        <v/>
      </c>
      <c r="I180" s="6" t="str">
        <f>IF(A180="","",IFERROR(VLOOKUP(A180,Deal!$A:$K,7,0),""))</f>
        <v/>
      </c>
      <c r="J180" s="12"/>
      <c r="K180" s="13"/>
      <c r="L180" s="13"/>
      <c r="M180" s="13"/>
      <c r="N180" s="12"/>
      <c r="O180" s="14"/>
      <c r="P180" s="12"/>
      <c r="Q180" s="12"/>
    </row>
    <row r="181" spans="1:17" ht="15" customHeight="1" x14ac:dyDescent="0.35">
      <c r="A181" s="12"/>
      <c r="B181" s="10" t="str">
        <f>IF(A181="","",IFERROR(IF(VLOOKUP(A181,Deal!$A:$K,8,0)="Win","✅ Win – Proceed","⚠ Stage: "&amp;VLOOKUP(A181,Deal!$A:$K,8,0)),"❌ Deal ID Not Found"))</f>
        <v/>
      </c>
      <c r="C181" t="str">
        <f>IF(A181="","",IFERROR(VLOOKUP(A181,Deal!$A:$K,2,0),""))</f>
        <v/>
      </c>
      <c r="D181" t="str">
        <f>IF(A181="","",IFERROR(VLOOKUP(A181,Deal!$A:$K,3,0),""))</f>
        <v/>
      </c>
      <c r="E181" t="str">
        <f>IF(A181="","",IFERROR(VLOOKUP(A181,Deal!$A:$K,4,0),""))</f>
        <v/>
      </c>
      <c r="F181" t="str">
        <f>IF(A181="","",IFERROR(VLOOKUP(A181,Enquiry!$A:$K,6,0),"— Enter manually"))</f>
        <v/>
      </c>
      <c r="G181" s="9" t="str">
        <f>IF(A181="","",IFERROR(VLOOKUP(A181,Deal!$A:$K,6,0),0))</f>
        <v/>
      </c>
      <c r="H181" t="str">
        <f>IF(A181="","",IFERROR(VLOOKUP(A181,Deal!$A:$K,9,0),""))</f>
        <v/>
      </c>
      <c r="I181" s="6" t="str">
        <f>IF(A181="","",IFERROR(VLOOKUP(A181,Deal!$A:$K,7,0),""))</f>
        <v/>
      </c>
      <c r="J181" s="12"/>
      <c r="K181" s="13"/>
      <c r="L181" s="13"/>
      <c r="M181" s="13"/>
      <c r="N181" s="12"/>
      <c r="O181" s="14"/>
      <c r="P181" s="12"/>
      <c r="Q181" s="12"/>
    </row>
    <row r="182" spans="1:17" ht="15" customHeight="1" x14ac:dyDescent="0.35">
      <c r="A182" s="12"/>
      <c r="B182" s="10" t="str">
        <f>IF(A182="","",IFERROR(IF(VLOOKUP(A182,Deal!$A:$K,8,0)="Win","✅ Win – Proceed","⚠ Stage: "&amp;VLOOKUP(A182,Deal!$A:$K,8,0)),"❌ Deal ID Not Found"))</f>
        <v/>
      </c>
      <c r="C182" t="str">
        <f>IF(A182="","",IFERROR(VLOOKUP(A182,Deal!$A:$K,2,0),""))</f>
        <v/>
      </c>
      <c r="D182" t="str">
        <f>IF(A182="","",IFERROR(VLOOKUP(A182,Deal!$A:$K,3,0),""))</f>
        <v/>
      </c>
      <c r="E182" t="str">
        <f>IF(A182="","",IFERROR(VLOOKUP(A182,Deal!$A:$K,4,0),""))</f>
        <v/>
      </c>
      <c r="F182" t="str">
        <f>IF(A182="","",IFERROR(VLOOKUP(A182,Enquiry!$A:$K,6,0),"— Enter manually"))</f>
        <v/>
      </c>
      <c r="G182" s="9" t="str">
        <f>IF(A182="","",IFERROR(VLOOKUP(A182,Deal!$A:$K,6,0),0))</f>
        <v/>
      </c>
      <c r="H182" t="str">
        <f>IF(A182="","",IFERROR(VLOOKUP(A182,Deal!$A:$K,9,0),""))</f>
        <v/>
      </c>
      <c r="I182" s="6" t="str">
        <f>IF(A182="","",IFERROR(VLOOKUP(A182,Deal!$A:$K,7,0),""))</f>
        <v/>
      </c>
      <c r="J182" s="12"/>
      <c r="K182" s="13"/>
      <c r="L182" s="13"/>
      <c r="M182" s="13"/>
      <c r="N182" s="12"/>
      <c r="O182" s="14"/>
      <c r="P182" s="12"/>
      <c r="Q182" s="12"/>
    </row>
    <row r="183" spans="1:17" ht="15" customHeight="1" x14ac:dyDescent="0.35">
      <c r="A183" s="12"/>
      <c r="B183" s="10" t="str">
        <f>IF(A183="","",IFERROR(IF(VLOOKUP(A183,Deal!$A:$K,8,0)="Win","✅ Win – Proceed","⚠ Stage: "&amp;VLOOKUP(A183,Deal!$A:$K,8,0)),"❌ Deal ID Not Found"))</f>
        <v/>
      </c>
      <c r="C183" t="str">
        <f>IF(A183="","",IFERROR(VLOOKUP(A183,Deal!$A:$K,2,0),""))</f>
        <v/>
      </c>
      <c r="D183" t="str">
        <f>IF(A183="","",IFERROR(VLOOKUP(A183,Deal!$A:$K,3,0),""))</f>
        <v/>
      </c>
      <c r="E183" t="str">
        <f>IF(A183="","",IFERROR(VLOOKUP(A183,Deal!$A:$K,4,0),""))</f>
        <v/>
      </c>
      <c r="F183" t="str">
        <f>IF(A183="","",IFERROR(VLOOKUP(A183,Enquiry!$A:$K,6,0),"— Enter manually"))</f>
        <v/>
      </c>
      <c r="G183" s="9" t="str">
        <f>IF(A183="","",IFERROR(VLOOKUP(A183,Deal!$A:$K,6,0),0))</f>
        <v/>
      </c>
      <c r="H183" t="str">
        <f>IF(A183="","",IFERROR(VLOOKUP(A183,Deal!$A:$K,9,0),""))</f>
        <v/>
      </c>
      <c r="I183" s="6" t="str">
        <f>IF(A183="","",IFERROR(VLOOKUP(A183,Deal!$A:$K,7,0),""))</f>
        <v/>
      </c>
      <c r="J183" s="12"/>
      <c r="K183" s="13"/>
      <c r="L183" s="13"/>
      <c r="M183" s="13"/>
      <c r="N183" s="12"/>
      <c r="O183" s="14"/>
      <c r="P183" s="12"/>
      <c r="Q183" s="12"/>
    </row>
    <row r="184" spans="1:17" ht="15" customHeight="1" x14ac:dyDescent="0.35">
      <c r="A184" s="12"/>
      <c r="B184" s="10" t="str">
        <f>IF(A184="","",IFERROR(IF(VLOOKUP(A184,Deal!$A:$K,8,0)="Win","✅ Win – Proceed","⚠ Stage: "&amp;VLOOKUP(A184,Deal!$A:$K,8,0)),"❌ Deal ID Not Found"))</f>
        <v/>
      </c>
      <c r="C184" t="str">
        <f>IF(A184="","",IFERROR(VLOOKUP(A184,Deal!$A:$K,2,0),""))</f>
        <v/>
      </c>
      <c r="D184" t="str">
        <f>IF(A184="","",IFERROR(VLOOKUP(A184,Deal!$A:$K,3,0),""))</f>
        <v/>
      </c>
      <c r="E184" t="str">
        <f>IF(A184="","",IFERROR(VLOOKUP(A184,Deal!$A:$K,4,0),""))</f>
        <v/>
      </c>
      <c r="F184" t="str">
        <f>IF(A184="","",IFERROR(VLOOKUP(A184,Enquiry!$A:$K,6,0),"— Enter manually"))</f>
        <v/>
      </c>
      <c r="G184" s="9" t="str">
        <f>IF(A184="","",IFERROR(VLOOKUP(A184,Deal!$A:$K,6,0),0))</f>
        <v/>
      </c>
      <c r="H184" t="str">
        <f>IF(A184="","",IFERROR(VLOOKUP(A184,Deal!$A:$K,9,0),""))</f>
        <v/>
      </c>
      <c r="I184" s="6" t="str">
        <f>IF(A184="","",IFERROR(VLOOKUP(A184,Deal!$A:$K,7,0),""))</f>
        <v/>
      </c>
      <c r="J184" s="12"/>
      <c r="K184" s="13"/>
      <c r="L184" s="13"/>
      <c r="M184" s="13"/>
      <c r="N184" s="12"/>
      <c r="O184" s="14"/>
      <c r="P184" s="12"/>
      <c r="Q184" s="12"/>
    </row>
    <row r="185" spans="1:17" ht="15" customHeight="1" x14ac:dyDescent="0.35">
      <c r="A185" s="12"/>
      <c r="B185" s="10" t="str">
        <f>IF(A185="","",IFERROR(IF(VLOOKUP(A185,Deal!$A:$K,8,0)="Win","✅ Win – Proceed","⚠ Stage: "&amp;VLOOKUP(A185,Deal!$A:$K,8,0)),"❌ Deal ID Not Found"))</f>
        <v/>
      </c>
      <c r="C185" t="str">
        <f>IF(A185="","",IFERROR(VLOOKUP(A185,Deal!$A:$K,2,0),""))</f>
        <v/>
      </c>
      <c r="D185" t="str">
        <f>IF(A185="","",IFERROR(VLOOKUP(A185,Deal!$A:$K,3,0),""))</f>
        <v/>
      </c>
      <c r="E185" t="str">
        <f>IF(A185="","",IFERROR(VLOOKUP(A185,Deal!$A:$K,4,0),""))</f>
        <v/>
      </c>
      <c r="F185" t="str">
        <f>IF(A185="","",IFERROR(VLOOKUP(A185,Enquiry!$A:$K,6,0),"— Enter manually"))</f>
        <v/>
      </c>
      <c r="G185" s="9" t="str">
        <f>IF(A185="","",IFERROR(VLOOKUP(A185,Deal!$A:$K,6,0),0))</f>
        <v/>
      </c>
      <c r="H185" t="str">
        <f>IF(A185="","",IFERROR(VLOOKUP(A185,Deal!$A:$K,9,0),""))</f>
        <v/>
      </c>
      <c r="I185" s="6" t="str">
        <f>IF(A185="","",IFERROR(VLOOKUP(A185,Deal!$A:$K,7,0),""))</f>
        <v/>
      </c>
      <c r="J185" s="12"/>
      <c r="K185" s="13"/>
      <c r="L185" s="13"/>
      <c r="M185" s="13"/>
      <c r="N185" s="12"/>
      <c r="O185" s="14"/>
      <c r="P185" s="12"/>
      <c r="Q185" s="12"/>
    </row>
    <row r="186" spans="1:17" ht="15" customHeight="1" x14ac:dyDescent="0.35">
      <c r="A186" s="12"/>
      <c r="B186" s="10" t="str">
        <f>IF(A186="","",IFERROR(IF(VLOOKUP(A186,Deal!$A:$K,8,0)="Win","✅ Win – Proceed","⚠ Stage: "&amp;VLOOKUP(A186,Deal!$A:$K,8,0)),"❌ Deal ID Not Found"))</f>
        <v/>
      </c>
      <c r="C186" t="str">
        <f>IF(A186="","",IFERROR(VLOOKUP(A186,Deal!$A:$K,2,0),""))</f>
        <v/>
      </c>
      <c r="D186" t="str">
        <f>IF(A186="","",IFERROR(VLOOKUP(A186,Deal!$A:$K,3,0),""))</f>
        <v/>
      </c>
      <c r="E186" t="str">
        <f>IF(A186="","",IFERROR(VLOOKUP(A186,Deal!$A:$K,4,0),""))</f>
        <v/>
      </c>
      <c r="F186" t="str">
        <f>IF(A186="","",IFERROR(VLOOKUP(A186,Enquiry!$A:$K,6,0),"— Enter manually"))</f>
        <v/>
      </c>
      <c r="G186" s="9" t="str">
        <f>IF(A186="","",IFERROR(VLOOKUP(A186,Deal!$A:$K,6,0),0))</f>
        <v/>
      </c>
      <c r="H186" t="str">
        <f>IF(A186="","",IFERROR(VLOOKUP(A186,Deal!$A:$K,9,0),""))</f>
        <v/>
      </c>
      <c r="I186" s="6" t="str">
        <f>IF(A186="","",IFERROR(VLOOKUP(A186,Deal!$A:$K,7,0),""))</f>
        <v/>
      </c>
      <c r="J186" s="12"/>
      <c r="K186" s="13"/>
      <c r="L186" s="13"/>
      <c r="M186" s="13"/>
      <c r="N186" s="12"/>
      <c r="O186" s="14"/>
      <c r="P186" s="12"/>
      <c r="Q186" s="12"/>
    </row>
    <row r="187" spans="1:17" ht="15" customHeight="1" x14ac:dyDescent="0.35">
      <c r="A187" s="12"/>
      <c r="B187" s="10" t="str">
        <f>IF(A187="","",IFERROR(IF(VLOOKUP(A187,Deal!$A:$K,8,0)="Win","✅ Win – Proceed","⚠ Stage: "&amp;VLOOKUP(A187,Deal!$A:$K,8,0)),"❌ Deal ID Not Found"))</f>
        <v/>
      </c>
      <c r="C187" t="str">
        <f>IF(A187="","",IFERROR(VLOOKUP(A187,Deal!$A:$K,2,0),""))</f>
        <v/>
      </c>
      <c r="D187" t="str">
        <f>IF(A187="","",IFERROR(VLOOKUP(A187,Deal!$A:$K,3,0),""))</f>
        <v/>
      </c>
      <c r="E187" t="str">
        <f>IF(A187="","",IFERROR(VLOOKUP(A187,Deal!$A:$K,4,0),""))</f>
        <v/>
      </c>
      <c r="F187" t="str">
        <f>IF(A187="","",IFERROR(VLOOKUP(A187,Enquiry!$A:$K,6,0),"— Enter manually"))</f>
        <v/>
      </c>
      <c r="G187" s="9" t="str">
        <f>IF(A187="","",IFERROR(VLOOKUP(A187,Deal!$A:$K,6,0),0))</f>
        <v/>
      </c>
      <c r="H187" t="str">
        <f>IF(A187="","",IFERROR(VLOOKUP(A187,Deal!$A:$K,9,0),""))</f>
        <v/>
      </c>
      <c r="I187" s="6" t="str">
        <f>IF(A187="","",IFERROR(VLOOKUP(A187,Deal!$A:$K,7,0),""))</f>
        <v/>
      </c>
      <c r="J187" s="12"/>
      <c r="K187" s="13"/>
      <c r="L187" s="13"/>
      <c r="M187" s="13"/>
      <c r="N187" s="12"/>
      <c r="O187" s="14"/>
      <c r="P187" s="12"/>
      <c r="Q187" s="12"/>
    </row>
    <row r="188" spans="1:17" ht="15" customHeight="1" x14ac:dyDescent="0.35">
      <c r="A188" s="12"/>
      <c r="B188" s="10" t="str">
        <f>IF(A188="","",IFERROR(IF(VLOOKUP(A188,Deal!$A:$K,8,0)="Win","✅ Win – Proceed","⚠ Stage: "&amp;VLOOKUP(A188,Deal!$A:$K,8,0)),"❌ Deal ID Not Found"))</f>
        <v/>
      </c>
      <c r="C188" t="str">
        <f>IF(A188="","",IFERROR(VLOOKUP(A188,Deal!$A:$K,2,0),""))</f>
        <v/>
      </c>
      <c r="D188" t="str">
        <f>IF(A188="","",IFERROR(VLOOKUP(A188,Deal!$A:$K,3,0),""))</f>
        <v/>
      </c>
      <c r="E188" t="str">
        <f>IF(A188="","",IFERROR(VLOOKUP(A188,Deal!$A:$K,4,0),""))</f>
        <v/>
      </c>
      <c r="F188" t="str">
        <f>IF(A188="","",IFERROR(VLOOKUP(A188,Enquiry!$A:$K,6,0),"— Enter manually"))</f>
        <v/>
      </c>
      <c r="G188" s="9" t="str">
        <f>IF(A188="","",IFERROR(VLOOKUP(A188,Deal!$A:$K,6,0),0))</f>
        <v/>
      </c>
      <c r="H188" t="str">
        <f>IF(A188="","",IFERROR(VLOOKUP(A188,Deal!$A:$K,9,0),""))</f>
        <v/>
      </c>
      <c r="I188" s="6" t="str">
        <f>IF(A188="","",IFERROR(VLOOKUP(A188,Deal!$A:$K,7,0),""))</f>
        <v/>
      </c>
      <c r="J188" s="12"/>
      <c r="K188" s="13"/>
      <c r="L188" s="13"/>
      <c r="M188" s="13"/>
      <c r="N188" s="12"/>
      <c r="O188" s="14"/>
      <c r="P188" s="12"/>
      <c r="Q188" s="12"/>
    </row>
    <row r="189" spans="1:17" ht="15" customHeight="1" x14ac:dyDescent="0.35">
      <c r="A189" s="12"/>
      <c r="B189" s="10" t="str">
        <f>IF(A189="","",IFERROR(IF(VLOOKUP(A189,Deal!$A:$K,8,0)="Win","✅ Win – Proceed","⚠ Stage: "&amp;VLOOKUP(A189,Deal!$A:$K,8,0)),"❌ Deal ID Not Found"))</f>
        <v/>
      </c>
      <c r="C189" t="str">
        <f>IF(A189="","",IFERROR(VLOOKUP(A189,Deal!$A:$K,2,0),""))</f>
        <v/>
      </c>
      <c r="D189" t="str">
        <f>IF(A189="","",IFERROR(VLOOKUP(A189,Deal!$A:$K,3,0),""))</f>
        <v/>
      </c>
      <c r="E189" t="str">
        <f>IF(A189="","",IFERROR(VLOOKUP(A189,Deal!$A:$K,4,0),""))</f>
        <v/>
      </c>
      <c r="F189" t="str">
        <f>IF(A189="","",IFERROR(VLOOKUP(A189,Enquiry!$A:$K,6,0),"— Enter manually"))</f>
        <v/>
      </c>
      <c r="G189" s="9" t="str">
        <f>IF(A189="","",IFERROR(VLOOKUP(A189,Deal!$A:$K,6,0),0))</f>
        <v/>
      </c>
      <c r="H189" t="str">
        <f>IF(A189="","",IFERROR(VLOOKUP(A189,Deal!$A:$K,9,0),""))</f>
        <v/>
      </c>
      <c r="I189" s="6" t="str">
        <f>IF(A189="","",IFERROR(VLOOKUP(A189,Deal!$A:$K,7,0),""))</f>
        <v/>
      </c>
      <c r="J189" s="12"/>
      <c r="K189" s="13"/>
      <c r="L189" s="13"/>
      <c r="M189" s="13"/>
      <c r="N189" s="12"/>
      <c r="O189" s="14"/>
      <c r="P189" s="12"/>
      <c r="Q189" s="12"/>
    </row>
    <row r="190" spans="1:17" ht="15" customHeight="1" x14ac:dyDescent="0.35">
      <c r="A190" s="12"/>
      <c r="B190" s="10" t="str">
        <f>IF(A190="","",IFERROR(IF(VLOOKUP(A190,Deal!$A:$K,8,0)="Win","✅ Win – Proceed","⚠ Stage: "&amp;VLOOKUP(A190,Deal!$A:$K,8,0)),"❌ Deal ID Not Found"))</f>
        <v/>
      </c>
      <c r="C190" t="str">
        <f>IF(A190="","",IFERROR(VLOOKUP(A190,Deal!$A:$K,2,0),""))</f>
        <v/>
      </c>
      <c r="D190" t="str">
        <f>IF(A190="","",IFERROR(VLOOKUP(A190,Deal!$A:$K,3,0),""))</f>
        <v/>
      </c>
      <c r="E190" t="str">
        <f>IF(A190="","",IFERROR(VLOOKUP(A190,Deal!$A:$K,4,0),""))</f>
        <v/>
      </c>
      <c r="F190" t="str">
        <f>IF(A190="","",IFERROR(VLOOKUP(A190,Enquiry!$A:$K,6,0),"— Enter manually"))</f>
        <v/>
      </c>
      <c r="G190" s="9" t="str">
        <f>IF(A190="","",IFERROR(VLOOKUP(A190,Deal!$A:$K,6,0),0))</f>
        <v/>
      </c>
      <c r="H190" t="str">
        <f>IF(A190="","",IFERROR(VLOOKUP(A190,Deal!$A:$K,9,0),""))</f>
        <v/>
      </c>
      <c r="I190" s="6" t="str">
        <f>IF(A190="","",IFERROR(VLOOKUP(A190,Deal!$A:$K,7,0),""))</f>
        <v/>
      </c>
      <c r="J190" s="12"/>
      <c r="K190" s="13"/>
      <c r="L190" s="13"/>
      <c r="M190" s="13"/>
      <c r="N190" s="12"/>
      <c r="O190" s="14"/>
      <c r="P190" s="12"/>
      <c r="Q190" s="12"/>
    </row>
    <row r="191" spans="1:17" ht="15" customHeight="1" x14ac:dyDescent="0.35">
      <c r="A191" s="12"/>
      <c r="B191" s="10" t="str">
        <f>IF(A191="","",IFERROR(IF(VLOOKUP(A191,Deal!$A:$K,8,0)="Win","✅ Win – Proceed","⚠ Stage: "&amp;VLOOKUP(A191,Deal!$A:$K,8,0)),"❌ Deal ID Not Found"))</f>
        <v/>
      </c>
      <c r="C191" t="str">
        <f>IF(A191="","",IFERROR(VLOOKUP(A191,Deal!$A:$K,2,0),""))</f>
        <v/>
      </c>
      <c r="D191" t="str">
        <f>IF(A191="","",IFERROR(VLOOKUP(A191,Deal!$A:$K,3,0),""))</f>
        <v/>
      </c>
      <c r="E191" t="str">
        <f>IF(A191="","",IFERROR(VLOOKUP(A191,Deal!$A:$K,4,0),""))</f>
        <v/>
      </c>
      <c r="F191" t="str">
        <f>IF(A191="","",IFERROR(VLOOKUP(A191,Enquiry!$A:$K,6,0),"— Enter manually"))</f>
        <v/>
      </c>
      <c r="G191" s="9" t="str">
        <f>IF(A191="","",IFERROR(VLOOKUP(A191,Deal!$A:$K,6,0),0))</f>
        <v/>
      </c>
      <c r="H191" t="str">
        <f>IF(A191="","",IFERROR(VLOOKUP(A191,Deal!$A:$K,9,0),""))</f>
        <v/>
      </c>
      <c r="I191" s="6" t="str">
        <f>IF(A191="","",IFERROR(VLOOKUP(A191,Deal!$A:$K,7,0),""))</f>
        <v/>
      </c>
      <c r="J191" s="12"/>
      <c r="K191" s="13"/>
      <c r="L191" s="13"/>
      <c r="M191" s="13"/>
      <c r="N191" s="12"/>
      <c r="O191" s="14"/>
      <c r="P191" s="12"/>
      <c r="Q191" s="12"/>
    </row>
    <row r="192" spans="1:17" ht="15" customHeight="1" x14ac:dyDescent="0.35">
      <c r="A192" s="12"/>
      <c r="B192" s="10" t="str">
        <f>IF(A192="","",IFERROR(IF(VLOOKUP(A192,Deal!$A:$K,8,0)="Win","✅ Win – Proceed","⚠ Stage: "&amp;VLOOKUP(A192,Deal!$A:$K,8,0)),"❌ Deal ID Not Found"))</f>
        <v/>
      </c>
      <c r="C192" t="str">
        <f>IF(A192="","",IFERROR(VLOOKUP(A192,Deal!$A:$K,2,0),""))</f>
        <v/>
      </c>
      <c r="D192" t="str">
        <f>IF(A192="","",IFERROR(VLOOKUP(A192,Deal!$A:$K,3,0),""))</f>
        <v/>
      </c>
      <c r="E192" t="str">
        <f>IF(A192="","",IFERROR(VLOOKUP(A192,Deal!$A:$K,4,0),""))</f>
        <v/>
      </c>
      <c r="F192" t="str">
        <f>IF(A192="","",IFERROR(VLOOKUP(A192,Enquiry!$A:$K,6,0),"— Enter manually"))</f>
        <v/>
      </c>
      <c r="G192" s="9" t="str">
        <f>IF(A192="","",IFERROR(VLOOKUP(A192,Deal!$A:$K,6,0),0))</f>
        <v/>
      </c>
      <c r="H192" t="str">
        <f>IF(A192="","",IFERROR(VLOOKUP(A192,Deal!$A:$K,9,0),""))</f>
        <v/>
      </c>
      <c r="I192" s="6" t="str">
        <f>IF(A192="","",IFERROR(VLOOKUP(A192,Deal!$A:$K,7,0),""))</f>
        <v/>
      </c>
      <c r="J192" s="12"/>
      <c r="K192" s="13"/>
      <c r="L192" s="13"/>
      <c r="M192" s="13"/>
      <c r="N192" s="12"/>
      <c r="O192" s="14"/>
      <c r="P192" s="12"/>
      <c r="Q192" s="12"/>
    </row>
    <row r="193" spans="1:17" ht="15" customHeight="1" x14ac:dyDescent="0.35">
      <c r="A193" s="12"/>
      <c r="B193" s="10" t="str">
        <f>IF(A193="","",IFERROR(IF(VLOOKUP(A193,Deal!$A:$K,8,0)="Win","✅ Win – Proceed","⚠ Stage: "&amp;VLOOKUP(A193,Deal!$A:$K,8,0)),"❌ Deal ID Not Found"))</f>
        <v/>
      </c>
      <c r="C193" t="str">
        <f>IF(A193="","",IFERROR(VLOOKUP(A193,Deal!$A:$K,2,0),""))</f>
        <v/>
      </c>
      <c r="D193" t="str">
        <f>IF(A193="","",IFERROR(VLOOKUP(A193,Deal!$A:$K,3,0),""))</f>
        <v/>
      </c>
      <c r="E193" t="str">
        <f>IF(A193="","",IFERROR(VLOOKUP(A193,Deal!$A:$K,4,0),""))</f>
        <v/>
      </c>
      <c r="F193" t="str">
        <f>IF(A193="","",IFERROR(VLOOKUP(A193,Enquiry!$A:$K,6,0),"— Enter manually"))</f>
        <v/>
      </c>
      <c r="G193" s="9" t="str">
        <f>IF(A193="","",IFERROR(VLOOKUP(A193,Deal!$A:$K,6,0),0))</f>
        <v/>
      </c>
      <c r="H193" t="str">
        <f>IF(A193="","",IFERROR(VLOOKUP(A193,Deal!$A:$K,9,0),""))</f>
        <v/>
      </c>
      <c r="I193" s="6" t="str">
        <f>IF(A193="","",IFERROR(VLOOKUP(A193,Deal!$A:$K,7,0),""))</f>
        <v/>
      </c>
      <c r="J193" s="12"/>
      <c r="K193" s="13"/>
      <c r="L193" s="13"/>
      <c r="M193" s="13"/>
      <c r="N193" s="12"/>
      <c r="O193" s="14"/>
      <c r="P193" s="12"/>
      <c r="Q193" s="12"/>
    </row>
    <row r="194" spans="1:17" ht="15" customHeight="1" x14ac:dyDescent="0.35">
      <c r="A194" s="12"/>
      <c r="B194" s="10" t="str">
        <f>IF(A194="","",IFERROR(IF(VLOOKUP(A194,Deal!$A:$K,8,0)="Win","✅ Win – Proceed","⚠ Stage: "&amp;VLOOKUP(A194,Deal!$A:$K,8,0)),"❌ Deal ID Not Found"))</f>
        <v/>
      </c>
      <c r="C194" t="str">
        <f>IF(A194="","",IFERROR(VLOOKUP(A194,Deal!$A:$K,2,0),""))</f>
        <v/>
      </c>
      <c r="D194" t="str">
        <f>IF(A194="","",IFERROR(VLOOKUP(A194,Deal!$A:$K,3,0),""))</f>
        <v/>
      </c>
      <c r="E194" t="str">
        <f>IF(A194="","",IFERROR(VLOOKUP(A194,Deal!$A:$K,4,0),""))</f>
        <v/>
      </c>
      <c r="F194" t="str">
        <f>IF(A194="","",IFERROR(VLOOKUP(A194,Enquiry!$A:$K,6,0),"— Enter manually"))</f>
        <v/>
      </c>
      <c r="G194" s="9" t="str">
        <f>IF(A194="","",IFERROR(VLOOKUP(A194,Deal!$A:$K,6,0),0))</f>
        <v/>
      </c>
      <c r="H194" t="str">
        <f>IF(A194="","",IFERROR(VLOOKUP(A194,Deal!$A:$K,9,0),""))</f>
        <v/>
      </c>
      <c r="I194" s="6" t="str">
        <f>IF(A194="","",IFERROR(VLOOKUP(A194,Deal!$A:$K,7,0),""))</f>
        <v/>
      </c>
      <c r="J194" s="12"/>
      <c r="K194" s="13"/>
      <c r="L194" s="13"/>
      <c r="M194" s="13"/>
      <c r="N194" s="12"/>
      <c r="O194" s="14"/>
      <c r="P194" s="12"/>
      <c r="Q194" s="12"/>
    </row>
    <row r="195" spans="1:17" ht="15" customHeight="1" x14ac:dyDescent="0.35">
      <c r="A195" s="12"/>
      <c r="B195" s="10" t="str">
        <f>IF(A195="","",IFERROR(IF(VLOOKUP(A195,Deal!$A:$K,8,0)="Win","✅ Win – Proceed","⚠ Stage: "&amp;VLOOKUP(A195,Deal!$A:$K,8,0)),"❌ Deal ID Not Found"))</f>
        <v/>
      </c>
      <c r="C195" t="str">
        <f>IF(A195="","",IFERROR(VLOOKUP(A195,Deal!$A:$K,2,0),""))</f>
        <v/>
      </c>
      <c r="D195" t="str">
        <f>IF(A195="","",IFERROR(VLOOKUP(A195,Deal!$A:$K,3,0),""))</f>
        <v/>
      </c>
      <c r="E195" t="str">
        <f>IF(A195="","",IFERROR(VLOOKUP(A195,Deal!$A:$K,4,0),""))</f>
        <v/>
      </c>
      <c r="F195" t="str">
        <f>IF(A195="","",IFERROR(VLOOKUP(A195,Enquiry!$A:$K,6,0),"— Enter manually"))</f>
        <v/>
      </c>
      <c r="G195" s="9" t="str">
        <f>IF(A195="","",IFERROR(VLOOKUP(A195,Deal!$A:$K,6,0),0))</f>
        <v/>
      </c>
      <c r="H195" t="str">
        <f>IF(A195="","",IFERROR(VLOOKUP(A195,Deal!$A:$K,9,0),""))</f>
        <v/>
      </c>
      <c r="I195" s="6" t="str">
        <f>IF(A195="","",IFERROR(VLOOKUP(A195,Deal!$A:$K,7,0),""))</f>
        <v/>
      </c>
      <c r="J195" s="12"/>
      <c r="K195" s="13"/>
      <c r="L195" s="13"/>
      <c r="M195" s="13"/>
      <c r="N195" s="12"/>
      <c r="O195" s="14"/>
      <c r="P195" s="12"/>
      <c r="Q195" s="12"/>
    </row>
    <row r="196" spans="1:17" ht="15" customHeight="1" x14ac:dyDescent="0.35">
      <c r="A196" s="12"/>
      <c r="B196" s="10" t="str">
        <f>IF(A196="","",IFERROR(IF(VLOOKUP(A196,Deal!$A:$K,8,0)="Win","✅ Win – Proceed","⚠ Stage: "&amp;VLOOKUP(A196,Deal!$A:$K,8,0)),"❌ Deal ID Not Found"))</f>
        <v/>
      </c>
      <c r="C196" t="str">
        <f>IF(A196="","",IFERROR(VLOOKUP(A196,Deal!$A:$K,2,0),""))</f>
        <v/>
      </c>
      <c r="D196" t="str">
        <f>IF(A196="","",IFERROR(VLOOKUP(A196,Deal!$A:$K,3,0),""))</f>
        <v/>
      </c>
      <c r="E196" t="str">
        <f>IF(A196="","",IFERROR(VLOOKUP(A196,Deal!$A:$K,4,0),""))</f>
        <v/>
      </c>
      <c r="F196" t="str">
        <f>IF(A196="","",IFERROR(VLOOKUP(A196,Enquiry!$A:$K,6,0),"— Enter manually"))</f>
        <v/>
      </c>
      <c r="G196" s="9" t="str">
        <f>IF(A196="","",IFERROR(VLOOKUP(A196,Deal!$A:$K,6,0),0))</f>
        <v/>
      </c>
      <c r="H196" t="str">
        <f>IF(A196="","",IFERROR(VLOOKUP(A196,Deal!$A:$K,9,0),""))</f>
        <v/>
      </c>
      <c r="I196" s="6" t="str">
        <f>IF(A196="","",IFERROR(VLOOKUP(A196,Deal!$A:$K,7,0),""))</f>
        <v/>
      </c>
      <c r="J196" s="12"/>
      <c r="K196" s="13"/>
      <c r="L196" s="13"/>
      <c r="M196" s="13"/>
      <c r="N196" s="12"/>
      <c r="O196" s="14"/>
      <c r="P196" s="12"/>
      <c r="Q196" s="12"/>
    </row>
    <row r="197" spans="1:17" ht="15" customHeight="1" x14ac:dyDescent="0.35">
      <c r="A197" s="12"/>
      <c r="B197" s="10" t="str">
        <f>IF(A197="","",IFERROR(IF(VLOOKUP(A197,Deal!$A:$K,8,0)="Win","✅ Win – Proceed","⚠ Stage: "&amp;VLOOKUP(A197,Deal!$A:$K,8,0)),"❌ Deal ID Not Found"))</f>
        <v/>
      </c>
      <c r="C197" t="str">
        <f>IF(A197="","",IFERROR(VLOOKUP(A197,Deal!$A:$K,2,0),""))</f>
        <v/>
      </c>
      <c r="D197" t="str">
        <f>IF(A197="","",IFERROR(VLOOKUP(A197,Deal!$A:$K,3,0),""))</f>
        <v/>
      </c>
      <c r="E197" t="str">
        <f>IF(A197="","",IFERROR(VLOOKUP(A197,Deal!$A:$K,4,0),""))</f>
        <v/>
      </c>
      <c r="F197" t="str">
        <f>IF(A197="","",IFERROR(VLOOKUP(A197,Enquiry!$A:$K,6,0),"— Enter manually"))</f>
        <v/>
      </c>
      <c r="G197" s="9" t="str">
        <f>IF(A197="","",IFERROR(VLOOKUP(A197,Deal!$A:$K,6,0),0))</f>
        <v/>
      </c>
      <c r="H197" t="str">
        <f>IF(A197="","",IFERROR(VLOOKUP(A197,Deal!$A:$K,9,0),""))</f>
        <v/>
      </c>
      <c r="I197" s="6" t="str">
        <f>IF(A197="","",IFERROR(VLOOKUP(A197,Deal!$A:$K,7,0),""))</f>
        <v/>
      </c>
      <c r="J197" s="12"/>
      <c r="K197" s="13"/>
      <c r="L197" s="13"/>
      <c r="M197" s="13"/>
      <c r="N197" s="12"/>
      <c r="O197" s="14"/>
      <c r="P197" s="12"/>
      <c r="Q197" s="12"/>
    </row>
    <row r="198" spans="1:17" ht="15" customHeight="1" x14ac:dyDescent="0.35">
      <c r="A198" s="12"/>
      <c r="B198" s="10" t="str">
        <f>IF(A198="","",IFERROR(IF(VLOOKUP(A198,Deal!$A:$K,8,0)="Win","✅ Win – Proceed","⚠ Stage: "&amp;VLOOKUP(A198,Deal!$A:$K,8,0)),"❌ Deal ID Not Found"))</f>
        <v/>
      </c>
      <c r="C198" t="str">
        <f>IF(A198="","",IFERROR(VLOOKUP(A198,Deal!$A:$K,2,0),""))</f>
        <v/>
      </c>
      <c r="D198" t="str">
        <f>IF(A198="","",IFERROR(VLOOKUP(A198,Deal!$A:$K,3,0),""))</f>
        <v/>
      </c>
      <c r="E198" t="str">
        <f>IF(A198="","",IFERROR(VLOOKUP(A198,Deal!$A:$K,4,0),""))</f>
        <v/>
      </c>
      <c r="F198" t="str">
        <f>IF(A198="","",IFERROR(VLOOKUP(A198,Enquiry!$A:$K,6,0),"— Enter manually"))</f>
        <v/>
      </c>
      <c r="G198" s="9" t="str">
        <f>IF(A198="","",IFERROR(VLOOKUP(A198,Deal!$A:$K,6,0),0))</f>
        <v/>
      </c>
      <c r="H198" t="str">
        <f>IF(A198="","",IFERROR(VLOOKUP(A198,Deal!$A:$K,9,0),""))</f>
        <v/>
      </c>
      <c r="I198" s="6" t="str">
        <f>IF(A198="","",IFERROR(VLOOKUP(A198,Deal!$A:$K,7,0),""))</f>
        <v/>
      </c>
      <c r="J198" s="12"/>
      <c r="K198" s="13"/>
      <c r="L198" s="13"/>
      <c r="M198" s="13"/>
      <c r="N198" s="12"/>
      <c r="O198" s="14"/>
      <c r="P198" s="12"/>
      <c r="Q198" s="12"/>
    </row>
    <row r="199" spans="1:17" ht="15" customHeight="1" x14ac:dyDescent="0.35">
      <c r="A199" s="12"/>
      <c r="B199" s="10" t="str">
        <f>IF(A199="","",IFERROR(IF(VLOOKUP(A199,Deal!$A:$K,8,0)="Win","✅ Win – Proceed","⚠ Stage: "&amp;VLOOKUP(A199,Deal!$A:$K,8,0)),"❌ Deal ID Not Found"))</f>
        <v/>
      </c>
      <c r="C199" t="str">
        <f>IF(A199="","",IFERROR(VLOOKUP(A199,Deal!$A:$K,2,0),""))</f>
        <v/>
      </c>
      <c r="D199" t="str">
        <f>IF(A199="","",IFERROR(VLOOKUP(A199,Deal!$A:$K,3,0),""))</f>
        <v/>
      </c>
      <c r="E199" t="str">
        <f>IF(A199="","",IFERROR(VLOOKUP(A199,Deal!$A:$K,4,0),""))</f>
        <v/>
      </c>
      <c r="F199" t="str">
        <f>IF(A199="","",IFERROR(VLOOKUP(A199,Enquiry!$A:$K,6,0),"— Enter manually"))</f>
        <v/>
      </c>
      <c r="G199" s="9" t="str">
        <f>IF(A199="","",IFERROR(VLOOKUP(A199,Deal!$A:$K,6,0),0))</f>
        <v/>
      </c>
      <c r="H199" t="str">
        <f>IF(A199="","",IFERROR(VLOOKUP(A199,Deal!$A:$K,9,0),""))</f>
        <v/>
      </c>
      <c r="I199" s="6" t="str">
        <f>IF(A199="","",IFERROR(VLOOKUP(A199,Deal!$A:$K,7,0),""))</f>
        <v/>
      </c>
      <c r="J199" s="12"/>
      <c r="K199" s="13"/>
      <c r="L199" s="13"/>
      <c r="M199" s="13"/>
      <c r="N199" s="12"/>
      <c r="O199" s="14"/>
      <c r="P199" s="12"/>
      <c r="Q199" s="12"/>
    </row>
    <row r="200" spans="1:17" ht="15" customHeight="1" x14ac:dyDescent="0.35">
      <c r="A200" s="12"/>
      <c r="B200" s="10" t="str">
        <f>IF(A200="","",IFERROR(IF(VLOOKUP(A200,Deal!$A:$K,8,0)="Win","✅ Win – Proceed","⚠ Stage: "&amp;VLOOKUP(A200,Deal!$A:$K,8,0)),"❌ Deal ID Not Found"))</f>
        <v/>
      </c>
      <c r="C200" t="str">
        <f>IF(A200="","",IFERROR(VLOOKUP(A200,Deal!$A:$K,2,0),""))</f>
        <v/>
      </c>
      <c r="D200" t="str">
        <f>IF(A200="","",IFERROR(VLOOKUP(A200,Deal!$A:$K,3,0),""))</f>
        <v/>
      </c>
      <c r="E200" t="str">
        <f>IF(A200="","",IFERROR(VLOOKUP(A200,Deal!$A:$K,4,0),""))</f>
        <v/>
      </c>
      <c r="F200" t="str">
        <f>IF(A200="","",IFERROR(VLOOKUP(A200,Enquiry!$A:$K,6,0),"— Enter manually"))</f>
        <v/>
      </c>
      <c r="G200" s="9" t="str">
        <f>IF(A200="","",IFERROR(VLOOKUP(A200,Deal!$A:$K,6,0),0))</f>
        <v/>
      </c>
      <c r="H200" t="str">
        <f>IF(A200="","",IFERROR(VLOOKUP(A200,Deal!$A:$K,9,0),""))</f>
        <v/>
      </c>
      <c r="I200" s="6" t="str">
        <f>IF(A200="","",IFERROR(VLOOKUP(A200,Deal!$A:$K,7,0),""))</f>
        <v/>
      </c>
      <c r="J200" s="12"/>
      <c r="K200" s="13"/>
      <c r="L200" s="13"/>
      <c r="M200" s="13"/>
      <c r="N200" s="12"/>
      <c r="O200" s="14"/>
      <c r="P200" s="12"/>
      <c r="Q200" s="12"/>
    </row>
    <row r="201" spans="1:17" ht="15" customHeight="1" x14ac:dyDescent="0.35">
      <c r="A201" s="12"/>
      <c r="B201" s="10" t="str">
        <f>IF(A201="","",IFERROR(IF(VLOOKUP(A201,Deal!$A:$K,8,0)="Win","✅ Win – Proceed","⚠ Stage: "&amp;VLOOKUP(A201,Deal!$A:$K,8,0)),"❌ Deal ID Not Found"))</f>
        <v/>
      </c>
      <c r="C201" t="str">
        <f>IF(A201="","",IFERROR(VLOOKUP(A201,Deal!$A:$K,2,0),""))</f>
        <v/>
      </c>
      <c r="D201" t="str">
        <f>IF(A201="","",IFERROR(VLOOKUP(A201,Deal!$A:$K,3,0),""))</f>
        <v/>
      </c>
      <c r="E201" t="str">
        <f>IF(A201="","",IFERROR(VLOOKUP(A201,Deal!$A:$K,4,0),""))</f>
        <v/>
      </c>
      <c r="F201" t="str">
        <f>IF(A201="","",IFERROR(VLOOKUP(A201,Enquiry!$A:$K,6,0),"— Enter manually"))</f>
        <v/>
      </c>
      <c r="G201" s="9" t="str">
        <f>IF(A201="","",IFERROR(VLOOKUP(A201,Deal!$A:$K,6,0),0))</f>
        <v/>
      </c>
      <c r="H201" t="str">
        <f>IF(A201="","",IFERROR(VLOOKUP(A201,Deal!$A:$K,9,0),""))</f>
        <v/>
      </c>
      <c r="I201" s="6" t="str">
        <f>IF(A201="","",IFERROR(VLOOKUP(A201,Deal!$A:$K,7,0),""))</f>
        <v/>
      </c>
      <c r="J201" s="12"/>
      <c r="K201" s="13"/>
      <c r="L201" s="13"/>
      <c r="M201" s="13"/>
      <c r="N201" s="12"/>
      <c r="O201" s="14"/>
      <c r="P201" s="12"/>
      <c r="Q201" s="12"/>
    </row>
    <row r="202" spans="1:17" ht="15" customHeight="1" x14ac:dyDescent="0.35">
      <c r="A202" s="12"/>
      <c r="B202" s="10" t="str">
        <f>IF(A202="","",IFERROR(IF(VLOOKUP(A202,Deal!$A:$K,8,0)="Win","✅ Win – Proceed","⚠ Stage: "&amp;VLOOKUP(A202,Deal!$A:$K,8,0)),"❌ Deal ID Not Found"))</f>
        <v/>
      </c>
      <c r="C202" t="str">
        <f>IF(A202="","",IFERROR(VLOOKUP(A202,Deal!$A:$K,2,0),""))</f>
        <v/>
      </c>
      <c r="D202" t="str">
        <f>IF(A202="","",IFERROR(VLOOKUP(A202,Deal!$A:$K,3,0),""))</f>
        <v/>
      </c>
      <c r="E202" t="str">
        <f>IF(A202="","",IFERROR(VLOOKUP(A202,Deal!$A:$K,4,0),""))</f>
        <v/>
      </c>
      <c r="F202" t="str">
        <f>IF(A202="","",IFERROR(VLOOKUP(A202,Enquiry!$A:$K,6,0),"— Enter manually"))</f>
        <v/>
      </c>
      <c r="G202" s="9" t="str">
        <f>IF(A202="","",IFERROR(VLOOKUP(A202,Deal!$A:$K,6,0),0))</f>
        <v/>
      </c>
      <c r="H202" t="str">
        <f>IF(A202="","",IFERROR(VLOOKUP(A202,Deal!$A:$K,9,0),""))</f>
        <v/>
      </c>
      <c r="I202" s="6" t="str">
        <f>IF(A202="","",IFERROR(VLOOKUP(A202,Deal!$A:$K,7,0),""))</f>
        <v/>
      </c>
      <c r="J202" s="12"/>
      <c r="K202" s="13"/>
      <c r="L202" s="13"/>
      <c r="M202" s="13"/>
      <c r="N202" s="12"/>
      <c r="O202" s="14"/>
      <c r="P202" s="12"/>
      <c r="Q202" s="12"/>
    </row>
    <row r="203" spans="1:17" ht="15" customHeight="1" x14ac:dyDescent="0.35">
      <c r="A203" s="12"/>
      <c r="B203" s="10" t="str">
        <f>IF(A203="","",IFERROR(IF(VLOOKUP(A203,Deal!$A:$K,8,0)="Win","✅ Win – Proceed","⚠ Stage: "&amp;VLOOKUP(A203,Deal!$A:$K,8,0)),"❌ Deal ID Not Found"))</f>
        <v/>
      </c>
      <c r="C203" t="str">
        <f>IF(A203="","",IFERROR(VLOOKUP(A203,Deal!$A:$K,2,0),""))</f>
        <v/>
      </c>
      <c r="D203" t="str">
        <f>IF(A203="","",IFERROR(VLOOKUP(A203,Deal!$A:$K,3,0),""))</f>
        <v/>
      </c>
      <c r="E203" t="str">
        <f>IF(A203="","",IFERROR(VLOOKUP(A203,Deal!$A:$K,4,0),""))</f>
        <v/>
      </c>
      <c r="F203" t="str">
        <f>IF(A203="","",IFERROR(VLOOKUP(A203,Enquiry!$A:$K,6,0),"— Enter manually"))</f>
        <v/>
      </c>
      <c r="G203" s="9" t="str">
        <f>IF(A203="","",IFERROR(VLOOKUP(A203,Deal!$A:$K,6,0),0))</f>
        <v/>
      </c>
      <c r="H203" t="str">
        <f>IF(A203="","",IFERROR(VLOOKUP(A203,Deal!$A:$K,9,0),""))</f>
        <v/>
      </c>
      <c r="I203" s="6" t="str">
        <f>IF(A203="","",IFERROR(VLOOKUP(A203,Deal!$A:$K,7,0),""))</f>
        <v/>
      </c>
      <c r="J203" s="12"/>
      <c r="K203" s="13"/>
      <c r="L203" s="13"/>
      <c r="M203" s="13"/>
      <c r="N203" s="12"/>
      <c r="O203" s="14"/>
      <c r="P203" s="12"/>
      <c r="Q203" s="12"/>
    </row>
  </sheetData>
  <mergeCells count="4">
    <mergeCell ref="A2:Q2"/>
    <mergeCell ref="A1:Q1"/>
    <mergeCell ref="A4:H4"/>
    <mergeCell ref="I4:Q4"/>
  </mergeCells>
  <conditionalFormatting sqref="A5:I5 A6:Q203">
    <cfRule type="expression" dxfId="10" priority="7">
      <formula>ISNUMBER(SEARCH("✅",$B5))</formula>
    </cfRule>
    <cfRule type="expression" dxfId="9" priority="8">
      <formula>ISNUMBER(SEARCH("❌",$B5))</formula>
    </cfRule>
    <cfRule type="expression" dxfId="8" priority="9">
      <formula>ISNUMBER(SEARCH("⚠",$B5))</formula>
    </cfRule>
  </conditionalFormatting>
  <dataValidations count="1">
    <dataValidation type="list" allowBlank="1" showErrorMessage="1" sqref="N6:N203">
      <formula1>PaymentCadence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V301"/>
  <sheetViews>
    <sheetView tabSelected="1" topLeftCell="O1" zoomScaleNormal="100" workbookViewId="0">
      <pane ySplit="2" topLeftCell="A3" activePane="bottomLeft" state="frozen"/>
      <selection pane="bottomLeft" activeCell="W4" sqref="W4"/>
    </sheetView>
  </sheetViews>
  <sheetFormatPr defaultColWidth="8.7265625" defaultRowHeight="14.5" x14ac:dyDescent="0.35"/>
  <cols>
    <col min="1" max="2" width="14" customWidth="1"/>
    <col min="3" max="4" width="16" customWidth="1"/>
    <col min="5" max="5" width="24" customWidth="1"/>
    <col min="6" max="6" width="22" customWidth="1"/>
    <col min="7" max="7" width="18" customWidth="1"/>
    <col min="8" max="8" width="20" customWidth="1"/>
    <col min="9" max="9" width="32" customWidth="1"/>
    <col min="10" max="13" width="14" customWidth="1"/>
    <col min="14" max="14" width="12" customWidth="1"/>
    <col min="15" max="17" width="18" customWidth="1"/>
    <col min="18" max="18" width="13" customWidth="1"/>
    <col min="19" max="19" width="28" customWidth="1"/>
    <col min="20" max="20" width="20" customWidth="1"/>
    <col min="21" max="21" width="22" customWidth="1"/>
    <col min="22" max="22" width="20" customWidth="1"/>
  </cols>
  <sheetData>
    <row r="1" spans="1:22" ht="42" customHeight="1" x14ac:dyDescent="0.35">
      <c r="A1" s="8" t="s">
        <v>9</v>
      </c>
      <c r="B1" s="8" t="s">
        <v>459</v>
      </c>
      <c r="C1" s="15" t="s">
        <v>460</v>
      </c>
      <c r="D1" s="1" t="s">
        <v>382</v>
      </c>
      <c r="E1" s="1" t="s">
        <v>376</v>
      </c>
      <c r="F1" s="1" t="s">
        <v>461</v>
      </c>
      <c r="G1" s="1" t="s">
        <v>388</v>
      </c>
      <c r="H1" s="1" t="s">
        <v>377</v>
      </c>
      <c r="I1" s="1" t="s">
        <v>462</v>
      </c>
      <c r="J1" s="1" t="s">
        <v>383</v>
      </c>
      <c r="K1" s="1" t="s">
        <v>384</v>
      </c>
      <c r="L1" s="1" t="s">
        <v>385</v>
      </c>
      <c r="M1" s="1" t="s">
        <v>463</v>
      </c>
      <c r="N1" s="1" t="s">
        <v>464</v>
      </c>
      <c r="O1" s="1" t="s">
        <v>465</v>
      </c>
      <c r="P1" s="36" t="s">
        <v>466</v>
      </c>
      <c r="Q1" s="36" t="s">
        <v>386</v>
      </c>
      <c r="R1" s="1" t="s">
        <v>387</v>
      </c>
      <c r="S1" s="1" t="s">
        <v>467</v>
      </c>
      <c r="T1" s="1" t="s">
        <v>468</v>
      </c>
      <c r="U1" s="1" t="s">
        <v>469</v>
      </c>
      <c r="V1" s="1" t="s">
        <v>470</v>
      </c>
    </row>
    <row r="2" spans="1:22" ht="21.75" customHeight="1" x14ac:dyDescent="0.35">
      <c r="A2" s="37"/>
      <c r="B2" s="37"/>
      <c r="C2" s="37"/>
      <c r="D2" s="37" t="s">
        <v>471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2" ht="15" customHeight="1" x14ac:dyDescent="0.35">
      <c r="A3" s="34" t="s">
        <v>45</v>
      </c>
      <c r="B3" s="22" t="s">
        <v>28</v>
      </c>
      <c r="C3" s="34" t="s">
        <v>100</v>
      </c>
      <c r="D3" t="s">
        <v>393</v>
      </c>
      <c r="E3" s="16" t="s">
        <v>101</v>
      </c>
      <c r="F3" s="16" t="s">
        <v>101</v>
      </c>
      <c r="G3" s="16" t="s">
        <v>394</v>
      </c>
      <c r="H3" s="16" t="s">
        <v>18</v>
      </c>
      <c r="I3" s="16" t="s">
        <v>35</v>
      </c>
      <c r="J3" s="17">
        <v>45930</v>
      </c>
      <c r="K3" s="17">
        <v>45931</v>
      </c>
      <c r="L3" s="17">
        <v>46022</v>
      </c>
      <c r="M3" s="18">
        <v>3</v>
      </c>
      <c r="N3">
        <v>3</v>
      </c>
      <c r="O3" s="19">
        <v>600000</v>
      </c>
      <c r="P3" s="19">
        <v>200000</v>
      </c>
      <c r="Q3" s="16" t="s">
        <v>57</v>
      </c>
      <c r="R3" s="20">
        <v>0</v>
      </c>
      <c r="S3" t="s">
        <v>472</v>
      </c>
      <c r="T3" s="16" t="s">
        <v>47</v>
      </c>
      <c r="U3" s="21" t="s">
        <v>473</v>
      </c>
      <c r="V3" t="s">
        <v>474</v>
      </c>
    </row>
    <row r="4" spans="1:22" ht="15" customHeight="1" x14ac:dyDescent="0.35">
      <c r="A4" s="22" t="s">
        <v>45</v>
      </c>
      <c r="B4" s="22" t="s">
        <v>28</v>
      </c>
      <c r="C4" s="23" t="s">
        <v>133</v>
      </c>
      <c r="D4" t="s">
        <v>396</v>
      </c>
      <c r="E4" s="16" t="s">
        <v>135</v>
      </c>
      <c r="F4" s="16" t="s">
        <v>135</v>
      </c>
      <c r="G4" s="16" t="s">
        <v>397</v>
      </c>
      <c r="H4" s="16" t="s">
        <v>18</v>
      </c>
      <c r="I4" s="16" t="s">
        <v>35</v>
      </c>
      <c r="J4" s="17">
        <v>45744</v>
      </c>
      <c r="K4" s="17">
        <v>45748</v>
      </c>
      <c r="L4" s="17">
        <v>46022</v>
      </c>
      <c r="M4" s="18">
        <v>9</v>
      </c>
      <c r="N4">
        <v>9</v>
      </c>
      <c r="O4" s="19">
        <v>1100000</v>
      </c>
      <c r="P4" s="19">
        <v>122222</v>
      </c>
      <c r="Q4" s="16" t="s">
        <v>57</v>
      </c>
      <c r="R4" s="20">
        <v>10</v>
      </c>
      <c r="S4" t="s">
        <v>475</v>
      </c>
      <c r="T4" s="16" t="s">
        <v>29</v>
      </c>
      <c r="U4" s="21" t="s">
        <v>476</v>
      </c>
      <c r="V4" t="s">
        <v>474</v>
      </c>
    </row>
    <row r="5" spans="1:22" ht="15" customHeight="1" x14ac:dyDescent="0.35">
      <c r="A5" s="22" t="s">
        <v>45</v>
      </c>
      <c r="B5" s="22" t="s">
        <v>28</v>
      </c>
      <c r="C5" s="23" t="s">
        <v>138</v>
      </c>
      <c r="D5" t="s">
        <v>399</v>
      </c>
      <c r="E5" s="16" t="s">
        <v>140</v>
      </c>
      <c r="F5" s="16" t="s">
        <v>140</v>
      </c>
      <c r="G5" s="16" t="s">
        <v>400</v>
      </c>
      <c r="H5" s="16" t="s">
        <v>17</v>
      </c>
      <c r="I5" s="16" t="s">
        <v>34</v>
      </c>
      <c r="J5" s="17">
        <v>45772</v>
      </c>
      <c r="K5" s="17">
        <v>45778</v>
      </c>
      <c r="L5" s="17">
        <v>45961</v>
      </c>
      <c r="M5" s="18">
        <v>6</v>
      </c>
      <c r="N5">
        <v>3</v>
      </c>
      <c r="O5" s="19">
        <v>3800000</v>
      </c>
      <c r="P5" s="19">
        <v>633333</v>
      </c>
      <c r="Q5" s="16" t="s">
        <v>40</v>
      </c>
      <c r="R5" s="20">
        <v>20</v>
      </c>
      <c r="S5" t="s">
        <v>477</v>
      </c>
      <c r="T5" s="16" t="s">
        <v>75</v>
      </c>
      <c r="U5" s="21" t="s">
        <v>478</v>
      </c>
      <c r="V5" t="s">
        <v>474</v>
      </c>
    </row>
    <row r="6" spans="1:22" ht="15" customHeight="1" x14ac:dyDescent="0.35">
      <c r="A6" s="22" t="s">
        <v>45</v>
      </c>
      <c r="B6" s="22" t="s">
        <v>28</v>
      </c>
      <c r="C6" s="23" t="s">
        <v>143</v>
      </c>
      <c r="D6" t="s">
        <v>402</v>
      </c>
      <c r="E6" s="16" t="s">
        <v>145</v>
      </c>
      <c r="F6" s="16" t="s">
        <v>145</v>
      </c>
      <c r="G6" s="16" t="s">
        <v>403</v>
      </c>
      <c r="H6" s="16" t="s">
        <v>19</v>
      </c>
      <c r="I6" s="16" t="s">
        <v>36</v>
      </c>
      <c r="J6" s="17">
        <v>45787</v>
      </c>
      <c r="K6" s="17">
        <v>45792</v>
      </c>
      <c r="L6" s="17">
        <v>45884</v>
      </c>
      <c r="M6" s="18">
        <v>4</v>
      </c>
      <c r="N6">
        <v>4</v>
      </c>
      <c r="O6" s="19">
        <v>800000</v>
      </c>
      <c r="P6" s="19">
        <v>200000</v>
      </c>
      <c r="Q6" s="16" t="s">
        <v>72</v>
      </c>
      <c r="R6" s="20">
        <v>0</v>
      </c>
      <c r="S6" t="s">
        <v>479</v>
      </c>
      <c r="T6" s="16" t="s">
        <v>64</v>
      </c>
      <c r="U6" s="21" t="s">
        <v>480</v>
      </c>
      <c r="V6" t="s">
        <v>474</v>
      </c>
    </row>
    <row r="7" spans="1:22" ht="15" customHeight="1" x14ac:dyDescent="0.35">
      <c r="A7" s="22" t="s">
        <v>45</v>
      </c>
      <c r="B7" s="22" t="s">
        <v>28</v>
      </c>
      <c r="C7" s="23" t="s">
        <v>148</v>
      </c>
      <c r="D7" t="s">
        <v>405</v>
      </c>
      <c r="E7" s="16" t="s">
        <v>150</v>
      </c>
      <c r="F7" s="16" t="s">
        <v>150</v>
      </c>
      <c r="G7" s="16" t="s">
        <v>406</v>
      </c>
      <c r="H7" s="16" t="s">
        <v>15</v>
      </c>
      <c r="I7" s="16" t="s">
        <v>32</v>
      </c>
      <c r="J7" s="17">
        <v>45836</v>
      </c>
      <c r="K7" s="17">
        <v>45839</v>
      </c>
      <c r="L7" s="17">
        <v>46022</v>
      </c>
      <c r="M7" s="18">
        <v>6</v>
      </c>
      <c r="N7">
        <v>3</v>
      </c>
      <c r="O7" s="19">
        <v>2200000</v>
      </c>
      <c r="P7" s="19">
        <v>366667</v>
      </c>
      <c r="Q7" s="16" t="s">
        <v>40</v>
      </c>
      <c r="R7" s="20">
        <v>25</v>
      </c>
      <c r="S7" t="s">
        <v>481</v>
      </c>
      <c r="T7" s="16" t="s">
        <v>114</v>
      </c>
      <c r="U7" s="21" t="s">
        <v>482</v>
      </c>
      <c r="V7" t="s">
        <v>474</v>
      </c>
    </row>
    <row r="8" spans="1:22" ht="15" customHeight="1" x14ac:dyDescent="0.35">
      <c r="A8" s="22" t="s">
        <v>45</v>
      </c>
      <c r="B8" s="22" t="s">
        <v>28</v>
      </c>
      <c r="C8" s="23" t="s">
        <v>153</v>
      </c>
      <c r="D8" t="s">
        <v>408</v>
      </c>
      <c r="E8" s="16" t="s">
        <v>155</v>
      </c>
      <c r="F8" s="16" t="s">
        <v>155</v>
      </c>
      <c r="G8" s="16" t="s">
        <v>409</v>
      </c>
      <c r="H8" s="16" t="s">
        <v>16</v>
      </c>
      <c r="I8" s="16" t="s">
        <v>53</v>
      </c>
      <c r="J8" s="17">
        <v>45848</v>
      </c>
      <c r="K8" s="17">
        <v>45853</v>
      </c>
      <c r="L8" s="17">
        <v>46022</v>
      </c>
      <c r="M8" s="18">
        <v>6</v>
      </c>
      <c r="N8">
        <v>6</v>
      </c>
      <c r="O8" s="19">
        <v>900000</v>
      </c>
      <c r="P8" s="19">
        <v>150000</v>
      </c>
      <c r="Q8" s="16" t="s">
        <v>57</v>
      </c>
      <c r="R8" s="20">
        <v>0</v>
      </c>
      <c r="S8" t="s">
        <v>483</v>
      </c>
      <c r="T8" s="16" t="s">
        <v>87</v>
      </c>
      <c r="U8" s="21" t="s">
        <v>484</v>
      </c>
      <c r="V8" t="s">
        <v>474</v>
      </c>
    </row>
    <row r="9" spans="1:22" ht="15" customHeight="1" x14ac:dyDescent="0.35">
      <c r="A9" s="22" t="s">
        <v>27</v>
      </c>
      <c r="B9" s="22" t="s">
        <v>28</v>
      </c>
      <c r="C9" s="23" t="s">
        <v>158</v>
      </c>
      <c r="D9" t="s">
        <v>411</v>
      </c>
      <c r="E9" s="16" t="s">
        <v>160</v>
      </c>
      <c r="F9" s="16" t="s">
        <v>160</v>
      </c>
      <c r="G9" s="16" t="s">
        <v>412</v>
      </c>
      <c r="H9" s="16" t="s">
        <v>17</v>
      </c>
      <c r="I9" s="16" t="s">
        <v>52</v>
      </c>
      <c r="J9" s="17">
        <v>45866</v>
      </c>
      <c r="K9" s="17">
        <v>45870</v>
      </c>
      <c r="L9" s="17">
        <v>46142</v>
      </c>
      <c r="M9" s="18">
        <v>9</v>
      </c>
      <c r="N9">
        <v>9</v>
      </c>
      <c r="O9" s="19">
        <v>2900000</v>
      </c>
      <c r="P9" s="19">
        <v>322222</v>
      </c>
      <c r="Q9" s="16" t="s">
        <v>57</v>
      </c>
      <c r="R9" s="20">
        <v>10</v>
      </c>
      <c r="S9" t="s">
        <v>485</v>
      </c>
      <c r="T9" s="16" t="s">
        <v>81</v>
      </c>
      <c r="U9" s="21" t="s">
        <v>486</v>
      </c>
      <c r="V9" t="s">
        <v>474</v>
      </c>
    </row>
    <row r="10" spans="1:22" ht="15" customHeight="1" x14ac:dyDescent="0.35">
      <c r="A10" s="22" t="s">
        <v>45</v>
      </c>
      <c r="B10" s="22" t="s">
        <v>28</v>
      </c>
      <c r="C10" s="23" t="s">
        <v>163</v>
      </c>
      <c r="D10" t="s">
        <v>414</v>
      </c>
      <c r="E10" s="16" t="s">
        <v>165</v>
      </c>
      <c r="F10" s="16" t="s">
        <v>165</v>
      </c>
      <c r="G10" s="16" t="s">
        <v>415</v>
      </c>
      <c r="H10" s="16" t="s">
        <v>15</v>
      </c>
      <c r="I10" s="16" t="s">
        <v>67</v>
      </c>
      <c r="J10" s="17">
        <v>45894</v>
      </c>
      <c r="K10" s="17">
        <v>45901</v>
      </c>
      <c r="L10" s="17">
        <v>46081</v>
      </c>
      <c r="M10" s="18">
        <v>6</v>
      </c>
      <c r="N10">
        <v>6</v>
      </c>
      <c r="O10" s="19">
        <v>1600000</v>
      </c>
      <c r="P10" s="19">
        <v>266667</v>
      </c>
      <c r="Q10" s="16" t="s">
        <v>57</v>
      </c>
      <c r="R10" s="20">
        <v>0</v>
      </c>
      <c r="S10" t="s">
        <v>487</v>
      </c>
      <c r="T10" s="16" t="s">
        <v>114</v>
      </c>
      <c r="U10" s="21" t="s">
        <v>488</v>
      </c>
      <c r="V10" t="s">
        <v>474</v>
      </c>
    </row>
    <row r="11" spans="1:22" ht="15" customHeight="1" x14ac:dyDescent="0.35">
      <c r="A11" s="22" t="s">
        <v>45</v>
      </c>
      <c r="B11" s="22" t="s">
        <v>28</v>
      </c>
      <c r="C11" s="23" t="s">
        <v>168</v>
      </c>
      <c r="D11" t="s">
        <v>417</v>
      </c>
      <c r="E11" s="16" t="s">
        <v>170</v>
      </c>
      <c r="F11" s="16" t="s">
        <v>170</v>
      </c>
      <c r="G11" s="16" t="s">
        <v>418</v>
      </c>
      <c r="H11" s="16" t="s">
        <v>13</v>
      </c>
      <c r="I11" s="16" t="s">
        <v>49</v>
      </c>
      <c r="J11" s="17">
        <v>45925</v>
      </c>
      <c r="K11" s="17">
        <v>45931</v>
      </c>
      <c r="L11" s="17">
        <v>46022</v>
      </c>
      <c r="M11" s="18">
        <v>3</v>
      </c>
      <c r="N11">
        <v>3</v>
      </c>
      <c r="O11" s="19">
        <v>600000</v>
      </c>
      <c r="P11" s="19">
        <v>200000</v>
      </c>
      <c r="Q11" s="16" t="s">
        <v>57</v>
      </c>
      <c r="R11" s="20">
        <v>0</v>
      </c>
      <c r="S11" t="s">
        <v>489</v>
      </c>
      <c r="T11" s="16" t="s">
        <v>84</v>
      </c>
      <c r="U11" s="21" t="s">
        <v>490</v>
      </c>
      <c r="V11" t="s">
        <v>474</v>
      </c>
    </row>
    <row r="12" spans="1:22" ht="15" customHeight="1" x14ac:dyDescent="0.35">
      <c r="A12" s="22" t="s">
        <v>27</v>
      </c>
      <c r="B12" s="22" t="s">
        <v>28</v>
      </c>
      <c r="C12" s="23" t="s">
        <v>173</v>
      </c>
      <c r="D12" t="s">
        <v>420</v>
      </c>
      <c r="E12" s="16" t="s">
        <v>175</v>
      </c>
      <c r="F12" s="16" t="s">
        <v>175</v>
      </c>
      <c r="G12" s="16" t="s">
        <v>421</v>
      </c>
      <c r="H12" s="16" t="s">
        <v>16</v>
      </c>
      <c r="I12" s="16" t="s">
        <v>51</v>
      </c>
      <c r="J12" s="17">
        <v>45940</v>
      </c>
      <c r="K12" s="17">
        <v>45945</v>
      </c>
      <c r="L12" s="17">
        <v>46126</v>
      </c>
      <c r="M12" s="18">
        <v>7</v>
      </c>
      <c r="N12">
        <v>7</v>
      </c>
      <c r="O12" s="19">
        <v>720000</v>
      </c>
      <c r="P12" s="19">
        <v>102857</v>
      </c>
      <c r="Q12" s="16" t="s">
        <v>57</v>
      </c>
      <c r="R12" s="20">
        <v>0</v>
      </c>
      <c r="S12" t="s">
        <v>491</v>
      </c>
      <c r="T12" s="16" t="s">
        <v>47</v>
      </c>
      <c r="U12" s="21" t="s">
        <v>492</v>
      </c>
      <c r="V12" t="s">
        <v>474</v>
      </c>
    </row>
    <row r="13" spans="1:22" ht="15" customHeight="1" x14ac:dyDescent="0.35">
      <c r="A13" s="22" t="s">
        <v>27</v>
      </c>
      <c r="B13" s="22" t="s">
        <v>28</v>
      </c>
      <c r="C13" s="23" t="s">
        <v>178</v>
      </c>
      <c r="D13" t="s">
        <v>423</v>
      </c>
      <c r="E13" s="16" t="s">
        <v>180</v>
      </c>
      <c r="F13" s="16" t="s">
        <v>180</v>
      </c>
      <c r="G13" s="16" t="s">
        <v>424</v>
      </c>
      <c r="H13" s="16" t="s">
        <v>18</v>
      </c>
      <c r="I13" s="16" t="s">
        <v>53</v>
      </c>
      <c r="J13" s="17">
        <v>45958</v>
      </c>
      <c r="K13" s="17">
        <v>45962</v>
      </c>
      <c r="L13" s="17">
        <v>46142</v>
      </c>
      <c r="M13" s="18">
        <v>6</v>
      </c>
      <c r="N13">
        <v>6</v>
      </c>
      <c r="O13" s="19">
        <v>1400000</v>
      </c>
      <c r="P13" s="19">
        <v>233333</v>
      </c>
      <c r="Q13" s="16" t="s">
        <v>57</v>
      </c>
      <c r="R13" s="20">
        <v>15</v>
      </c>
      <c r="S13" t="s">
        <v>493</v>
      </c>
      <c r="T13" s="16" t="s">
        <v>29</v>
      </c>
      <c r="U13" s="21" t="s">
        <v>494</v>
      </c>
      <c r="V13" t="s">
        <v>474</v>
      </c>
    </row>
    <row r="14" spans="1:22" ht="15" customHeight="1" x14ac:dyDescent="0.35">
      <c r="A14" s="22" t="s">
        <v>27</v>
      </c>
      <c r="B14" s="22" t="s">
        <v>28</v>
      </c>
      <c r="C14" s="23" t="s">
        <v>188</v>
      </c>
      <c r="D14" t="s">
        <v>426</v>
      </c>
      <c r="E14" s="16" t="s">
        <v>190</v>
      </c>
      <c r="F14" s="16" t="s">
        <v>190</v>
      </c>
      <c r="G14" s="16" t="s">
        <v>427</v>
      </c>
      <c r="H14" s="16" t="s">
        <v>17</v>
      </c>
      <c r="I14" s="16" t="s">
        <v>34</v>
      </c>
      <c r="J14" s="17">
        <v>45986</v>
      </c>
      <c r="K14" s="17">
        <v>45992</v>
      </c>
      <c r="L14" s="17">
        <v>46173</v>
      </c>
      <c r="M14" s="18">
        <v>6</v>
      </c>
      <c r="N14">
        <v>3</v>
      </c>
      <c r="O14" s="19">
        <v>2500000</v>
      </c>
      <c r="P14" s="19">
        <v>416667</v>
      </c>
      <c r="Q14" s="16" t="s">
        <v>40</v>
      </c>
      <c r="R14" s="20">
        <v>20</v>
      </c>
      <c r="S14" t="s">
        <v>495</v>
      </c>
      <c r="T14" s="16" t="s">
        <v>75</v>
      </c>
      <c r="U14" s="21" t="s">
        <v>496</v>
      </c>
      <c r="V14" t="s">
        <v>474</v>
      </c>
    </row>
    <row r="15" spans="1:22" ht="15" customHeight="1" x14ac:dyDescent="0.35">
      <c r="A15" s="22" t="s">
        <v>27</v>
      </c>
      <c r="B15" s="22" t="s">
        <v>28</v>
      </c>
      <c r="C15" s="23" t="s">
        <v>193</v>
      </c>
      <c r="D15" t="s">
        <v>429</v>
      </c>
      <c r="E15" s="16" t="s">
        <v>195</v>
      </c>
      <c r="F15" s="16" t="s">
        <v>195</v>
      </c>
      <c r="G15" s="16" t="s">
        <v>430</v>
      </c>
      <c r="H15" s="16" t="s">
        <v>19</v>
      </c>
      <c r="I15" s="16" t="s">
        <v>36</v>
      </c>
      <c r="J15" s="17">
        <v>46001</v>
      </c>
      <c r="K15" s="17">
        <v>46006</v>
      </c>
      <c r="L15" s="17">
        <v>46187</v>
      </c>
      <c r="M15" s="18">
        <v>7</v>
      </c>
      <c r="N15">
        <v>7</v>
      </c>
      <c r="O15" s="19">
        <v>1000000</v>
      </c>
      <c r="P15" s="19">
        <v>142857</v>
      </c>
      <c r="Q15" s="16" t="s">
        <v>57</v>
      </c>
      <c r="R15" s="20">
        <v>0</v>
      </c>
      <c r="S15" t="s">
        <v>497</v>
      </c>
      <c r="T15" s="16" t="s">
        <v>64</v>
      </c>
      <c r="U15" s="21" t="s">
        <v>498</v>
      </c>
      <c r="V15" t="s">
        <v>474</v>
      </c>
    </row>
    <row r="16" spans="1:22" ht="15" customHeight="1" x14ac:dyDescent="0.35">
      <c r="A16" s="22" t="s">
        <v>27</v>
      </c>
      <c r="B16" s="22" t="s">
        <v>28</v>
      </c>
      <c r="C16" s="23" t="s">
        <v>198</v>
      </c>
      <c r="D16" t="s">
        <v>432</v>
      </c>
      <c r="E16" s="16" t="s">
        <v>200</v>
      </c>
      <c r="F16" s="16" t="s">
        <v>200</v>
      </c>
      <c r="G16" s="16" t="s">
        <v>433</v>
      </c>
      <c r="H16" s="16" t="s">
        <v>13</v>
      </c>
      <c r="I16" s="16" t="s">
        <v>66</v>
      </c>
      <c r="J16" s="17">
        <v>46019</v>
      </c>
      <c r="K16" s="17">
        <v>46023</v>
      </c>
      <c r="L16" s="17">
        <v>46203</v>
      </c>
      <c r="M16" s="18">
        <v>6</v>
      </c>
      <c r="N16">
        <v>2</v>
      </c>
      <c r="O16" s="19">
        <v>480000</v>
      </c>
      <c r="P16" s="19">
        <v>80000</v>
      </c>
      <c r="Q16" s="16" t="s">
        <v>72</v>
      </c>
      <c r="R16" s="20">
        <v>10</v>
      </c>
      <c r="S16" t="s">
        <v>499</v>
      </c>
      <c r="T16" s="16" t="s">
        <v>84</v>
      </c>
      <c r="U16" s="21" t="s">
        <v>500</v>
      </c>
      <c r="V16" t="s">
        <v>474</v>
      </c>
    </row>
    <row r="17" spans="1:22" ht="15" customHeight="1" x14ac:dyDescent="0.35">
      <c r="A17" s="22" t="s">
        <v>27</v>
      </c>
      <c r="B17" s="22" t="s">
        <v>28</v>
      </c>
      <c r="C17" s="23" t="s">
        <v>203</v>
      </c>
      <c r="D17" t="s">
        <v>435</v>
      </c>
      <c r="E17" s="16" t="s">
        <v>205</v>
      </c>
      <c r="F17" s="16" t="s">
        <v>205</v>
      </c>
      <c r="G17" s="16" t="s">
        <v>436</v>
      </c>
      <c r="H17" s="16" t="s">
        <v>15</v>
      </c>
      <c r="I17" s="16" t="s">
        <v>67</v>
      </c>
      <c r="J17" s="17">
        <v>46050</v>
      </c>
      <c r="K17" s="17">
        <v>46054</v>
      </c>
      <c r="L17" s="17">
        <v>46234</v>
      </c>
      <c r="M17" s="18">
        <v>6</v>
      </c>
      <c r="N17">
        <v>6</v>
      </c>
      <c r="O17" s="19">
        <v>1500000</v>
      </c>
      <c r="P17" s="19">
        <v>250000</v>
      </c>
      <c r="Q17" s="16" t="s">
        <v>57</v>
      </c>
      <c r="R17" s="20">
        <v>0</v>
      </c>
      <c r="S17" t="s">
        <v>501</v>
      </c>
      <c r="T17" s="16" t="s">
        <v>29</v>
      </c>
      <c r="U17" s="21" t="s">
        <v>502</v>
      </c>
      <c r="V17" t="s">
        <v>474</v>
      </c>
    </row>
    <row r="18" spans="1:22" ht="15" customHeight="1" x14ac:dyDescent="0.35">
      <c r="A18" s="22" t="s">
        <v>27</v>
      </c>
      <c r="B18" s="22" t="s">
        <v>28</v>
      </c>
      <c r="C18" s="23" t="s">
        <v>218</v>
      </c>
      <c r="D18" t="s">
        <v>438</v>
      </c>
      <c r="E18" s="16" t="s">
        <v>220</v>
      </c>
      <c r="F18" s="16" t="s">
        <v>220</v>
      </c>
      <c r="G18" s="16" t="s">
        <v>439</v>
      </c>
      <c r="H18" s="16" t="s">
        <v>16</v>
      </c>
      <c r="I18" s="16" t="s">
        <v>33</v>
      </c>
      <c r="J18" s="17">
        <v>46078</v>
      </c>
      <c r="K18" s="17">
        <v>46082</v>
      </c>
      <c r="L18" s="17">
        <v>46265</v>
      </c>
      <c r="M18" s="18">
        <v>6</v>
      </c>
      <c r="N18">
        <v>3</v>
      </c>
      <c r="O18" s="19">
        <v>3200000</v>
      </c>
      <c r="P18" s="19">
        <v>533333</v>
      </c>
      <c r="Q18" s="16" t="s">
        <v>40</v>
      </c>
      <c r="R18" s="20">
        <v>20</v>
      </c>
      <c r="S18" t="s">
        <v>503</v>
      </c>
      <c r="T18" s="16" t="s">
        <v>75</v>
      </c>
      <c r="U18" s="21" t="s">
        <v>504</v>
      </c>
      <c r="V18" t="s">
        <v>474</v>
      </c>
    </row>
    <row r="19" spans="1:22" ht="15" customHeight="1" x14ac:dyDescent="0.35">
      <c r="A19" s="22" t="s">
        <v>27</v>
      </c>
      <c r="B19" s="22" t="s">
        <v>28</v>
      </c>
      <c r="C19" s="23" t="s">
        <v>223</v>
      </c>
      <c r="D19" t="s">
        <v>441</v>
      </c>
      <c r="E19" s="16" t="s">
        <v>225</v>
      </c>
      <c r="F19" s="16" t="s">
        <v>225</v>
      </c>
      <c r="G19" s="16" t="s">
        <v>442</v>
      </c>
      <c r="H19" s="16" t="s">
        <v>19</v>
      </c>
      <c r="I19" s="16" t="s">
        <v>36</v>
      </c>
      <c r="J19" s="17">
        <v>46084</v>
      </c>
      <c r="K19" s="17">
        <v>46087</v>
      </c>
      <c r="L19" s="17">
        <v>46178</v>
      </c>
      <c r="M19" s="18">
        <v>4</v>
      </c>
      <c r="N19">
        <v>4</v>
      </c>
      <c r="O19" s="19">
        <v>850000</v>
      </c>
      <c r="P19" s="19">
        <v>212500</v>
      </c>
      <c r="Q19" s="16" t="s">
        <v>57</v>
      </c>
      <c r="R19" s="20">
        <v>0</v>
      </c>
      <c r="S19" t="s">
        <v>505</v>
      </c>
      <c r="T19" s="16" t="s">
        <v>64</v>
      </c>
      <c r="U19" s="21" t="s">
        <v>506</v>
      </c>
      <c r="V19" t="s">
        <v>474</v>
      </c>
    </row>
    <row r="20" spans="1:22" ht="15" customHeight="1" x14ac:dyDescent="0.35">
      <c r="A20" s="22" t="s">
        <v>27</v>
      </c>
      <c r="B20" s="22" t="s">
        <v>28</v>
      </c>
      <c r="C20" s="23" t="s">
        <v>228</v>
      </c>
      <c r="D20" t="s">
        <v>444</v>
      </c>
      <c r="E20" s="16" t="s">
        <v>230</v>
      </c>
      <c r="F20" s="16" t="s">
        <v>230</v>
      </c>
      <c r="G20" s="16" t="s">
        <v>445</v>
      </c>
      <c r="H20" s="16" t="s">
        <v>13</v>
      </c>
      <c r="I20" s="16" t="s">
        <v>31</v>
      </c>
      <c r="J20" s="17">
        <v>46085</v>
      </c>
      <c r="K20" s="17">
        <v>46087</v>
      </c>
      <c r="L20" s="17">
        <v>46178</v>
      </c>
      <c r="M20" s="18">
        <v>4</v>
      </c>
      <c r="N20">
        <v>4</v>
      </c>
      <c r="O20" s="19">
        <v>680000</v>
      </c>
      <c r="P20" s="19">
        <v>170000</v>
      </c>
      <c r="Q20" s="16" t="s">
        <v>57</v>
      </c>
      <c r="R20" s="20">
        <v>0</v>
      </c>
      <c r="S20" t="s">
        <v>507</v>
      </c>
      <c r="T20" s="16" t="s">
        <v>87</v>
      </c>
      <c r="U20" s="21" t="s">
        <v>508</v>
      </c>
      <c r="V20" t="s">
        <v>474</v>
      </c>
    </row>
    <row r="21" spans="1:22" ht="15" customHeight="1" x14ac:dyDescent="0.35">
      <c r="A21" s="22" t="s">
        <v>27</v>
      </c>
      <c r="B21" s="22" t="s">
        <v>28</v>
      </c>
      <c r="C21" s="23" t="s">
        <v>288</v>
      </c>
      <c r="D21" t="s">
        <v>447</v>
      </c>
      <c r="E21" s="16" t="s">
        <v>290</v>
      </c>
      <c r="F21" s="16" t="s">
        <v>290</v>
      </c>
      <c r="G21" s="16" t="s">
        <v>448</v>
      </c>
      <c r="H21" s="16" t="s">
        <v>13</v>
      </c>
      <c r="I21" s="16" t="s">
        <v>66</v>
      </c>
      <c r="J21" s="17">
        <v>46086</v>
      </c>
      <c r="K21" s="17">
        <v>46087</v>
      </c>
      <c r="L21" s="17">
        <v>46178</v>
      </c>
      <c r="M21" s="18">
        <v>4</v>
      </c>
      <c r="N21">
        <v>4</v>
      </c>
      <c r="O21" s="19">
        <v>1200000</v>
      </c>
      <c r="P21" s="19">
        <v>300000</v>
      </c>
      <c r="Q21" s="16" t="s">
        <v>57</v>
      </c>
      <c r="R21" s="20">
        <v>10</v>
      </c>
      <c r="S21" t="s">
        <v>509</v>
      </c>
      <c r="T21" s="16" t="s">
        <v>29</v>
      </c>
      <c r="U21" s="21" t="s">
        <v>510</v>
      </c>
      <c r="V21" t="s">
        <v>474</v>
      </c>
    </row>
    <row r="22" spans="1:22" ht="15" customHeight="1" x14ac:dyDescent="0.35">
      <c r="A22" s="22" t="s">
        <v>27</v>
      </c>
      <c r="B22" s="22" t="s">
        <v>28</v>
      </c>
      <c r="C22" s="23" t="s">
        <v>293</v>
      </c>
      <c r="D22" t="s">
        <v>450</v>
      </c>
      <c r="E22" s="16" t="s">
        <v>295</v>
      </c>
      <c r="F22" s="16" t="s">
        <v>295</v>
      </c>
      <c r="G22" s="16" t="s">
        <v>451</v>
      </c>
      <c r="H22" s="16" t="s">
        <v>19</v>
      </c>
      <c r="I22" s="16" t="s">
        <v>36</v>
      </c>
      <c r="J22" s="17">
        <v>46086</v>
      </c>
      <c r="K22" s="17">
        <v>46087</v>
      </c>
      <c r="L22" s="17">
        <v>46178</v>
      </c>
      <c r="M22" s="18">
        <v>4</v>
      </c>
      <c r="N22">
        <v>2</v>
      </c>
      <c r="O22" s="19">
        <v>520000</v>
      </c>
      <c r="P22" s="19">
        <v>130000</v>
      </c>
      <c r="Q22" s="16" t="s">
        <v>72</v>
      </c>
      <c r="R22" s="20">
        <v>10</v>
      </c>
      <c r="S22" t="s">
        <v>511</v>
      </c>
      <c r="T22" s="16" t="s">
        <v>84</v>
      </c>
      <c r="U22" s="21" t="s">
        <v>512</v>
      </c>
      <c r="V22" t="s">
        <v>474</v>
      </c>
    </row>
    <row r="23" spans="1:22" ht="15" customHeight="1" x14ac:dyDescent="0.35">
      <c r="A23" s="22" t="s">
        <v>27</v>
      </c>
      <c r="B23" s="22" t="s">
        <v>28</v>
      </c>
      <c r="C23" s="23" t="s">
        <v>298</v>
      </c>
      <c r="D23" t="s">
        <v>453</v>
      </c>
      <c r="E23" s="16" t="s">
        <v>300</v>
      </c>
      <c r="F23" s="16" t="s">
        <v>300</v>
      </c>
      <c r="G23" s="16" t="s">
        <v>454</v>
      </c>
      <c r="H23" s="16" t="s">
        <v>16</v>
      </c>
      <c r="I23" s="16" t="s">
        <v>33</v>
      </c>
      <c r="J23" s="17">
        <v>46087</v>
      </c>
      <c r="K23" s="17">
        <v>46113</v>
      </c>
      <c r="L23" s="17">
        <v>46203</v>
      </c>
      <c r="M23" s="18">
        <v>3</v>
      </c>
      <c r="N23">
        <v>3</v>
      </c>
      <c r="O23" s="19">
        <v>950000</v>
      </c>
      <c r="P23" s="19">
        <v>316667</v>
      </c>
      <c r="Q23" s="16" t="s">
        <v>57</v>
      </c>
      <c r="R23" s="20">
        <v>0</v>
      </c>
      <c r="S23" t="s">
        <v>513</v>
      </c>
      <c r="T23" s="16" t="s">
        <v>64</v>
      </c>
      <c r="U23" s="21" t="s">
        <v>514</v>
      </c>
      <c r="V23" t="s">
        <v>474</v>
      </c>
    </row>
    <row r="24" spans="1:22" ht="15" customHeight="1" x14ac:dyDescent="0.35">
      <c r="A24" s="22" t="s">
        <v>27</v>
      </c>
      <c r="B24" s="22" t="s">
        <v>28</v>
      </c>
      <c r="C24" s="23" t="s">
        <v>303</v>
      </c>
      <c r="D24" t="s">
        <v>456</v>
      </c>
      <c r="E24" s="16" t="s">
        <v>305</v>
      </c>
      <c r="F24" s="16" t="s">
        <v>305</v>
      </c>
      <c r="G24" s="16" t="s">
        <v>457</v>
      </c>
      <c r="H24" s="16" t="s">
        <v>15</v>
      </c>
      <c r="I24" s="16" t="s">
        <v>67</v>
      </c>
      <c r="J24" s="17">
        <v>46087</v>
      </c>
      <c r="K24" s="17">
        <v>46113</v>
      </c>
      <c r="L24" s="17">
        <v>46203</v>
      </c>
      <c r="M24" s="18">
        <v>3</v>
      </c>
      <c r="N24">
        <v>3</v>
      </c>
      <c r="O24" s="19">
        <v>600000</v>
      </c>
      <c r="P24" s="19">
        <v>200000</v>
      </c>
      <c r="Q24" s="16" t="s">
        <v>57</v>
      </c>
      <c r="R24" s="20">
        <v>0</v>
      </c>
      <c r="S24" t="s">
        <v>515</v>
      </c>
      <c r="T24" s="16" t="s">
        <v>87</v>
      </c>
      <c r="U24" s="21" t="s">
        <v>516</v>
      </c>
      <c r="V24" t="s">
        <v>474</v>
      </c>
    </row>
    <row r="25" spans="1:22" ht="15" customHeight="1" x14ac:dyDescent="0.35">
      <c r="A25" s="22"/>
      <c r="B25" s="22"/>
      <c r="C25" s="23"/>
      <c r="D25" t="str">
        <f>IF(C25&lt;&gt;"",IFERROR(VLOOKUP(C25,PO_Workflow!$A:$Q,10,0),""),IF(E25="","","PO-"&amp;TEXT(ROW()-2,"0000")))</f>
        <v/>
      </c>
      <c r="E25" s="16" t="str">
        <f>IF(C25="","",IFERROR(VLOOKUP(C25,PO_Workflow!$A:$Q,3,0),""))</f>
        <v/>
      </c>
      <c r="F25" s="16" t="str">
        <f>IF(C25="","",IFERROR(VLOOKUP(C25,PO_Workflow!$A:$Q,3,0),""))</f>
        <v/>
      </c>
      <c r="G25" s="16" t="str">
        <f>IF(C25="","",IFERROR(VLOOKUP(C25,PO_Workflow!$A:$Q,16,0),""))</f>
        <v/>
      </c>
      <c r="H25" s="16" t="str">
        <f>IF(C25="","",IFERROR(VLOOKUP(C25,PO_Workflow!$A:$Q,5,0),""))</f>
        <v/>
      </c>
      <c r="I25" s="16" t="str">
        <f>IF(C25="","",IFERROR(VLOOKUP(C25,PO_Workflow!$A:$Q,6,0),""))</f>
        <v/>
      </c>
      <c r="J25" s="17" t="str">
        <f>IF(C25="","",IFERROR(VLOOKUP(C25,PO_Workflow!$A:$Q,11,0),""))</f>
        <v/>
      </c>
      <c r="K25" s="17" t="str">
        <f>IF(C25="","",IFERROR(VLOOKUP(C25,PO_Workflow!$A:$Q,12,0),""))</f>
        <v/>
      </c>
      <c r="L25" s="17" t="str">
        <f>IF(C25="","",IFERROR(VLOOKUP(C25,PO_Workflow!$A:$Q,13,0),""))</f>
        <v/>
      </c>
      <c r="M25" s="18" t="str">
        <f t="shared" ref="M25:M88" si="0">IF(OR(K25="",L25=""),"",((YEAR(L25)-YEAR(K25))*12)+MONTH(L25)-MONTH(K25)+1)</f>
        <v/>
      </c>
      <c r="O25" s="19" t="str">
        <f>IF(C25="","",IFERROR(VLOOKUP(C25,PO_Workflow!$A:$Q,7,0),""))</f>
        <v/>
      </c>
      <c r="P25" s="19"/>
      <c r="Q25" s="16" t="str">
        <f>IF(C25="","",IFERROR(VLOOKUP(C25,PO_Workflow!$A:$Q,14,0),""))</f>
        <v/>
      </c>
      <c r="R25" s="20" t="str">
        <f>IF(C25="","",IFERROR(VLOOKUP(C25,PO_Workflow!$A:$Q,15,0),""))</f>
        <v/>
      </c>
      <c r="T25" s="16" t="str">
        <f>IF(C25="","",IFERROR(VLOOKUP(C25,PO_Workflow!$A:$Q,8,0),""))</f>
        <v/>
      </c>
      <c r="U25" s="21" t="str">
        <f t="shared" ref="U25:U88" si="1">IF(C25="","","Ref: "&amp;C25)</f>
        <v/>
      </c>
      <c r="V25" t="str">
        <f t="shared" ref="V25:V88" si="2">IF(AND(C25="",E25=""),"",IF(OR(F25="",G25="",H25="",O25="",Q25=""),"Pending Validation",IF(AND(F25&lt;&gt;"",G25&lt;&gt;"",O25&gt;0),"Validated","Mismatch")))</f>
        <v/>
      </c>
    </row>
    <row r="26" spans="1:22" ht="15" customHeight="1" x14ac:dyDescent="0.35">
      <c r="A26" s="22"/>
      <c r="B26" s="22"/>
      <c r="C26" s="23"/>
      <c r="D26" t="str">
        <f>IF(C26&lt;&gt;"",IFERROR(VLOOKUP(C26,PO_Workflow!$A:$Q,10,0),""),IF(E26="","","PO-"&amp;TEXT(ROW()-2,"0000")))</f>
        <v/>
      </c>
      <c r="E26" s="16" t="str">
        <f>IF(C26="","",IFERROR(VLOOKUP(C26,PO_Workflow!$A:$Q,3,0),""))</f>
        <v/>
      </c>
      <c r="F26" s="16" t="str">
        <f>IF(C26="","",IFERROR(VLOOKUP(C26,PO_Workflow!$A:$Q,3,0),""))</f>
        <v/>
      </c>
      <c r="G26" s="16" t="str">
        <f>IF(C26="","",IFERROR(VLOOKUP(C26,PO_Workflow!$A:$Q,16,0),""))</f>
        <v/>
      </c>
      <c r="H26" s="16" t="str">
        <f>IF(C26="","",IFERROR(VLOOKUP(C26,PO_Workflow!$A:$Q,5,0),""))</f>
        <v/>
      </c>
      <c r="I26" s="16" t="str">
        <f>IF(C26="","",IFERROR(VLOOKUP(C26,PO_Workflow!$A:$Q,6,0),""))</f>
        <v/>
      </c>
      <c r="J26" s="17" t="str">
        <f>IF(C26="","",IFERROR(VLOOKUP(C26,PO_Workflow!$A:$Q,11,0),""))</f>
        <v/>
      </c>
      <c r="K26" s="17" t="str">
        <f>IF(C26="","",IFERROR(VLOOKUP(C26,PO_Workflow!$A:$Q,12,0),""))</f>
        <v/>
      </c>
      <c r="L26" s="17" t="str">
        <f>IF(C26="","",IFERROR(VLOOKUP(C26,PO_Workflow!$A:$Q,13,0),""))</f>
        <v/>
      </c>
      <c r="M26" s="18" t="str">
        <f t="shared" si="0"/>
        <v/>
      </c>
      <c r="O26" s="19" t="str">
        <f>IF(C26="","",IFERROR(VLOOKUP(C26,PO_Workflow!$A:$Q,7,0),""))</f>
        <v/>
      </c>
      <c r="P26" s="19"/>
      <c r="Q26" s="16" t="str">
        <f>IF(C26="","",IFERROR(VLOOKUP(C26,PO_Workflow!$A:$Q,14,0),""))</f>
        <v/>
      </c>
      <c r="R26" s="20" t="str">
        <f>IF(C26="","",IFERROR(VLOOKUP(C26,PO_Workflow!$A:$Q,15,0),""))</f>
        <v/>
      </c>
      <c r="T26" s="16" t="str">
        <f>IF(C26="","",IFERROR(VLOOKUP(C26,PO_Workflow!$A:$Q,8,0),""))</f>
        <v/>
      </c>
      <c r="U26" s="21" t="str">
        <f t="shared" si="1"/>
        <v/>
      </c>
      <c r="V26" t="str">
        <f t="shared" si="2"/>
        <v/>
      </c>
    </row>
    <row r="27" spans="1:22" ht="15" customHeight="1" x14ac:dyDescent="0.35">
      <c r="A27" s="22"/>
      <c r="B27" s="22"/>
      <c r="C27" s="23"/>
      <c r="D27" t="str">
        <f>IF(C27&lt;&gt;"",IFERROR(VLOOKUP(C27,PO_Workflow!$A:$Q,10,0),""),IF(E27="","","PO-"&amp;TEXT(ROW()-2,"0000")))</f>
        <v/>
      </c>
      <c r="E27" s="16" t="str">
        <f>IF(C27="","",IFERROR(VLOOKUP(C27,PO_Workflow!$A:$Q,3,0),""))</f>
        <v/>
      </c>
      <c r="F27" s="16" t="str">
        <f>IF(C27="","",IFERROR(VLOOKUP(C27,PO_Workflow!$A:$Q,3,0),""))</f>
        <v/>
      </c>
      <c r="G27" s="16" t="str">
        <f>IF(C27="","",IFERROR(VLOOKUP(C27,PO_Workflow!$A:$Q,16,0),""))</f>
        <v/>
      </c>
      <c r="H27" s="16" t="str">
        <f>IF(C27="","",IFERROR(VLOOKUP(C27,PO_Workflow!$A:$Q,5,0),""))</f>
        <v/>
      </c>
      <c r="I27" s="16" t="str">
        <f>IF(C27="","",IFERROR(VLOOKUP(C27,PO_Workflow!$A:$Q,6,0),""))</f>
        <v/>
      </c>
      <c r="J27" s="17" t="str">
        <f>IF(C27="","",IFERROR(VLOOKUP(C27,PO_Workflow!$A:$Q,11,0),""))</f>
        <v/>
      </c>
      <c r="K27" s="17" t="str">
        <f>IF(C27="","",IFERROR(VLOOKUP(C27,PO_Workflow!$A:$Q,12,0),""))</f>
        <v/>
      </c>
      <c r="L27" s="17" t="str">
        <f>IF(C27="","",IFERROR(VLOOKUP(C27,PO_Workflow!$A:$Q,13,0),""))</f>
        <v/>
      </c>
      <c r="M27" s="18" t="str">
        <f t="shared" si="0"/>
        <v/>
      </c>
      <c r="O27" s="19" t="str">
        <f>IF(C27="","",IFERROR(VLOOKUP(C27,PO_Workflow!$A:$Q,7,0),""))</f>
        <v/>
      </c>
      <c r="P27" s="19"/>
      <c r="Q27" s="16" t="str">
        <f>IF(C27="","",IFERROR(VLOOKUP(C27,PO_Workflow!$A:$Q,14,0),""))</f>
        <v/>
      </c>
      <c r="R27" s="20" t="str">
        <f>IF(C27="","",IFERROR(VLOOKUP(C27,PO_Workflow!$A:$Q,15,0),""))</f>
        <v/>
      </c>
      <c r="T27" s="16" t="str">
        <f>IF(C27="","",IFERROR(VLOOKUP(C27,PO_Workflow!$A:$Q,8,0),""))</f>
        <v/>
      </c>
      <c r="U27" s="21" t="str">
        <f t="shared" si="1"/>
        <v/>
      </c>
      <c r="V27" t="str">
        <f t="shared" si="2"/>
        <v/>
      </c>
    </row>
    <row r="28" spans="1:22" ht="15" customHeight="1" x14ac:dyDescent="0.35">
      <c r="A28" s="22"/>
      <c r="B28" s="22"/>
      <c r="C28" s="23"/>
      <c r="D28" t="str">
        <f>IF(C28&lt;&gt;"",IFERROR(VLOOKUP(C28,PO_Workflow!$A:$Q,10,0),""),IF(E28="","","PO-"&amp;TEXT(ROW()-2,"0000")))</f>
        <v/>
      </c>
      <c r="E28" s="16" t="str">
        <f>IF(C28="","",IFERROR(VLOOKUP(C28,PO_Workflow!$A:$Q,3,0),""))</f>
        <v/>
      </c>
      <c r="F28" s="16" t="str">
        <f>IF(C28="","",IFERROR(VLOOKUP(C28,PO_Workflow!$A:$Q,3,0),""))</f>
        <v/>
      </c>
      <c r="G28" s="16" t="str">
        <f>IF(C28="","",IFERROR(VLOOKUP(C28,PO_Workflow!$A:$Q,16,0),""))</f>
        <v/>
      </c>
      <c r="H28" s="16" t="str">
        <f>IF(C28="","",IFERROR(VLOOKUP(C28,PO_Workflow!$A:$Q,5,0),""))</f>
        <v/>
      </c>
      <c r="I28" s="16" t="str">
        <f>IF(C28="","",IFERROR(VLOOKUP(C28,PO_Workflow!$A:$Q,6,0),""))</f>
        <v/>
      </c>
      <c r="J28" s="17" t="str">
        <f>IF(C28="","",IFERROR(VLOOKUP(C28,PO_Workflow!$A:$Q,11,0),""))</f>
        <v/>
      </c>
      <c r="K28" s="17" t="str">
        <f>IF(C28="","",IFERROR(VLOOKUP(C28,PO_Workflow!$A:$Q,12,0),""))</f>
        <v/>
      </c>
      <c r="L28" s="17" t="str">
        <f>IF(C28="","",IFERROR(VLOOKUP(C28,PO_Workflow!$A:$Q,13,0),""))</f>
        <v/>
      </c>
      <c r="M28" s="18" t="str">
        <f t="shared" si="0"/>
        <v/>
      </c>
      <c r="O28" s="19" t="str">
        <f>IF(C28="","",IFERROR(VLOOKUP(C28,PO_Workflow!$A:$Q,7,0),""))</f>
        <v/>
      </c>
      <c r="P28" s="19"/>
      <c r="Q28" s="16" t="str">
        <f>IF(C28="","",IFERROR(VLOOKUP(C28,PO_Workflow!$A:$Q,14,0),""))</f>
        <v/>
      </c>
      <c r="R28" s="20" t="str">
        <f>IF(C28="","",IFERROR(VLOOKUP(C28,PO_Workflow!$A:$Q,15,0),""))</f>
        <v/>
      </c>
      <c r="T28" s="16" t="str">
        <f>IF(C28="","",IFERROR(VLOOKUP(C28,PO_Workflow!$A:$Q,8,0),""))</f>
        <v/>
      </c>
      <c r="U28" s="21" t="str">
        <f t="shared" si="1"/>
        <v/>
      </c>
      <c r="V28" t="str">
        <f t="shared" si="2"/>
        <v/>
      </c>
    </row>
    <row r="29" spans="1:22" ht="15" customHeight="1" x14ac:dyDescent="0.35">
      <c r="A29" s="22"/>
      <c r="B29" s="22"/>
      <c r="C29" s="23"/>
      <c r="D29" t="str">
        <f>IF(C29&lt;&gt;"",IFERROR(VLOOKUP(C29,PO_Workflow!$A:$Q,10,0),""),IF(E29="","","PO-"&amp;TEXT(ROW()-2,"0000")))</f>
        <v/>
      </c>
      <c r="E29" s="16" t="str">
        <f>IF(C29="","",IFERROR(VLOOKUP(C29,PO_Workflow!$A:$Q,3,0),""))</f>
        <v/>
      </c>
      <c r="F29" s="16" t="str">
        <f>IF(C29="","",IFERROR(VLOOKUP(C29,PO_Workflow!$A:$Q,3,0),""))</f>
        <v/>
      </c>
      <c r="G29" s="16" t="str">
        <f>IF(C29="","",IFERROR(VLOOKUP(C29,PO_Workflow!$A:$Q,16,0),""))</f>
        <v/>
      </c>
      <c r="H29" s="16" t="str">
        <f>IF(C29="","",IFERROR(VLOOKUP(C29,PO_Workflow!$A:$Q,5,0),""))</f>
        <v/>
      </c>
      <c r="I29" s="16" t="str">
        <f>IF(C29="","",IFERROR(VLOOKUP(C29,PO_Workflow!$A:$Q,6,0),""))</f>
        <v/>
      </c>
      <c r="J29" s="17" t="str">
        <f>IF(C29="","",IFERROR(VLOOKUP(C29,PO_Workflow!$A:$Q,11,0),""))</f>
        <v/>
      </c>
      <c r="K29" s="17" t="str">
        <f>IF(C29="","",IFERROR(VLOOKUP(C29,PO_Workflow!$A:$Q,12,0),""))</f>
        <v/>
      </c>
      <c r="L29" s="17" t="str">
        <f>IF(C29="","",IFERROR(VLOOKUP(C29,PO_Workflow!$A:$Q,13,0),""))</f>
        <v/>
      </c>
      <c r="M29" s="18" t="str">
        <f t="shared" si="0"/>
        <v/>
      </c>
      <c r="O29" s="19" t="str">
        <f>IF(C29="","",IFERROR(VLOOKUP(C29,PO_Workflow!$A:$Q,7,0),""))</f>
        <v/>
      </c>
      <c r="P29" s="19"/>
      <c r="Q29" s="16" t="str">
        <f>IF(C29="","",IFERROR(VLOOKUP(C29,PO_Workflow!$A:$Q,14,0),""))</f>
        <v/>
      </c>
      <c r="R29" s="20" t="str">
        <f>IF(C29="","",IFERROR(VLOOKUP(C29,PO_Workflow!$A:$Q,15,0),""))</f>
        <v/>
      </c>
      <c r="T29" s="16" t="str">
        <f>IF(C29="","",IFERROR(VLOOKUP(C29,PO_Workflow!$A:$Q,8,0),""))</f>
        <v/>
      </c>
      <c r="U29" s="21" t="str">
        <f t="shared" si="1"/>
        <v/>
      </c>
      <c r="V29" t="str">
        <f t="shared" si="2"/>
        <v/>
      </c>
    </row>
    <row r="30" spans="1:22" ht="15" customHeight="1" x14ac:dyDescent="0.35">
      <c r="A30" s="22"/>
      <c r="B30" s="22"/>
      <c r="C30" s="23"/>
      <c r="D30" t="str">
        <f>IF(C30&lt;&gt;"",IFERROR(VLOOKUP(C30,PO_Workflow!$A:$Q,10,0),""),IF(E30="","","PO-"&amp;TEXT(ROW()-2,"0000")))</f>
        <v/>
      </c>
      <c r="E30" s="16" t="str">
        <f>IF(C30="","",IFERROR(VLOOKUP(C30,PO_Workflow!$A:$Q,3,0),""))</f>
        <v/>
      </c>
      <c r="F30" s="16" t="str">
        <f>IF(C30="","",IFERROR(VLOOKUP(C30,PO_Workflow!$A:$Q,3,0),""))</f>
        <v/>
      </c>
      <c r="G30" s="16" t="str">
        <f>IF(C30="","",IFERROR(VLOOKUP(C30,PO_Workflow!$A:$Q,16,0),""))</f>
        <v/>
      </c>
      <c r="H30" s="16" t="str">
        <f>IF(C30="","",IFERROR(VLOOKUP(C30,PO_Workflow!$A:$Q,5,0),""))</f>
        <v/>
      </c>
      <c r="I30" s="16" t="str">
        <f>IF(C30="","",IFERROR(VLOOKUP(C30,PO_Workflow!$A:$Q,6,0),""))</f>
        <v/>
      </c>
      <c r="J30" s="17" t="str">
        <f>IF(C30="","",IFERROR(VLOOKUP(C30,PO_Workflow!$A:$Q,11,0),""))</f>
        <v/>
      </c>
      <c r="K30" s="17" t="str">
        <f>IF(C30="","",IFERROR(VLOOKUP(C30,PO_Workflow!$A:$Q,12,0),""))</f>
        <v/>
      </c>
      <c r="L30" s="17" t="str">
        <f>IF(C30="","",IFERROR(VLOOKUP(C30,PO_Workflow!$A:$Q,13,0),""))</f>
        <v/>
      </c>
      <c r="M30" s="18" t="str">
        <f t="shared" si="0"/>
        <v/>
      </c>
      <c r="O30" s="19" t="str">
        <f>IF(C30="","",IFERROR(VLOOKUP(C30,PO_Workflow!$A:$Q,7,0),""))</f>
        <v/>
      </c>
      <c r="P30" s="19"/>
      <c r="Q30" s="16" t="str">
        <f>IF(C30="","",IFERROR(VLOOKUP(C30,PO_Workflow!$A:$Q,14,0),""))</f>
        <v/>
      </c>
      <c r="R30" s="20" t="str">
        <f>IF(C30="","",IFERROR(VLOOKUP(C30,PO_Workflow!$A:$Q,15,0),""))</f>
        <v/>
      </c>
      <c r="T30" s="16" t="str">
        <f>IF(C30="","",IFERROR(VLOOKUP(C30,PO_Workflow!$A:$Q,8,0),""))</f>
        <v/>
      </c>
      <c r="U30" s="21" t="str">
        <f t="shared" si="1"/>
        <v/>
      </c>
      <c r="V30" t="str">
        <f t="shared" si="2"/>
        <v/>
      </c>
    </row>
    <row r="31" spans="1:22" ht="15" customHeight="1" x14ac:dyDescent="0.35">
      <c r="A31" s="22"/>
      <c r="B31" s="22"/>
      <c r="C31" s="23"/>
      <c r="D31" t="str">
        <f>IF(C31&lt;&gt;"",IFERROR(VLOOKUP(C31,PO_Workflow!$A:$Q,10,0),""),IF(E31="","","PO-"&amp;TEXT(ROW()-2,"0000")))</f>
        <v/>
      </c>
      <c r="E31" s="16" t="str">
        <f>IF(C31="","",IFERROR(VLOOKUP(C31,PO_Workflow!$A:$Q,3,0),""))</f>
        <v/>
      </c>
      <c r="F31" s="16" t="str">
        <f>IF(C31="","",IFERROR(VLOOKUP(C31,PO_Workflow!$A:$Q,3,0),""))</f>
        <v/>
      </c>
      <c r="G31" s="16" t="str">
        <f>IF(C31="","",IFERROR(VLOOKUP(C31,PO_Workflow!$A:$Q,16,0),""))</f>
        <v/>
      </c>
      <c r="H31" s="16" t="str">
        <f>IF(C31="","",IFERROR(VLOOKUP(C31,PO_Workflow!$A:$Q,5,0),""))</f>
        <v/>
      </c>
      <c r="I31" s="16" t="str">
        <f>IF(C31="","",IFERROR(VLOOKUP(C31,PO_Workflow!$A:$Q,6,0),""))</f>
        <v/>
      </c>
      <c r="J31" s="17" t="str">
        <f>IF(C31="","",IFERROR(VLOOKUP(C31,PO_Workflow!$A:$Q,11,0),""))</f>
        <v/>
      </c>
      <c r="K31" s="17" t="str">
        <f>IF(C31="","",IFERROR(VLOOKUP(C31,PO_Workflow!$A:$Q,12,0),""))</f>
        <v/>
      </c>
      <c r="L31" s="17" t="str">
        <f>IF(C31="","",IFERROR(VLOOKUP(C31,PO_Workflow!$A:$Q,13,0),""))</f>
        <v/>
      </c>
      <c r="M31" s="18" t="str">
        <f t="shared" si="0"/>
        <v/>
      </c>
      <c r="O31" s="19" t="str">
        <f>IF(C31="","",IFERROR(VLOOKUP(C31,PO_Workflow!$A:$Q,7,0),""))</f>
        <v/>
      </c>
      <c r="P31" s="19"/>
      <c r="Q31" s="16" t="str">
        <f>IF(C31="","",IFERROR(VLOOKUP(C31,PO_Workflow!$A:$Q,14,0),""))</f>
        <v/>
      </c>
      <c r="R31" s="20" t="str">
        <f>IF(C31="","",IFERROR(VLOOKUP(C31,PO_Workflow!$A:$Q,15,0),""))</f>
        <v/>
      </c>
      <c r="T31" s="16" t="str">
        <f>IF(C31="","",IFERROR(VLOOKUP(C31,PO_Workflow!$A:$Q,8,0),""))</f>
        <v/>
      </c>
      <c r="U31" s="21" t="str">
        <f t="shared" si="1"/>
        <v/>
      </c>
      <c r="V31" t="str">
        <f t="shared" si="2"/>
        <v/>
      </c>
    </row>
    <row r="32" spans="1:22" ht="15" customHeight="1" x14ac:dyDescent="0.35">
      <c r="A32" s="22"/>
      <c r="B32" s="22"/>
      <c r="C32" s="23"/>
      <c r="D32" t="str">
        <f>IF(C32&lt;&gt;"",IFERROR(VLOOKUP(C32,PO_Workflow!$A:$Q,10,0),""),IF(E32="","","PO-"&amp;TEXT(ROW()-2,"0000")))</f>
        <v/>
      </c>
      <c r="E32" s="16" t="str">
        <f>IF(C32="","",IFERROR(VLOOKUP(C32,PO_Workflow!$A:$Q,3,0),""))</f>
        <v/>
      </c>
      <c r="F32" s="16" t="str">
        <f>IF(C32="","",IFERROR(VLOOKUP(C32,PO_Workflow!$A:$Q,3,0),""))</f>
        <v/>
      </c>
      <c r="G32" s="16" t="str">
        <f>IF(C32="","",IFERROR(VLOOKUP(C32,PO_Workflow!$A:$Q,16,0),""))</f>
        <v/>
      </c>
      <c r="H32" s="16" t="str">
        <f>IF(C32="","",IFERROR(VLOOKUP(C32,PO_Workflow!$A:$Q,5,0),""))</f>
        <v/>
      </c>
      <c r="I32" s="16" t="str">
        <f>IF(C32="","",IFERROR(VLOOKUP(C32,PO_Workflow!$A:$Q,6,0),""))</f>
        <v/>
      </c>
      <c r="J32" s="17" t="str">
        <f>IF(C32="","",IFERROR(VLOOKUP(C32,PO_Workflow!$A:$Q,11,0),""))</f>
        <v/>
      </c>
      <c r="K32" s="17" t="str">
        <f>IF(C32="","",IFERROR(VLOOKUP(C32,PO_Workflow!$A:$Q,12,0),""))</f>
        <v/>
      </c>
      <c r="L32" s="17" t="str">
        <f>IF(C32="","",IFERROR(VLOOKUP(C32,PO_Workflow!$A:$Q,13,0),""))</f>
        <v/>
      </c>
      <c r="M32" s="18" t="str">
        <f t="shared" si="0"/>
        <v/>
      </c>
      <c r="O32" s="19" t="str">
        <f>IF(C32="","",IFERROR(VLOOKUP(C32,PO_Workflow!$A:$Q,7,0),""))</f>
        <v/>
      </c>
      <c r="P32" s="19"/>
      <c r="Q32" s="16" t="str">
        <f>IF(C32="","",IFERROR(VLOOKUP(C32,PO_Workflow!$A:$Q,14,0),""))</f>
        <v/>
      </c>
      <c r="R32" s="20" t="str">
        <f>IF(C32="","",IFERROR(VLOOKUP(C32,PO_Workflow!$A:$Q,15,0),""))</f>
        <v/>
      </c>
      <c r="T32" s="16" t="str">
        <f>IF(C32="","",IFERROR(VLOOKUP(C32,PO_Workflow!$A:$Q,8,0),""))</f>
        <v/>
      </c>
      <c r="U32" s="21" t="str">
        <f t="shared" si="1"/>
        <v/>
      </c>
      <c r="V32" t="str">
        <f t="shared" si="2"/>
        <v/>
      </c>
    </row>
    <row r="33" spans="1:22" ht="15" customHeight="1" x14ac:dyDescent="0.35">
      <c r="A33" s="22"/>
      <c r="B33" s="22"/>
      <c r="C33" s="23"/>
      <c r="D33" t="str">
        <f>IF(C33&lt;&gt;"",IFERROR(VLOOKUP(C33,PO_Workflow!$A:$Q,10,0),""),IF(E33="","","PO-"&amp;TEXT(ROW()-2,"0000")))</f>
        <v/>
      </c>
      <c r="E33" s="16" t="str">
        <f>IF(C33="","",IFERROR(VLOOKUP(C33,PO_Workflow!$A:$Q,3,0),""))</f>
        <v/>
      </c>
      <c r="F33" s="16" t="str">
        <f>IF(C33="","",IFERROR(VLOOKUP(C33,PO_Workflow!$A:$Q,3,0),""))</f>
        <v/>
      </c>
      <c r="G33" s="16" t="str">
        <f>IF(C33="","",IFERROR(VLOOKUP(C33,PO_Workflow!$A:$Q,16,0),""))</f>
        <v/>
      </c>
      <c r="H33" s="16" t="str">
        <f>IF(C33="","",IFERROR(VLOOKUP(C33,PO_Workflow!$A:$Q,5,0),""))</f>
        <v/>
      </c>
      <c r="I33" s="16" t="str">
        <f>IF(C33="","",IFERROR(VLOOKUP(C33,PO_Workflow!$A:$Q,6,0),""))</f>
        <v/>
      </c>
      <c r="J33" s="17" t="str">
        <f>IF(C33="","",IFERROR(VLOOKUP(C33,PO_Workflow!$A:$Q,11,0),""))</f>
        <v/>
      </c>
      <c r="K33" s="17" t="str">
        <f>IF(C33="","",IFERROR(VLOOKUP(C33,PO_Workflow!$A:$Q,12,0),""))</f>
        <v/>
      </c>
      <c r="L33" s="17" t="str">
        <f>IF(C33="","",IFERROR(VLOOKUP(C33,PO_Workflow!$A:$Q,13,0),""))</f>
        <v/>
      </c>
      <c r="M33" s="18" t="str">
        <f t="shared" si="0"/>
        <v/>
      </c>
      <c r="O33" s="19" t="str">
        <f>IF(C33="","",IFERROR(VLOOKUP(C33,PO_Workflow!$A:$Q,7,0),""))</f>
        <v/>
      </c>
      <c r="P33" s="19"/>
      <c r="Q33" s="16" t="str">
        <f>IF(C33="","",IFERROR(VLOOKUP(C33,PO_Workflow!$A:$Q,14,0),""))</f>
        <v/>
      </c>
      <c r="R33" s="20" t="str">
        <f>IF(C33="","",IFERROR(VLOOKUP(C33,PO_Workflow!$A:$Q,15,0),""))</f>
        <v/>
      </c>
      <c r="T33" s="16" t="str">
        <f>IF(C33="","",IFERROR(VLOOKUP(C33,PO_Workflow!$A:$Q,8,0),""))</f>
        <v/>
      </c>
      <c r="U33" s="21" t="str">
        <f t="shared" si="1"/>
        <v/>
      </c>
      <c r="V33" t="str">
        <f t="shared" si="2"/>
        <v/>
      </c>
    </row>
    <row r="34" spans="1:22" ht="15" customHeight="1" x14ac:dyDescent="0.35">
      <c r="A34" s="22"/>
      <c r="B34" s="22"/>
      <c r="C34" s="23"/>
      <c r="D34" t="str">
        <f>IF(C34&lt;&gt;"",IFERROR(VLOOKUP(C34,PO_Workflow!$A:$Q,10,0),""),IF(E34="","","PO-"&amp;TEXT(ROW()-2,"0000")))</f>
        <v/>
      </c>
      <c r="E34" s="16" t="str">
        <f>IF(C34="","",IFERROR(VLOOKUP(C34,PO_Workflow!$A:$Q,3,0),""))</f>
        <v/>
      </c>
      <c r="F34" s="16" t="str">
        <f>IF(C34="","",IFERROR(VLOOKUP(C34,PO_Workflow!$A:$Q,3,0),""))</f>
        <v/>
      </c>
      <c r="G34" s="16" t="str">
        <f>IF(C34="","",IFERROR(VLOOKUP(C34,PO_Workflow!$A:$Q,16,0),""))</f>
        <v/>
      </c>
      <c r="H34" s="16" t="str">
        <f>IF(C34="","",IFERROR(VLOOKUP(C34,PO_Workflow!$A:$Q,5,0),""))</f>
        <v/>
      </c>
      <c r="I34" s="16" t="str">
        <f>IF(C34="","",IFERROR(VLOOKUP(C34,PO_Workflow!$A:$Q,6,0),""))</f>
        <v/>
      </c>
      <c r="J34" s="17" t="str">
        <f>IF(C34="","",IFERROR(VLOOKUP(C34,PO_Workflow!$A:$Q,11,0),""))</f>
        <v/>
      </c>
      <c r="K34" s="17" t="str">
        <f>IF(C34="","",IFERROR(VLOOKUP(C34,PO_Workflow!$A:$Q,12,0),""))</f>
        <v/>
      </c>
      <c r="L34" s="17" t="str">
        <f>IF(C34="","",IFERROR(VLOOKUP(C34,PO_Workflow!$A:$Q,13,0),""))</f>
        <v/>
      </c>
      <c r="M34" s="18" t="str">
        <f t="shared" si="0"/>
        <v/>
      </c>
      <c r="O34" s="19" t="str">
        <f>IF(C34="","",IFERROR(VLOOKUP(C34,PO_Workflow!$A:$Q,7,0),""))</f>
        <v/>
      </c>
      <c r="P34" s="19"/>
      <c r="Q34" s="16" t="str">
        <f>IF(C34="","",IFERROR(VLOOKUP(C34,PO_Workflow!$A:$Q,14,0),""))</f>
        <v/>
      </c>
      <c r="R34" s="20" t="str">
        <f>IF(C34="","",IFERROR(VLOOKUP(C34,PO_Workflow!$A:$Q,15,0),""))</f>
        <v/>
      </c>
      <c r="T34" s="16" t="str">
        <f>IF(C34="","",IFERROR(VLOOKUP(C34,PO_Workflow!$A:$Q,8,0),""))</f>
        <v/>
      </c>
      <c r="U34" s="21" t="str">
        <f t="shared" si="1"/>
        <v/>
      </c>
      <c r="V34" t="str">
        <f t="shared" si="2"/>
        <v/>
      </c>
    </row>
    <row r="35" spans="1:22" ht="15" customHeight="1" x14ac:dyDescent="0.35">
      <c r="A35" s="22"/>
      <c r="B35" s="22"/>
      <c r="C35" s="23"/>
      <c r="D35" t="str">
        <f>IF(C35&lt;&gt;"",IFERROR(VLOOKUP(C35,PO_Workflow!$A:$Q,10,0),""),IF(E35="","","PO-"&amp;TEXT(ROW()-2,"0000")))</f>
        <v/>
      </c>
      <c r="E35" s="16" t="str">
        <f>IF(C35="","",IFERROR(VLOOKUP(C35,PO_Workflow!$A:$Q,3,0),""))</f>
        <v/>
      </c>
      <c r="F35" s="16" t="str">
        <f>IF(C35="","",IFERROR(VLOOKUP(C35,PO_Workflow!$A:$Q,3,0),""))</f>
        <v/>
      </c>
      <c r="G35" s="16" t="str">
        <f>IF(C35="","",IFERROR(VLOOKUP(C35,PO_Workflow!$A:$Q,16,0),""))</f>
        <v/>
      </c>
      <c r="H35" s="16" t="str">
        <f>IF(C35="","",IFERROR(VLOOKUP(C35,PO_Workflow!$A:$Q,5,0),""))</f>
        <v/>
      </c>
      <c r="I35" s="16" t="str">
        <f>IF(C35="","",IFERROR(VLOOKUP(C35,PO_Workflow!$A:$Q,6,0),""))</f>
        <v/>
      </c>
      <c r="J35" s="17" t="str">
        <f>IF(C35="","",IFERROR(VLOOKUP(C35,PO_Workflow!$A:$Q,11,0),""))</f>
        <v/>
      </c>
      <c r="K35" s="17" t="str">
        <f>IF(C35="","",IFERROR(VLOOKUP(C35,PO_Workflow!$A:$Q,12,0),""))</f>
        <v/>
      </c>
      <c r="L35" s="17" t="str">
        <f>IF(C35="","",IFERROR(VLOOKUP(C35,PO_Workflow!$A:$Q,13,0),""))</f>
        <v/>
      </c>
      <c r="M35" s="18" t="str">
        <f t="shared" si="0"/>
        <v/>
      </c>
      <c r="O35" s="19" t="str">
        <f>IF(C35="","",IFERROR(VLOOKUP(C35,PO_Workflow!$A:$Q,7,0),""))</f>
        <v/>
      </c>
      <c r="P35" s="19"/>
      <c r="Q35" s="16" t="str">
        <f>IF(C35="","",IFERROR(VLOOKUP(C35,PO_Workflow!$A:$Q,14,0),""))</f>
        <v/>
      </c>
      <c r="R35" s="20" t="str">
        <f>IF(C35="","",IFERROR(VLOOKUP(C35,PO_Workflow!$A:$Q,15,0),""))</f>
        <v/>
      </c>
      <c r="T35" s="16" t="str">
        <f>IF(C35="","",IFERROR(VLOOKUP(C35,PO_Workflow!$A:$Q,8,0),""))</f>
        <v/>
      </c>
      <c r="U35" s="21" t="str">
        <f t="shared" si="1"/>
        <v/>
      </c>
      <c r="V35" t="str">
        <f t="shared" si="2"/>
        <v/>
      </c>
    </row>
    <row r="36" spans="1:22" ht="15" customHeight="1" x14ac:dyDescent="0.35">
      <c r="A36" s="22"/>
      <c r="B36" s="22"/>
      <c r="C36" s="23"/>
      <c r="D36" t="str">
        <f>IF(C36&lt;&gt;"",IFERROR(VLOOKUP(C36,PO_Workflow!$A:$Q,10,0),""),IF(E36="","","PO-"&amp;TEXT(ROW()-2,"0000")))</f>
        <v/>
      </c>
      <c r="E36" s="16" t="str">
        <f>IF(C36="","",IFERROR(VLOOKUP(C36,PO_Workflow!$A:$Q,3,0),""))</f>
        <v/>
      </c>
      <c r="F36" s="16" t="str">
        <f>IF(C36="","",IFERROR(VLOOKUP(C36,PO_Workflow!$A:$Q,3,0),""))</f>
        <v/>
      </c>
      <c r="G36" s="16" t="str">
        <f>IF(C36="","",IFERROR(VLOOKUP(C36,PO_Workflow!$A:$Q,16,0),""))</f>
        <v/>
      </c>
      <c r="H36" s="16" t="str">
        <f>IF(C36="","",IFERROR(VLOOKUP(C36,PO_Workflow!$A:$Q,5,0),""))</f>
        <v/>
      </c>
      <c r="I36" s="16" t="str">
        <f>IF(C36="","",IFERROR(VLOOKUP(C36,PO_Workflow!$A:$Q,6,0),""))</f>
        <v/>
      </c>
      <c r="J36" s="17" t="str">
        <f>IF(C36="","",IFERROR(VLOOKUP(C36,PO_Workflow!$A:$Q,11,0),""))</f>
        <v/>
      </c>
      <c r="K36" s="17" t="str">
        <f>IF(C36="","",IFERROR(VLOOKUP(C36,PO_Workflow!$A:$Q,12,0),""))</f>
        <v/>
      </c>
      <c r="L36" s="17" t="str">
        <f>IF(C36="","",IFERROR(VLOOKUP(C36,PO_Workflow!$A:$Q,13,0),""))</f>
        <v/>
      </c>
      <c r="M36" s="18" t="str">
        <f t="shared" si="0"/>
        <v/>
      </c>
      <c r="O36" s="19" t="str">
        <f>IF(C36="","",IFERROR(VLOOKUP(C36,PO_Workflow!$A:$Q,7,0),""))</f>
        <v/>
      </c>
      <c r="P36" s="19"/>
      <c r="Q36" s="16" t="str">
        <f>IF(C36="","",IFERROR(VLOOKUP(C36,PO_Workflow!$A:$Q,14,0),""))</f>
        <v/>
      </c>
      <c r="R36" s="20" t="str">
        <f>IF(C36="","",IFERROR(VLOOKUP(C36,PO_Workflow!$A:$Q,15,0),""))</f>
        <v/>
      </c>
      <c r="T36" s="16" t="str">
        <f>IF(C36="","",IFERROR(VLOOKUP(C36,PO_Workflow!$A:$Q,8,0),""))</f>
        <v/>
      </c>
      <c r="U36" s="21" t="str">
        <f t="shared" si="1"/>
        <v/>
      </c>
      <c r="V36" t="str">
        <f t="shared" si="2"/>
        <v/>
      </c>
    </row>
    <row r="37" spans="1:22" ht="15" customHeight="1" x14ac:dyDescent="0.35">
      <c r="A37" s="22"/>
      <c r="B37" s="22"/>
      <c r="C37" s="23"/>
      <c r="D37" t="str">
        <f>IF(C37&lt;&gt;"",IFERROR(VLOOKUP(C37,PO_Workflow!$A:$Q,10,0),""),IF(E37="","","PO-"&amp;TEXT(ROW()-2,"0000")))</f>
        <v/>
      </c>
      <c r="E37" s="16" t="str">
        <f>IF(C37="","",IFERROR(VLOOKUP(C37,PO_Workflow!$A:$Q,3,0),""))</f>
        <v/>
      </c>
      <c r="F37" s="16" t="str">
        <f>IF(C37="","",IFERROR(VLOOKUP(C37,PO_Workflow!$A:$Q,3,0),""))</f>
        <v/>
      </c>
      <c r="G37" s="16" t="str">
        <f>IF(C37="","",IFERROR(VLOOKUP(C37,PO_Workflow!$A:$Q,16,0),""))</f>
        <v/>
      </c>
      <c r="H37" s="16" t="str">
        <f>IF(C37="","",IFERROR(VLOOKUP(C37,PO_Workflow!$A:$Q,5,0),""))</f>
        <v/>
      </c>
      <c r="I37" s="16" t="str">
        <f>IF(C37="","",IFERROR(VLOOKUP(C37,PO_Workflow!$A:$Q,6,0),""))</f>
        <v/>
      </c>
      <c r="J37" s="17" t="str">
        <f>IF(C37="","",IFERROR(VLOOKUP(C37,PO_Workflow!$A:$Q,11,0),""))</f>
        <v/>
      </c>
      <c r="K37" s="17" t="str">
        <f>IF(C37="","",IFERROR(VLOOKUP(C37,PO_Workflow!$A:$Q,12,0),""))</f>
        <v/>
      </c>
      <c r="L37" s="17" t="str">
        <f>IF(C37="","",IFERROR(VLOOKUP(C37,PO_Workflow!$A:$Q,13,0),""))</f>
        <v/>
      </c>
      <c r="M37" s="18" t="str">
        <f t="shared" si="0"/>
        <v/>
      </c>
      <c r="O37" s="19" t="str">
        <f>IF(C37="","",IFERROR(VLOOKUP(C37,PO_Workflow!$A:$Q,7,0),""))</f>
        <v/>
      </c>
      <c r="P37" s="19"/>
      <c r="Q37" s="16" t="str">
        <f>IF(C37="","",IFERROR(VLOOKUP(C37,PO_Workflow!$A:$Q,14,0),""))</f>
        <v/>
      </c>
      <c r="R37" s="20" t="str">
        <f>IF(C37="","",IFERROR(VLOOKUP(C37,PO_Workflow!$A:$Q,15,0),""))</f>
        <v/>
      </c>
      <c r="T37" s="16" t="str">
        <f>IF(C37="","",IFERROR(VLOOKUP(C37,PO_Workflow!$A:$Q,8,0),""))</f>
        <v/>
      </c>
      <c r="U37" s="21" t="str">
        <f t="shared" si="1"/>
        <v/>
      </c>
      <c r="V37" t="str">
        <f t="shared" si="2"/>
        <v/>
      </c>
    </row>
    <row r="38" spans="1:22" ht="15" customHeight="1" x14ac:dyDescent="0.35">
      <c r="A38" s="22"/>
      <c r="B38" s="22"/>
      <c r="C38" s="23"/>
      <c r="D38" t="str">
        <f>IF(C38&lt;&gt;"",IFERROR(VLOOKUP(C38,PO_Workflow!$A:$Q,10,0),""),IF(E38="","","PO-"&amp;TEXT(ROW()-2,"0000")))</f>
        <v/>
      </c>
      <c r="E38" s="16" t="str">
        <f>IF(C38="","",IFERROR(VLOOKUP(C38,PO_Workflow!$A:$Q,3,0),""))</f>
        <v/>
      </c>
      <c r="F38" s="16" t="str">
        <f>IF(C38="","",IFERROR(VLOOKUP(C38,PO_Workflow!$A:$Q,3,0),""))</f>
        <v/>
      </c>
      <c r="G38" s="16" t="str">
        <f>IF(C38="","",IFERROR(VLOOKUP(C38,PO_Workflow!$A:$Q,16,0),""))</f>
        <v/>
      </c>
      <c r="H38" s="16" t="str">
        <f>IF(C38="","",IFERROR(VLOOKUP(C38,PO_Workflow!$A:$Q,5,0),""))</f>
        <v/>
      </c>
      <c r="I38" s="16" t="str">
        <f>IF(C38="","",IFERROR(VLOOKUP(C38,PO_Workflow!$A:$Q,6,0),""))</f>
        <v/>
      </c>
      <c r="J38" s="17" t="str">
        <f>IF(C38="","",IFERROR(VLOOKUP(C38,PO_Workflow!$A:$Q,11,0),""))</f>
        <v/>
      </c>
      <c r="K38" s="17" t="str">
        <f>IF(C38="","",IFERROR(VLOOKUP(C38,PO_Workflow!$A:$Q,12,0),""))</f>
        <v/>
      </c>
      <c r="L38" s="17" t="str">
        <f>IF(C38="","",IFERROR(VLOOKUP(C38,PO_Workflow!$A:$Q,13,0),""))</f>
        <v/>
      </c>
      <c r="M38" s="18" t="str">
        <f t="shared" si="0"/>
        <v/>
      </c>
      <c r="O38" s="19" t="str">
        <f>IF(C38="","",IFERROR(VLOOKUP(C38,PO_Workflow!$A:$Q,7,0),""))</f>
        <v/>
      </c>
      <c r="P38" s="19"/>
      <c r="Q38" s="16" t="str">
        <f>IF(C38="","",IFERROR(VLOOKUP(C38,PO_Workflow!$A:$Q,14,0),""))</f>
        <v/>
      </c>
      <c r="R38" s="20" t="str">
        <f>IF(C38="","",IFERROR(VLOOKUP(C38,PO_Workflow!$A:$Q,15,0),""))</f>
        <v/>
      </c>
      <c r="T38" s="16" t="str">
        <f>IF(C38="","",IFERROR(VLOOKUP(C38,PO_Workflow!$A:$Q,8,0),""))</f>
        <v/>
      </c>
      <c r="U38" s="21" t="str">
        <f t="shared" si="1"/>
        <v/>
      </c>
      <c r="V38" t="str">
        <f t="shared" si="2"/>
        <v/>
      </c>
    </row>
    <row r="39" spans="1:22" ht="15" customHeight="1" x14ac:dyDescent="0.35">
      <c r="A39" s="22"/>
      <c r="B39" s="22"/>
      <c r="C39" s="23"/>
      <c r="D39" t="str">
        <f>IF(C39&lt;&gt;"",IFERROR(VLOOKUP(C39,PO_Workflow!$A:$Q,10,0),""),IF(E39="","","PO-"&amp;TEXT(ROW()-2,"0000")))</f>
        <v/>
      </c>
      <c r="E39" s="16" t="str">
        <f>IF(C39="","",IFERROR(VLOOKUP(C39,PO_Workflow!$A:$Q,3,0),""))</f>
        <v/>
      </c>
      <c r="F39" s="16" t="str">
        <f>IF(C39="","",IFERROR(VLOOKUP(C39,PO_Workflow!$A:$Q,3,0),""))</f>
        <v/>
      </c>
      <c r="G39" s="16" t="str">
        <f>IF(C39="","",IFERROR(VLOOKUP(C39,PO_Workflow!$A:$Q,16,0),""))</f>
        <v/>
      </c>
      <c r="H39" s="16" t="str">
        <f>IF(C39="","",IFERROR(VLOOKUP(C39,PO_Workflow!$A:$Q,5,0),""))</f>
        <v/>
      </c>
      <c r="I39" s="16" t="str">
        <f>IF(C39="","",IFERROR(VLOOKUP(C39,PO_Workflow!$A:$Q,6,0),""))</f>
        <v/>
      </c>
      <c r="J39" s="17" t="str">
        <f>IF(C39="","",IFERROR(VLOOKUP(C39,PO_Workflow!$A:$Q,11,0),""))</f>
        <v/>
      </c>
      <c r="K39" s="17" t="str">
        <f>IF(C39="","",IFERROR(VLOOKUP(C39,PO_Workflow!$A:$Q,12,0),""))</f>
        <v/>
      </c>
      <c r="L39" s="17" t="str">
        <f>IF(C39="","",IFERROR(VLOOKUP(C39,PO_Workflow!$A:$Q,13,0),""))</f>
        <v/>
      </c>
      <c r="M39" s="18" t="str">
        <f t="shared" si="0"/>
        <v/>
      </c>
      <c r="O39" s="19" t="str">
        <f>IF(C39="","",IFERROR(VLOOKUP(C39,PO_Workflow!$A:$Q,7,0),""))</f>
        <v/>
      </c>
      <c r="P39" s="19"/>
      <c r="Q39" s="16" t="str">
        <f>IF(C39="","",IFERROR(VLOOKUP(C39,PO_Workflow!$A:$Q,14,0),""))</f>
        <v/>
      </c>
      <c r="R39" s="20" t="str">
        <f>IF(C39="","",IFERROR(VLOOKUP(C39,PO_Workflow!$A:$Q,15,0),""))</f>
        <v/>
      </c>
      <c r="T39" s="16" t="str">
        <f>IF(C39="","",IFERROR(VLOOKUP(C39,PO_Workflow!$A:$Q,8,0),""))</f>
        <v/>
      </c>
      <c r="U39" s="21" t="str">
        <f t="shared" si="1"/>
        <v/>
      </c>
      <c r="V39" t="str">
        <f t="shared" si="2"/>
        <v/>
      </c>
    </row>
    <row r="40" spans="1:22" ht="15" customHeight="1" x14ac:dyDescent="0.35">
      <c r="A40" s="22"/>
      <c r="B40" s="22"/>
      <c r="C40" s="23"/>
      <c r="D40" t="str">
        <f>IF(C40&lt;&gt;"",IFERROR(VLOOKUP(C40,PO_Workflow!$A:$Q,10,0),""),IF(E40="","","PO-"&amp;TEXT(ROW()-2,"0000")))</f>
        <v/>
      </c>
      <c r="E40" s="16" t="str">
        <f>IF(C40="","",IFERROR(VLOOKUP(C40,PO_Workflow!$A:$Q,3,0),""))</f>
        <v/>
      </c>
      <c r="F40" s="16" t="str">
        <f>IF(C40="","",IFERROR(VLOOKUP(C40,PO_Workflow!$A:$Q,3,0),""))</f>
        <v/>
      </c>
      <c r="G40" s="16" t="str">
        <f>IF(C40="","",IFERROR(VLOOKUP(C40,PO_Workflow!$A:$Q,16,0),""))</f>
        <v/>
      </c>
      <c r="H40" s="16" t="str">
        <f>IF(C40="","",IFERROR(VLOOKUP(C40,PO_Workflow!$A:$Q,5,0),""))</f>
        <v/>
      </c>
      <c r="I40" s="16" t="str">
        <f>IF(C40="","",IFERROR(VLOOKUP(C40,PO_Workflow!$A:$Q,6,0),""))</f>
        <v/>
      </c>
      <c r="J40" s="17" t="str">
        <f>IF(C40="","",IFERROR(VLOOKUP(C40,PO_Workflow!$A:$Q,11,0),""))</f>
        <v/>
      </c>
      <c r="K40" s="17" t="str">
        <f>IF(C40="","",IFERROR(VLOOKUP(C40,PO_Workflow!$A:$Q,12,0),""))</f>
        <v/>
      </c>
      <c r="L40" s="17" t="str">
        <f>IF(C40="","",IFERROR(VLOOKUP(C40,PO_Workflow!$A:$Q,13,0),""))</f>
        <v/>
      </c>
      <c r="M40" s="18" t="str">
        <f t="shared" si="0"/>
        <v/>
      </c>
      <c r="O40" s="19" t="str">
        <f>IF(C40="","",IFERROR(VLOOKUP(C40,PO_Workflow!$A:$Q,7,0),""))</f>
        <v/>
      </c>
      <c r="P40" s="19"/>
      <c r="Q40" s="16" t="str">
        <f>IF(C40="","",IFERROR(VLOOKUP(C40,PO_Workflow!$A:$Q,14,0),""))</f>
        <v/>
      </c>
      <c r="R40" s="20" t="str">
        <f>IF(C40="","",IFERROR(VLOOKUP(C40,PO_Workflow!$A:$Q,15,0),""))</f>
        <v/>
      </c>
      <c r="T40" s="16" t="str">
        <f>IF(C40="","",IFERROR(VLOOKUP(C40,PO_Workflow!$A:$Q,8,0),""))</f>
        <v/>
      </c>
      <c r="U40" s="21" t="str">
        <f t="shared" si="1"/>
        <v/>
      </c>
      <c r="V40" t="str">
        <f t="shared" si="2"/>
        <v/>
      </c>
    </row>
    <row r="41" spans="1:22" ht="15" customHeight="1" x14ac:dyDescent="0.35">
      <c r="A41" s="22"/>
      <c r="B41" s="22"/>
      <c r="C41" s="23"/>
      <c r="D41" t="str">
        <f>IF(C41&lt;&gt;"",IFERROR(VLOOKUP(C41,PO_Workflow!$A:$Q,10,0),""),IF(E41="","","PO-"&amp;TEXT(ROW()-2,"0000")))</f>
        <v/>
      </c>
      <c r="E41" s="16" t="str">
        <f>IF(C41="","",IFERROR(VLOOKUP(C41,PO_Workflow!$A:$Q,3,0),""))</f>
        <v/>
      </c>
      <c r="F41" s="16" t="str">
        <f>IF(C41="","",IFERROR(VLOOKUP(C41,PO_Workflow!$A:$Q,3,0),""))</f>
        <v/>
      </c>
      <c r="G41" s="16" t="str">
        <f>IF(C41="","",IFERROR(VLOOKUP(C41,PO_Workflow!$A:$Q,16,0),""))</f>
        <v/>
      </c>
      <c r="H41" s="16" t="str">
        <f>IF(C41="","",IFERROR(VLOOKUP(C41,PO_Workflow!$A:$Q,5,0),""))</f>
        <v/>
      </c>
      <c r="I41" s="16" t="str">
        <f>IF(C41="","",IFERROR(VLOOKUP(C41,PO_Workflow!$A:$Q,6,0),""))</f>
        <v/>
      </c>
      <c r="J41" s="17" t="str">
        <f>IF(C41="","",IFERROR(VLOOKUP(C41,PO_Workflow!$A:$Q,11,0),""))</f>
        <v/>
      </c>
      <c r="K41" s="17" t="str">
        <f>IF(C41="","",IFERROR(VLOOKUP(C41,PO_Workflow!$A:$Q,12,0),""))</f>
        <v/>
      </c>
      <c r="L41" s="17" t="str">
        <f>IF(C41="","",IFERROR(VLOOKUP(C41,PO_Workflow!$A:$Q,13,0),""))</f>
        <v/>
      </c>
      <c r="M41" s="18" t="str">
        <f t="shared" si="0"/>
        <v/>
      </c>
      <c r="O41" s="19" t="str">
        <f>IF(C41="","",IFERROR(VLOOKUP(C41,PO_Workflow!$A:$Q,7,0),""))</f>
        <v/>
      </c>
      <c r="P41" s="19"/>
      <c r="Q41" s="16" t="str">
        <f>IF(C41="","",IFERROR(VLOOKUP(C41,PO_Workflow!$A:$Q,14,0),""))</f>
        <v/>
      </c>
      <c r="R41" s="20" t="str">
        <f>IF(C41="","",IFERROR(VLOOKUP(C41,PO_Workflow!$A:$Q,15,0),""))</f>
        <v/>
      </c>
      <c r="T41" s="16" t="str">
        <f>IF(C41="","",IFERROR(VLOOKUP(C41,PO_Workflow!$A:$Q,8,0),""))</f>
        <v/>
      </c>
      <c r="U41" s="21" t="str">
        <f t="shared" si="1"/>
        <v/>
      </c>
      <c r="V41" t="str">
        <f t="shared" si="2"/>
        <v/>
      </c>
    </row>
    <row r="42" spans="1:22" ht="15" customHeight="1" x14ac:dyDescent="0.35">
      <c r="A42" s="22"/>
      <c r="B42" s="22"/>
      <c r="C42" s="23"/>
      <c r="D42" t="str">
        <f>IF(C42&lt;&gt;"",IFERROR(VLOOKUP(C42,PO_Workflow!$A:$Q,10,0),""),IF(E42="","","PO-"&amp;TEXT(ROW()-2,"0000")))</f>
        <v/>
      </c>
      <c r="E42" s="16" t="str">
        <f>IF(C42="","",IFERROR(VLOOKUP(C42,PO_Workflow!$A:$Q,3,0),""))</f>
        <v/>
      </c>
      <c r="F42" s="16" t="str">
        <f>IF(C42="","",IFERROR(VLOOKUP(C42,PO_Workflow!$A:$Q,3,0),""))</f>
        <v/>
      </c>
      <c r="G42" s="16" t="str">
        <f>IF(C42="","",IFERROR(VLOOKUP(C42,PO_Workflow!$A:$Q,16,0),""))</f>
        <v/>
      </c>
      <c r="H42" s="16" t="str">
        <f>IF(C42="","",IFERROR(VLOOKUP(C42,PO_Workflow!$A:$Q,5,0),""))</f>
        <v/>
      </c>
      <c r="I42" s="16" t="str">
        <f>IF(C42="","",IFERROR(VLOOKUP(C42,PO_Workflow!$A:$Q,6,0),""))</f>
        <v/>
      </c>
      <c r="J42" s="17" t="str">
        <f>IF(C42="","",IFERROR(VLOOKUP(C42,PO_Workflow!$A:$Q,11,0),""))</f>
        <v/>
      </c>
      <c r="K42" s="17" t="str">
        <f>IF(C42="","",IFERROR(VLOOKUP(C42,PO_Workflow!$A:$Q,12,0),""))</f>
        <v/>
      </c>
      <c r="L42" s="17" t="str">
        <f>IF(C42="","",IFERROR(VLOOKUP(C42,PO_Workflow!$A:$Q,13,0),""))</f>
        <v/>
      </c>
      <c r="M42" s="18" t="str">
        <f t="shared" si="0"/>
        <v/>
      </c>
      <c r="O42" s="19" t="str">
        <f>IF(C42="","",IFERROR(VLOOKUP(C42,PO_Workflow!$A:$Q,7,0),""))</f>
        <v/>
      </c>
      <c r="P42" s="19"/>
      <c r="Q42" s="16" t="str">
        <f>IF(C42="","",IFERROR(VLOOKUP(C42,PO_Workflow!$A:$Q,14,0),""))</f>
        <v/>
      </c>
      <c r="R42" s="20" t="str">
        <f>IF(C42="","",IFERROR(VLOOKUP(C42,PO_Workflow!$A:$Q,15,0),""))</f>
        <v/>
      </c>
      <c r="T42" s="16" t="str">
        <f>IF(C42="","",IFERROR(VLOOKUP(C42,PO_Workflow!$A:$Q,8,0),""))</f>
        <v/>
      </c>
      <c r="U42" s="21" t="str">
        <f t="shared" si="1"/>
        <v/>
      </c>
      <c r="V42" t="str">
        <f t="shared" si="2"/>
        <v/>
      </c>
    </row>
    <row r="43" spans="1:22" ht="15" customHeight="1" x14ac:dyDescent="0.35">
      <c r="A43" s="22"/>
      <c r="B43" s="22"/>
      <c r="C43" s="23"/>
      <c r="D43" t="str">
        <f>IF(C43&lt;&gt;"",IFERROR(VLOOKUP(C43,PO_Workflow!$A:$Q,10,0),""),IF(E43="","","PO-"&amp;TEXT(ROW()-2,"0000")))</f>
        <v/>
      </c>
      <c r="E43" s="16" t="str">
        <f>IF(C43="","",IFERROR(VLOOKUP(C43,PO_Workflow!$A:$Q,3,0),""))</f>
        <v/>
      </c>
      <c r="F43" s="16" t="str">
        <f>IF(C43="","",IFERROR(VLOOKUP(C43,PO_Workflow!$A:$Q,3,0),""))</f>
        <v/>
      </c>
      <c r="G43" s="16" t="str">
        <f>IF(C43="","",IFERROR(VLOOKUP(C43,PO_Workflow!$A:$Q,16,0),""))</f>
        <v/>
      </c>
      <c r="H43" s="16" t="str">
        <f>IF(C43="","",IFERROR(VLOOKUP(C43,PO_Workflow!$A:$Q,5,0),""))</f>
        <v/>
      </c>
      <c r="I43" s="16" t="str">
        <f>IF(C43="","",IFERROR(VLOOKUP(C43,PO_Workflow!$A:$Q,6,0),""))</f>
        <v/>
      </c>
      <c r="J43" s="17" t="str">
        <f>IF(C43="","",IFERROR(VLOOKUP(C43,PO_Workflow!$A:$Q,11,0),""))</f>
        <v/>
      </c>
      <c r="K43" s="17" t="str">
        <f>IF(C43="","",IFERROR(VLOOKUP(C43,PO_Workflow!$A:$Q,12,0),""))</f>
        <v/>
      </c>
      <c r="L43" s="17" t="str">
        <f>IF(C43="","",IFERROR(VLOOKUP(C43,PO_Workflow!$A:$Q,13,0),""))</f>
        <v/>
      </c>
      <c r="M43" s="18" t="str">
        <f t="shared" si="0"/>
        <v/>
      </c>
      <c r="O43" s="19" t="str">
        <f>IF(C43="","",IFERROR(VLOOKUP(C43,PO_Workflow!$A:$Q,7,0),""))</f>
        <v/>
      </c>
      <c r="P43" s="19"/>
      <c r="Q43" s="16" t="str">
        <f>IF(C43="","",IFERROR(VLOOKUP(C43,PO_Workflow!$A:$Q,14,0),""))</f>
        <v/>
      </c>
      <c r="R43" s="20" t="str">
        <f>IF(C43="","",IFERROR(VLOOKUP(C43,PO_Workflow!$A:$Q,15,0),""))</f>
        <v/>
      </c>
      <c r="T43" s="16" t="str">
        <f>IF(C43="","",IFERROR(VLOOKUP(C43,PO_Workflow!$A:$Q,8,0),""))</f>
        <v/>
      </c>
      <c r="U43" s="21" t="str">
        <f t="shared" si="1"/>
        <v/>
      </c>
      <c r="V43" t="str">
        <f t="shared" si="2"/>
        <v/>
      </c>
    </row>
    <row r="44" spans="1:22" ht="15" customHeight="1" x14ac:dyDescent="0.35">
      <c r="A44" s="22"/>
      <c r="B44" s="22"/>
      <c r="C44" s="23"/>
      <c r="D44" t="str">
        <f>IF(C44&lt;&gt;"",IFERROR(VLOOKUP(C44,PO_Workflow!$A:$Q,10,0),""),IF(E44="","","PO-"&amp;TEXT(ROW()-2,"0000")))</f>
        <v/>
      </c>
      <c r="E44" s="16" t="str">
        <f>IF(C44="","",IFERROR(VLOOKUP(C44,PO_Workflow!$A:$Q,3,0),""))</f>
        <v/>
      </c>
      <c r="F44" s="16" t="str">
        <f>IF(C44="","",IFERROR(VLOOKUP(C44,PO_Workflow!$A:$Q,3,0),""))</f>
        <v/>
      </c>
      <c r="G44" s="16" t="str">
        <f>IF(C44="","",IFERROR(VLOOKUP(C44,PO_Workflow!$A:$Q,16,0),""))</f>
        <v/>
      </c>
      <c r="H44" s="16" t="str">
        <f>IF(C44="","",IFERROR(VLOOKUP(C44,PO_Workflow!$A:$Q,5,0),""))</f>
        <v/>
      </c>
      <c r="I44" s="16" t="str">
        <f>IF(C44="","",IFERROR(VLOOKUP(C44,PO_Workflow!$A:$Q,6,0),""))</f>
        <v/>
      </c>
      <c r="J44" s="17" t="str">
        <f>IF(C44="","",IFERROR(VLOOKUP(C44,PO_Workflow!$A:$Q,11,0),""))</f>
        <v/>
      </c>
      <c r="K44" s="17" t="str">
        <f>IF(C44="","",IFERROR(VLOOKUP(C44,PO_Workflow!$A:$Q,12,0),""))</f>
        <v/>
      </c>
      <c r="L44" s="17" t="str">
        <f>IF(C44="","",IFERROR(VLOOKUP(C44,PO_Workflow!$A:$Q,13,0),""))</f>
        <v/>
      </c>
      <c r="M44" s="18" t="str">
        <f t="shared" si="0"/>
        <v/>
      </c>
      <c r="O44" s="19" t="str">
        <f>IF(C44="","",IFERROR(VLOOKUP(C44,PO_Workflow!$A:$Q,7,0),""))</f>
        <v/>
      </c>
      <c r="P44" s="19"/>
      <c r="Q44" s="16" t="str">
        <f>IF(C44="","",IFERROR(VLOOKUP(C44,PO_Workflow!$A:$Q,14,0),""))</f>
        <v/>
      </c>
      <c r="R44" s="20" t="str">
        <f>IF(C44="","",IFERROR(VLOOKUP(C44,PO_Workflow!$A:$Q,15,0),""))</f>
        <v/>
      </c>
      <c r="T44" s="16" t="str">
        <f>IF(C44="","",IFERROR(VLOOKUP(C44,PO_Workflow!$A:$Q,8,0),""))</f>
        <v/>
      </c>
      <c r="U44" s="21" t="str">
        <f t="shared" si="1"/>
        <v/>
      </c>
      <c r="V44" t="str">
        <f t="shared" si="2"/>
        <v/>
      </c>
    </row>
    <row r="45" spans="1:22" ht="15" customHeight="1" x14ac:dyDescent="0.35">
      <c r="A45" s="22"/>
      <c r="B45" s="22"/>
      <c r="C45" s="23"/>
      <c r="D45" t="str">
        <f>IF(C45&lt;&gt;"",IFERROR(VLOOKUP(C45,PO_Workflow!$A:$Q,10,0),""),IF(E45="","","PO-"&amp;TEXT(ROW()-2,"0000")))</f>
        <v/>
      </c>
      <c r="E45" s="16" t="str">
        <f>IF(C45="","",IFERROR(VLOOKUP(C45,PO_Workflow!$A:$Q,3,0),""))</f>
        <v/>
      </c>
      <c r="F45" s="16" t="str">
        <f>IF(C45="","",IFERROR(VLOOKUP(C45,PO_Workflow!$A:$Q,3,0),""))</f>
        <v/>
      </c>
      <c r="G45" s="16" t="str">
        <f>IF(C45="","",IFERROR(VLOOKUP(C45,PO_Workflow!$A:$Q,16,0),""))</f>
        <v/>
      </c>
      <c r="H45" s="16" t="str">
        <f>IF(C45="","",IFERROR(VLOOKUP(C45,PO_Workflow!$A:$Q,5,0),""))</f>
        <v/>
      </c>
      <c r="I45" s="16" t="str">
        <f>IF(C45="","",IFERROR(VLOOKUP(C45,PO_Workflow!$A:$Q,6,0),""))</f>
        <v/>
      </c>
      <c r="J45" s="17" t="str">
        <f>IF(C45="","",IFERROR(VLOOKUP(C45,PO_Workflow!$A:$Q,11,0),""))</f>
        <v/>
      </c>
      <c r="K45" s="17" t="str">
        <f>IF(C45="","",IFERROR(VLOOKUP(C45,PO_Workflow!$A:$Q,12,0),""))</f>
        <v/>
      </c>
      <c r="L45" s="17" t="str">
        <f>IF(C45="","",IFERROR(VLOOKUP(C45,PO_Workflow!$A:$Q,13,0),""))</f>
        <v/>
      </c>
      <c r="M45" s="18" t="str">
        <f t="shared" si="0"/>
        <v/>
      </c>
      <c r="O45" s="19" t="str">
        <f>IF(C45="","",IFERROR(VLOOKUP(C45,PO_Workflow!$A:$Q,7,0),""))</f>
        <v/>
      </c>
      <c r="P45" s="19"/>
      <c r="Q45" s="16" t="str">
        <f>IF(C45="","",IFERROR(VLOOKUP(C45,PO_Workflow!$A:$Q,14,0),""))</f>
        <v/>
      </c>
      <c r="R45" s="20" t="str">
        <f>IF(C45="","",IFERROR(VLOOKUP(C45,PO_Workflow!$A:$Q,15,0),""))</f>
        <v/>
      </c>
      <c r="T45" s="16" t="str">
        <f>IF(C45="","",IFERROR(VLOOKUP(C45,PO_Workflow!$A:$Q,8,0),""))</f>
        <v/>
      </c>
      <c r="U45" s="21" t="str">
        <f t="shared" si="1"/>
        <v/>
      </c>
      <c r="V45" t="str">
        <f t="shared" si="2"/>
        <v/>
      </c>
    </row>
    <row r="46" spans="1:22" ht="15" customHeight="1" x14ac:dyDescent="0.35">
      <c r="A46" s="22"/>
      <c r="B46" s="22"/>
      <c r="C46" s="23"/>
      <c r="D46" t="str">
        <f>IF(C46&lt;&gt;"",IFERROR(VLOOKUP(C46,PO_Workflow!$A:$Q,10,0),""),IF(E46="","","PO-"&amp;TEXT(ROW()-2,"0000")))</f>
        <v/>
      </c>
      <c r="E46" s="16" t="str">
        <f>IF(C46="","",IFERROR(VLOOKUP(C46,PO_Workflow!$A:$Q,3,0),""))</f>
        <v/>
      </c>
      <c r="F46" s="16" t="str">
        <f>IF(C46="","",IFERROR(VLOOKUP(C46,PO_Workflow!$A:$Q,3,0),""))</f>
        <v/>
      </c>
      <c r="G46" s="16" t="str">
        <f>IF(C46="","",IFERROR(VLOOKUP(C46,PO_Workflow!$A:$Q,16,0),""))</f>
        <v/>
      </c>
      <c r="H46" s="16" t="str">
        <f>IF(C46="","",IFERROR(VLOOKUP(C46,PO_Workflow!$A:$Q,5,0),""))</f>
        <v/>
      </c>
      <c r="I46" s="16" t="str">
        <f>IF(C46="","",IFERROR(VLOOKUP(C46,PO_Workflow!$A:$Q,6,0),""))</f>
        <v/>
      </c>
      <c r="J46" s="17" t="str">
        <f>IF(C46="","",IFERROR(VLOOKUP(C46,PO_Workflow!$A:$Q,11,0),""))</f>
        <v/>
      </c>
      <c r="K46" s="17" t="str">
        <f>IF(C46="","",IFERROR(VLOOKUP(C46,PO_Workflow!$A:$Q,12,0),""))</f>
        <v/>
      </c>
      <c r="L46" s="17" t="str">
        <f>IF(C46="","",IFERROR(VLOOKUP(C46,PO_Workflow!$A:$Q,13,0),""))</f>
        <v/>
      </c>
      <c r="M46" s="18" t="str">
        <f t="shared" si="0"/>
        <v/>
      </c>
      <c r="O46" s="19" t="str">
        <f>IF(C46="","",IFERROR(VLOOKUP(C46,PO_Workflow!$A:$Q,7,0),""))</f>
        <v/>
      </c>
      <c r="P46" s="19"/>
      <c r="Q46" s="16" t="str">
        <f>IF(C46="","",IFERROR(VLOOKUP(C46,PO_Workflow!$A:$Q,14,0),""))</f>
        <v/>
      </c>
      <c r="R46" s="20" t="str">
        <f>IF(C46="","",IFERROR(VLOOKUP(C46,PO_Workflow!$A:$Q,15,0),""))</f>
        <v/>
      </c>
      <c r="T46" s="16" t="str">
        <f>IF(C46="","",IFERROR(VLOOKUP(C46,PO_Workflow!$A:$Q,8,0),""))</f>
        <v/>
      </c>
      <c r="U46" s="21" t="str">
        <f t="shared" si="1"/>
        <v/>
      </c>
      <c r="V46" t="str">
        <f t="shared" si="2"/>
        <v/>
      </c>
    </row>
    <row r="47" spans="1:22" ht="15" customHeight="1" x14ac:dyDescent="0.35">
      <c r="A47" s="22"/>
      <c r="B47" s="22"/>
      <c r="C47" s="23"/>
      <c r="D47" t="str">
        <f>IF(C47&lt;&gt;"",IFERROR(VLOOKUP(C47,PO_Workflow!$A:$Q,10,0),""),IF(E47="","","PO-"&amp;TEXT(ROW()-2,"0000")))</f>
        <v/>
      </c>
      <c r="E47" s="16" t="str">
        <f>IF(C47="","",IFERROR(VLOOKUP(C47,PO_Workflow!$A:$Q,3,0),""))</f>
        <v/>
      </c>
      <c r="F47" s="16" t="str">
        <f>IF(C47="","",IFERROR(VLOOKUP(C47,PO_Workflow!$A:$Q,3,0),""))</f>
        <v/>
      </c>
      <c r="G47" s="16" t="str">
        <f>IF(C47="","",IFERROR(VLOOKUP(C47,PO_Workflow!$A:$Q,16,0),""))</f>
        <v/>
      </c>
      <c r="H47" s="16" t="str">
        <f>IF(C47="","",IFERROR(VLOOKUP(C47,PO_Workflow!$A:$Q,5,0),""))</f>
        <v/>
      </c>
      <c r="I47" s="16" t="str">
        <f>IF(C47="","",IFERROR(VLOOKUP(C47,PO_Workflow!$A:$Q,6,0),""))</f>
        <v/>
      </c>
      <c r="J47" s="17" t="str">
        <f>IF(C47="","",IFERROR(VLOOKUP(C47,PO_Workflow!$A:$Q,11,0),""))</f>
        <v/>
      </c>
      <c r="K47" s="17" t="str">
        <f>IF(C47="","",IFERROR(VLOOKUP(C47,PO_Workflow!$A:$Q,12,0),""))</f>
        <v/>
      </c>
      <c r="L47" s="17" t="str">
        <f>IF(C47="","",IFERROR(VLOOKUP(C47,PO_Workflow!$A:$Q,13,0),""))</f>
        <v/>
      </c>
      <c r="M47" s="18" t="str">
        <f t="shared" si="0"/>
        <v/>
      </c>
      <c r="O47" s="19" t="str">
        <f>IF(C47="","",IFERROR(VLOOKUP(C47,PO_Workflow!$A:$Q,7,0),""))</f>
        <v/>
      </c>
      <c r="P47" s="19"/>
      <c r="Q47" s="16" t="str">
        <f>IF(C47="","",IFERROR(VLOOKUP(C47,PO_Workflow!$A:$Q,14,0),""))</f>
        <v/>
      </c>
      <c r="R47" s="20" t="str">
        <f>IF(C47="","",IFERROR(VLOOKUP(C47,PO_Workflow!$A:$Q,15,0),""))</f>
        <v/>
      </c>
      <c r="T47" s="16" t="str">
        <f>IF(C47="","",IFERROR(VLOOKUP(C47,PO_Workflow!$A:$Q,8,0),""))</f>
        <v/>
      </c>
      <c r="U47" s="21" t="str">
        <f t="shared" si="1"/>
        <v/>
      </c>
      <c r="V47" t="str">
        <f t="shared" si="2"/>
        <v/>
      </c>
    </row>
    <row r="48" spans="1:22" ht="15" customHeight="1" x14ac:dyDescent="0.35">
      <c r="A48" s="22"/>
      <c r="B48" s="22"/>
      <c r="C48" s="23"/>
      <c r="D48" t="str">
        <f>IF(C48&lt;&gt;"",IFERROR(VLOOKUP(C48,PO_Workflow!$A:$Q,10,0),""),IF(E48="","","PO-"&amp;TEXT(ROW()-2,"0000")))</f>
        <v/>
      </c>
      <c r="E48" s="16" t="str">
        <f>IF(C48="","",IFERROR(VLOOKUP(C48,PO_Workflow!$A:$Q,3,0),""))</f>
        <v/>
      </c>
      <c r="F48" s="16" t="str">
        <f>IF(C48="","",IFERROR(VLOOKUP(C48,PO_Workflow!$A:$Q,3,0),""))</f>
        <v/>
      </c>
      <c r="G48" s="16" t="str">
        <f>IF(C48="","",IFERROR(VLOOKUP(C48,PO_Workflow!$A:$Q,16,0),""))</f>
        <v/>
      </c>
      <c r="H48" s="16" t="str">
        <f>IF(C48="","",IFERROR(VLOOKUP(C48,PO_Workflow!$A:$Q,5,0),""))</f>
        <v/>
      </c>
      <c r="I48" s="16" t="str">
        <f>IF(C48="","",IFERROR(VLOOKUP(C48,PO_Workflow!$A:$Q,6,0),""))</f>
        <v/>
      </c>
      <c r="J48" s="17" t="str">
        <f>IF(C48="","",IFERROR(VLOOKUP(C48,PO_Workflow!$A:$Q,11,0),""))</f>
        <v/>
      </c>
      <c r="K48" s="17" t="str">
        <f>IF(C48="","",IFERROR(VLOOKUP(C48,PO_Workflow!$A:$Q,12,0),""))</f>
        <v/>
      </c>
      <c r="L48" s="17" t="str">
        <f>IF(C48="","",IFERROR(VLOOKUP(C48,PO_Workflow!$A:$Q,13,0),""))</f>
        <v/>
      </c>
      <c r="M48" s="18" t="str">
        <f t="shared" si="0"/>
        <v/>
      </c>
      <c r="O48" s="19" t="str">
        <f>IF(C48="","",IFERROR(VLOOKUP(C48,PO_Workflow!$A:$Q,7,0),""))</f>
        <v/>
      </c>
      <c r="P48" s="19"/>
      <c r="Q48" s="16" t="str">
        <f>IF(C48="","",IFERROR(VLOOKUP(C48,PO_Workflow!$A:$Q,14,0),""))</f>
        <v/>
      </c>
      <c r="R48" s="20" t="str">
        <f>IF(C48="","",IFERROR(VLOOKUP(C48,PO_Workflow!$A:$Q,15,0),""))</f>
        <v/>
      </c>
      <c r="T48" s="16" t="str">
        <f>IF(C48="","",IFERROR(VLOOKUP(C48,PO_Workflow!$A:$Q,8,0),""))</f>
        <v/>
      </c>
      <c r="U48" s="21" t="str">
        <f t="shared" si="1"/>
        <v/>
      </c>
      <c r="V48" t="str">
        <f t="shared" si="2"/>
        <v/>
      </c>
    </row>
    <row r="49" spans="1:22" ht="15" customHeight="1" x14ac:dyDescent="0.35">
      <c r="A49" s="22"/>
      <c r="B49" s="22"/>
      <c r="C49" s="23"/>
      <c r="D49" t="str">
        <f>IF(C49&lt;&gt;"",IFERROR(VLOOKUP(C49,PO_Workflow!$A:$Q,10,0),""),IF(E49="","","PO-"&amp;TEXT(ROW()-2,"0000")))</f>
        <v/>
      </c>
      <c r="E49" s="16" t="str">
        <f>IF(C49="","",IFERROR(VLOOKUP(C49,PO_Workflow!$A:$Q,3,0),""))</f>
        <v/>
      </c>
      <c r="F49" s="16" t="str">
        <f>IF(C49="","",IFERROR(VLOOKUP(C49,PO_Workflow!$A:$Q,3,0),""))</f>
        <v/>
      </c>
      <c r="G49" s="16" t="str">
        <f>IF(C49="","",IFERROR(VLOOKUP(C49,PO_Workflow!$A:$Q,16,0),""))</f>
        <v/>
      </c>
      <c r="H49" s="16" t="str">
        <f>IF(C49="","",IFERROR(VLOOKUP(C49,PO_Workflow!$A:$Q,5,0),""))</f>
        <v/>
      </c>
      <c r="I49" s="16" t="str">
        <f>IF(C49="","",IFERROR(VLOOKUP(C49,PO_Workflow!$A:$Q,6,0),""))</f>
        <v/>
      </c>
      <c r="J49" s="17" t="str">
        <f>IF(C49="","",IFERROR(VLOOKUP(C49,PO_Workflow!$A:$Q,11,0),""))</f>
        <v/>
      </c>
      <c r="K49" s="17" t="str">
        <f>IF(C49="","",IFERROR(VLOOKUP(C49,PO_Workflow!$A:$Q,12,0),""))</f>
        <v/>
      </c>
      <c r="L49" s="17" t="str">
        <f>IF(C49="","",IFERROR(VLOOKUP(C49,PO_Workflow!$A:$Q,13,0),""))</f>
        <v/>
      </c>
      <c r="M49" s="18" t="str">
        <f t="shared" si="0"/>
        <v/>
      </c>
      <c r="O49" s="19" t="str">
        <f>IF(C49="","",IFERROR(VLOOKUP(C49,PO_Workflow!$A:$Q,7,0),""))</f>
        <v/>
      </c>
      <c r="P49" s="19"/>
      <c r="Q49" s="16" t="str">
        <f>IF(C49="","",IFERROR(VLOOKUP(C49,PO_Workflow!$A:$Q,14,0),""))</f>
        <v/>
      </c>
      <c r="R49" s="20" t="str">
        <f>IF(C49="","",IFERROR(VLOOKUP(C49,PO_Workflow!$A:$Q,15,0),""))</f>
        <v/>
      </c>
      <c r="T49" s="16" t="str">
        <f>IF(C49="","",IFERROR(VLOOKUP(C49,PO_Workflow!$A:$Q,8,0),""))</f>
        <v/>
      </c>
      <c r="U49" s="21" t="str">
        <f t="shared" si="1"/>
        <v/>
      </c>
      <c r="V49" t="str">
        <f t="shared" si="2"/>
        <v/>
      </c>
    </row>
    <row r="50" spans="1:22" ht="15" customHeight="1" x14ac:dyDescent="0.35">
      <c r="A50" s="22"/>
      <c r="B50" s="22"/>
      <c r="C50" s="23"/>
      <c r="D50" t="str">
        <f>IF(C50&lt;&gt;"",IFERROR(VLOOKUP(C50,PO_Workflow!$A:$Q,10,0),""),IF(E50="","","PO-"&amp;TEXT(ROW()-2,"0000")))</f>
        <v/>
      </c>
      <c r="E50" s="16" t="str">
        <f>IF(C50="","",IFERROR(VLOOKUP(C50,PO_Workflow!$A:$Q,3,0),""))</f>
        <v/>
      </c>
      <c r="F50" s="16" t="str">
        <f>IF(C50="","",IFERROR(VLOOKUP(C50,PO_Workflow!$A:$Q,3,0),""))</f>
        <v/>
      </c>
      <c r="G50" s="16" t="str">
        <f>IF(C50="","",IFERROR(VLOOKUP(C50,PO_Workflow!$A:$Q,16,0),""))</f>
        <v/>
      </c>
      <c r="H50" s="16" t="str">
        <f>IF(C50="","",IFERROR(VLOOKUP(C50,PO_Workflow!$A:$Q,5,0),""))</f>
        <v/>
      </c>
      <c r="I50" s="16" t="str">
        <f>IF(C50="","",IFERROR(VLOOKUP(C50,PO_Workflow!$A:$Q,6,0),""))</f>
        <v/>
      </c>
      <c r="J50" s="17" t="str">
        <f>IF(C50="","",IFERROR(VLOOKUP(C50,PO_Workflow!$A:$Q,11,0),""))</f>
        <v/>
      </c>
      <c r="K50" s="17" t="str">
        <f>IF(C50="","",IFERROR(VLOOKUP(C50,PO_Workflow!$A:$Q,12,0),""))</f>
        <v/>
      </c>
      <c r="L50" s="17" t="str">
        <f>IF(C50="","",IFERROR(VLOOKUP(C50,PO_Workflow!$A:$Q,13,0),""))</f>
        <v/>
      </c>
      <c r="M50" s="18" t="str">
        <f t="shared" si="0"/>
        <v/>
      </c>
      <c r="O50" s="19" t="str">
        <f>IF(C50="","",IFERROR(VLOOKUP(C50,PO_Workflow!$A:$Q,7,0),""))</f>
        <v/>
      </c>
      <c r="P50" s="19"/>
      <c r="Q50" s="16" t="str">
        <f>IF(C50="","",IFERROR(VLOOKUP(C50,PO_Workflow!$A:$Q,14,0),""))</f>
        <v/>
      </c>
      <c r="R50" s="20" t="str">
        <f>IF(C50="","",IFERROR(VLOOKUP(C50,PO_Workflow!$A:$Q,15,0),""))</f>
        <v/>
      </c>
      <c r="T50" s="16" t="str">
        <f>IF(C50="","",IFERROR(VLOOKUP(C50,PO_Workflow!$A:$Q,8,0),""))</f>
        <v/>
      </c>
      <c r="U50" s="21" t="str">
        <f t="shared" si="1"/>
        <v/>
      </c>
      <c r="V50" t="str">
        <f t="shared" si="2"/>
        <v/>
      </c>
    </row>
    <row r="51" spans="1:22" ht="15" customHeight="1" x14ac:dyDescent="0.35">
      <c r="A51" s="22"/>
      <c r="B51" s="22"/>
      <c r="C51" s="23"/>
      <c r="D51" t="str">
        <f>IF(C51&lt;&gt;"",IFERROR(VLOOKUP(C51,PO_Workflow!$A:$Q,10,0),""),IF(E51="","","PO-"&amp;TEXT(ROW()-2,"0000")))</f>
        <v/>
      </c>
      <c r="E51" s="16" t="str">
        <f>IF(C51="","",IFERROR(VLOOKUP(C51,PO_Workflow!$A:$Q,3,0),""))</f>
        <v/>
      </c>
      <c r="F51" s="16" t="str">
        <f>IF(C51="","",IFERROR(VLOOKUP(C51,PO_Workflow!$A:$Q,3,0),""))</f>
        <v/>
      </c>
      <c r="G51" s="16" t="str">
        <f>IF(C51="","",IFERROR(VLOOKUP(C51,PO_Workflow!$A:$Q,16,0),""))</f>
        <v/>
      </c>
      <c r="H51" s="16" t="str">
        <f>IF(C51="","",IFERROR(VLOOKUP(C51,PO_Workflow!$A:$Q,5,0),""))</f>
        <v/>
      </c>
      <c r="I51" s="16" t="str">
        <f>IF(C51="","",IFERROR(VLOOKUP(C51,PO_Workflow!$A:$Q,6,0),""))</f>
        <v/>
      </c>
      <c r="J51" s="17" t="str">
        <f>IF(C51="","",IFERROR(VLOOKUP(C51,PO_Workflow!$A:$Q,11,0),""))</f>
        <v/>
      </c>
      <c r="K51" s="17" t="str">
        <f>IF(C51="","",IFERROR(VLOOKUP(C51,PO_Workflow!$A:$Q,12,0),""))</f>
        <v/>
      </c>
      <c r="L51" s="17" t="str">
        <f>IF(C51="","",IFERROR(VLOOKUP(C51,PO_Workflow!$A:$Q,13,0),""))</f>
        <v/>
      </c>
      <c r="M51" s="18" t="str">
        <f t="shared" si="0"/>
        <v/>
      </c>
      <c r="O51" s="19" t="str">
        <f>IF(C51="","",IFERROR(VLOOKUP(C51,PO_Workflow!$A:$Q,7,0),""))</f>
        <v/>
      </c>
      <c r="P51" s="19"/>
      <c r="Q51" s="16" t="str">
        <f>IF(C51="","",IFERROR(VLOOKUP(C51,PO_Workflow!$A:$Q,14,0),""))</f>
        <v/>
      </c>
      <c r="R51" s="20" t="str">
        <f>IF(C51="","",IFERROR(VLOOKUP(C51,PO_Workflow!$A:$Q,15,0),""))</f>
        <v/>
      </c>
      <c r="T51" s="16" t="str">
        <f>IF(C51="","",IFERROR(VLOOKUP(C51,PO_Workflow!$A:$Q,8,0),""))</f>
        <v/>
      </c>
      <c r="U51" s="21" t="str">
        <f t="shared" si="1"/>
        <v/>
      </c>
      <c r="V51" t="str">
        <f t="shared" si="2"/>
        <v/>
      </c>
    </row>
    <row r="52" spans="1:22" ht="15" customHeight="1" x14ac:dyDescent="0.35">
      <c r="A52" s="22"/>
      <c r="B52" s="22"/>
      <c r="C52" s="23"/>
      <c r="D52" t="str">
        <f>IF(C52&lt;&gt;"",IFERROR(VLOOKUP(C52,PO_Workflow!$A:$Q,10,0),""),IF(E52="","","PO-"&amp;TEXT(ROW()-2,"0000")))</f>
        <v/>
      </c>
      <c r="E52" s="16" t="str">
        <f>IF(C52="","",IFERROR(VLOOKUP(C52,PO_Workflow!$A:$Q,3,0),""))</f>
        <v/>
      </c>
      <c r="F52" s="16" t="str">
        <f>IF(C52="","",IFERROR(VLOOKUP(C52,PO_Workflow!$A:$Q,3,0),""))</f>
        <v/>
      </c>
      <c r="G52" s="16" t="str">
        <f>IF(C52="","",IFERROR(VLOOKUP(C52,PO_Workflow!$A:$Q,16,0),""))</f>
        <v/>
      </c>
      <c r="H52" s="16" t="str">
        <f>IF(C52="","",IFERROR(VLOOKUP(C52,PO_Workflow!$A:$Q,5,0),""))</f>
        <v/>
      </c>
      <c r="I52" s="16" t="str">
        <f>IF(C52="","",IFERROR(VLOOKUP(C52,PO_Workflow!$A:$Q,6,0),""))</f>
        <v/>
      </c>
      <c r="J52" s="17" t="str">
        <f>IF(C52="","",IFERROR(VLOOKUP(C52,PO_Workflow!$A:$Q,11,0),""))</f>
        <v/>
      </c>
      <c r="K52" s="17" t="str">
        <f>IF(C52="","",IFERROR(VLOOKUP(C52,PO_Workflow!$A:$Q,12,0),""))</f>
        <v/>
      </c>
      <c r="L52" s="17" t="str">
        <f>IF(C52="","",IFERROR(VLOOKUP(C52,PO_Workflow!$A:$Q,13,0),""))</f>
        <v/>
      </c>
      <c r="M52" s="18" t="str">
        <f t="shared" si="0"/>
        <v/>
      </c>
      <c r="O52" s="19" t="str">
        <f>IF(C52="","",IFERROR(VLOOKUP(C52,PO_Workflow!$A:$Q,7,0),""))</f>
        <v/>
      </c>
      <c r="P52" s="19"/>
      <c r="Q52" s="16" t="str">
        <f>IF(C52="","",IFERROR(VLOOKUP(C52,PO_Workflow!$A:$Q,14,0),""))</f>
        <v/>
      </c>
      <c r="R52" s="20" t="str">
        <f>IF(C52="","",IFERROR(VLOOKUP(C52,PO_Workflow!$A:$Q,15,0),""))</f>
        <v/>
      </c>
      <c r="T52" s="16" t="str">
        <f>IF(C52="","",IFERROR(VLOOKUP(C52,PO_Workflow!$A:$Q,8,0),""))</f>
        <v/>
      </c>
      <c r="U52" s="21" t="str">
        <f t="shared" si="1"/>
        <v/>
      </c>
      <c r="V52" t="str">
        <f t="shared" si="2"/>
        <v/>
      </c>
    </row>
    <row r="53" spans="1:22" ht="15" customHeight="1" x14ac:dyDescent="0.35">
      <c r="A53" s="22"/>
      <c r="B53" s="22"/>
      <c r="C53" s="23"/>
      <c r="D53" t="str">
        <f>IF(C53&lt;&gt;"",IFERROR(VLOOKUP(C53,PO_Workflow!$A:$Q,10,0),""),IF(E53="","","PO-"&amp;TEXT(ROW()-2,"0000")))</f>
        <v/>
      </c>
      <c r="E53" s="16" t="str">
        <f>IF(C53="","",IFERROR(VLOOKUP(C53,PO_Workflow!$A:$Q,3,0),""))</f>
        <v/>
      </c>
      <c r="F53" s="16" t="str">
        <f>IF(C53="","",IFERROR(VLOOKUP(C53,PO_Workflow!$A:$Q,3,0),""))</f>
        <v/>
      </c>
      <c r="G53" s="16" t="str">
        <f>IF(C53="","",IFERROR(VLOOKUP(C53,PO_Workflow!$A:$Q,16,0),""))</f>
        <v/>
      </c>
      <c r="H53" s="16" t="str">
        <f>IF(C53="","",IFERROR(VLOOKUP(C53,PO_Workflow!$A:$Q,5,0),""))</f>
        <v/>
      </c>
      <c r="I53" s="16" t="str">
        <f>IF(C53="","",IFERROR(VLOOKUP(C53,PO_Workflow!$A:$Q,6,0),""))</f>
        <v/>
      </c>
      <c r="J53" s="17" t="str">
        <f>IF(C53="","",IFERROR(VLOOKUP(C53,PO_Workflow!$A:$Q,11,0),""))</f>
        <v/>
      </c>
      <c r="K53" s="17" t="str">
        <f>IF(C53="","",IFERROR(VLOOKUP(C53,PO_Workflow!$A:$Q,12,0),""))</f>
        <v/>
      </c>
      <c r="L53" s="17" t="str">
        <f>IF(C53="","",IFERROR(VLOOKUP(C53,PO_Workflow!$A:$Q,13,0),""))</f>
        <v/>
      </c>
      <c r="M53" s="18" t="str">
        <f t="shared" si="0"/>
        <v/>
      </c>
      <c r="O53" s="19" t="str">
        <f>IF(C53="","",IFERROR(VLOOKUP(C53,PO_Workflow!$A:$Q,7,0),""))</f>
        <v/>
      </c>
      <c r="P53" s="19"/>
      <c r="Q53" s="16" t="str">
        <f>IF(C53="","",IFERROR(VLOOKUP(C53,PO_Workflow!$A:$Q,14,0),""))</f>
        <v/>
      </c>
      <c r="R53" s="20" t="str">
        <f>IF(C53="","",IFERROR(VLOOKUP(C53,PO_Workflow!$A:$Q,15,0),""))</f>
        <v/>
      </c>
      <c r="T53" s="16" t="str">
        <f>IF(C53="","",IFERROR(VLOOKUP(C53,PO_Workflow!$A:$Q,8,0),""))</f>
        <v/>
      </c>
      <c r="U53" s="21" t="str">
        <f t="shared" si="1"/>
        <v/>
      </c>
      <c r="V53" t="str">
        <f t="shared" si="2"/>
        <v/>
      </c>
    </row>
    <row r="54" spans="1:22" ht="15" customHeight="1" x14ac:dyDescent="0.35">
      <c r="A54" s="22"/>
      <c r="B54" s="22"/>
      <c r="C54" s="23"/>
      <c r="D54" t="str">
        <f>IF(C54&lt;&gt;"",IFERROR(VLOOKUP(C54,PO_Workflow!$A:$Q,10,0),""),IF(E54="","","PO-"&amp;TEXT(ROW()-2,"0000")))</f>
        <v/>
      </c>
      <c r="E54" s="16" t="str">
        <f>IF(C54="","",IFERROR(VLOOKUP(C54,PO_Workflow!$A:$Q,3,0),""))</f>
        <v/>
      </c>
      <c r="F54" s="16" t="str">
        <f>IF(C54="","",IFERROR(VLOOKUP(C54,PO_Workflow!$A:$Q,3,0),""))</f>
        <v/>
      </c>
      <c r="G54" s="16" t="str">
        <f>IF(C54="","",IFERROR(VLOOKUP(C54,PO_Workflow!$A:$Q,16,0),""))</f>
        <v/>
      </c>
      <c r="H54" s="16" t="str">
        <f>IF(C54="","",IFERROR(VLOOKUP(C54,PO_Workflow!$A:$Q,5,0),""))</f>
        <v/>
      </c>
      <c r="I54" s="16" t="str">
        <f>IF(C54="","",IFERROR(VLOOKUP(C54,PO_Workflow!$A:$Q,6,0),""))</f>
        <v/>
      </c>
      <c r="J54" s="17" t="str">
        <f>IF(C54="","",IFERROR(VLOOKUP(C54,PO_Workflow!$A:$Q,11,0),""))</f>
        <v/>
      </c>
      <c r="K54" s="17" t="str">
        <f>IF(C54="","",IFERROR(VLOOKUP(C54,PO_Workflow!$A:$Q,12,0),""))</f>
        <v/>
      </c>
      <c r="L54" s="17" t="str">
        <f>IF(C54="","",IFERROR(VLOOKUP(C54,PO_Workflow!$A:$Q,13,0),""))</f>
        <v/>
      </c>
      <c r="M54" s="18" t="str">
        <f t="shared" si="0"/>
        <v/>
      </c>
      <c r="O54" s="19" t="str">
        <f>IF(C54="","",IFERROR(VLOOKUP(C54,PO_Workflow!$A:$Q,7,0),""))</f>
        <v/>
      </c>
      <c r="P54" s="19"/>
      <c r="Q54" s="16" t="str">
        <f>IF(C54="","",IFERROR(VLOOKUP(C54,PO_Workflow!$A:$Q,14,0),""))</f>
        <v/>
      </c>
      <c r="R54" s="20" t="str">
        <f>IF(C54="","",IFERROR(VLOOKUP(C54,PO_Workflow!$A:$Q,15,0),""))</f>
        <v/>
      </c>
      <c r="T54" s="16" t="str">
        <f>IF(C54="","",IFERROR(VLOOKUP(C54,PO_Workflow!$A:$Q,8,0),""))</f>
        <v/>
      </c>
      <c r="U54" s="21" t="str">
        <f t="shared" si="1"/>
        <v/>
      </c>
      <c r="V54" t="str">
        <f t="shared" si="2"/>
        <v/>
      </c>
    </row>
    <row r="55" spans="1:22" ht="15" customHeight="1" x14ac:dyDescent="0.35">
      <c r="A55" s="22"/>
      <c r="B55" s="22"/>
      <c r="C55" s="23"/>
      <c r="D55" t="str">
        <f>IF(C55&lt;&gt;"",IFERROR(VLOOKUP(C55,PO_Workflow!$A:$Q,10,0),""),IF(E55="","","PO-"&amp;TEXT(ROW()-2,"0000")))</f>
        <v/>
      </c>
      <c r="E55" s="16" t="str">
        <f>IF(C55="","",IFERROR(VLOOKUP(C55,PO_Workflow!$A:$Q,3,0),""))</f>
        <v/>
      </c>
      <c r="F55" s="16" t="str">
        <f>IF(C55="","",IFERROR(VLOOKUP(C55,PO_Workflow!$A:$Q,3,0),""))</f>
        <v/>
      </c>
      <c r="G55" s="16" t="str">
        <f>IF(C55="","",IFERROR(VLOOKUP(C55,PO_Workflow!$A:$Q,16,0),""))</f>
        <v/>
      </c>
      <c r="H55" s="16" t="str">
        <f>IF(C55="","",IFERROR(VLOOKUP(C55,PO_Workflow!$A:$Q,5,0),""))</f>
        <v/>
      </c>
      <c r="I55" s="16" t="str">
        <f>IF(C55="","",IFERROR(VLOOKUP(C55,PO_Workflow!$A:$Q,6,0),""))</f>
        <v/>
      </c>
      <c r="J55" s="17" t="str">
        <f>IF(C55="","",IFERROR(VLOOKUP(C55,PO_Workflow!$A:$Q,11,0),""))</f>
        <v/>
      </c>
      <c r="K55" s="17" t="str">
        <f>IF(C55="","",IFERROR(VLOOKUP(C55,PO_Workflow!$A:$Q,12,0),""))</f>
        <v/>
      </c>
      <c r="L55" s="17" t="str">
        <f>IF(C55="","",IFERROR(VLOOKUP(C55,PO_Workflow!$A:$Q,13,0),""))</f>
        <v/>
      </c>
      <c r="M55" s="18" t="str">
        <f t="shared" si="0"/>
        <v/>
      </c>
      <c r="O55" s="19" t="str">
        <f>IF(C55="","",IFERROR(VLOOKUP(C55,PO_Workflow!$A:$Q,7,0),""))</f>
        <v/>
      </c>
      <c r="P55" s="19"/>
      <c r="Q55" s="16" t="str">
        <f>IF(C55="","",IFERROR(VLOOKUP(C55,PO_Workflow!$A:$Q,14,0),""))</f>
        <v/>
      </c>
      <c r="R55" s="20" t="str">
        <f>IF(C55="","",IFERROR(VLOOKUP(C55,PO_Workflow!$A:$Q,15,0),""))</f>
        <v/>
      </c>
      <c r="T55" s="16" t="str">
        <f>IF(C55="","",IFERROR(VLOOKUP(C55,PO_Workflow!$A:$Q,8,0),""))</f>
        <v/>
      </c>
      <c r="U55" s="21" t="str">
        <f t="shared" si="1"/>
        <v/>
      </c>
      <c r="V55" t="str">
        <f t="shared" si="2"/>
        <v/>
      </c>
    </row>
    <row r="56" spans="1:22" ht="15" customHeight="1" x14ac:dyDescent="0.35">
      <c r="A56" s="22"/>
      <c r="B56" s="22"/>
      <c r="C56" s="23"/>
      <c r="D56" t="str">
        <f>IF(C56&lt;&gt;"",IFERROR(VLOOKUP(C56,PO_Workflow!$A:$Q,10,0),""),IF(E56="","","PO-"&amp;TEXT(ROW()-2,"0000")))</f>
        <v/>
      </c>
      <c r="E56" s="16" t="str">
        <f>IF(C56="","",IFERROR(VLOOKUP(C56,PO_Workflow!$A:$Q,3,0),""))</f>
        <v/>
      </c>
      <c r="F56" s="16" t="str">
        <f>IF(C56="","",IFERROR(VLOOKUP(C56,PO_Workflow!$A:$Q,3,0),""))</f>
        <v/>
      </c>
      <c r="G56" s="16" t="str">
        <f>IF(C56="","",IFERROR(VLOOKUP(C56,PO_Workflow!$A:$Q,16,0),""))</f>
        <v/>
      </c>
      <c r="H56" s="16" t="str">
        <f>IF(C56="","",IFERROR(VLOOKUP(C56,PO_Workflow!$A:$Q,5,0),""))</f>
        <v/>
      </c>
      <c r="I56" s="16" t="str">
        <f>IF(C56="","",IFERROR(VLOOKUP(C56,PO_Workflow!$A:$Q,6,0),""))</f>
        <v/>
      </c>
      <c r="J56" s="17" t="str">
        <f>IF(C56="","",IFERROR(VLOOKUP(C56,PO_Workflow!$A:$Q,11,0),""))</f>
        <v/>
      </c>
      <c r="K56" s="17" t="str">
        <f>IF(C56="","",IFERROR(VLOOKUP(C56,PO_Workflow!$A:$Q,12,0),""))</f>
        <v/>
      </c>
      <c r="L56" s="17" t="str">
        <f>IF(C56="","",IFERROR(VLOOKUP(C56,PO_Workflow!$A:$Q,13,0),""))</f>
        <v/>
      </c>
      <c r="M56" s="18" t="str">
        <f t="shared" si="0"/>
        <v/>
      </c>
      <c r="O56" s="19" t="str">
        <f>IF(C56="","",IFERROR(VLOOKUP(C56,PO_Workflow!$A:$Q,7,0),""))</f>
        <v/>
      </c>
      <c r="P56" s="19"/>
      <c r="Q56" s="16" t="str">
        <f>IF(C56="","",IFERROR(VLOOKUP(C56,PO_Workflow!$A:$Q,14,0),""))</f>
        <v/>
      </c>
      <c r="R56" s="20" t="str">
        <f>IF(C56="","",IFERROR(VLOOKUP(C56,PO_Workflow!$A:$Q,15,0),""))</f>
        <v/>
      </c>
      <c r="T56" s="16" t="str">
        <f>IF(C56="","",IFERROR(VLOOKUP(C56,PO_Workflow!$A:$Q,8,0),""))</f>
        <v/>
      </c>
      <c r="U56" s="21" t="str">
        <f t="shared" si="1"/>
        <v/>
      </c>
      <c r="V56" t="str">
        <f t="shared" si="2"/>
        <v/>
      </c>
    </row>
    <row r="57" spans="1:22" ht="15" customHeight="1" x14ac:dyDescent="0.35">
      <c r="A57" s="22"/>
      <c r="B57" s="22"/>
      <c r="C57" s="23"/>
      <c r="D57" t="str">
        <f>IF(C57&lt;&gt;"",IFERROR(VLOOKUP(C57,PO_Workflow!$A:$Q,10,0),""),IF(E57="","","PO-"&amp;TEXT(ROW()-2,"0000")))</f>
        <v/>
      </c>
      <c r="E57" s="16" t="str">
        <f>IF(C57="","",IFERROR(VLOOKUP(C57,PO_Workflow!$A:$Q,3,0),""))</f>
        <v/>
      </c>
      <c r="F57" s="16" t="str">
        <f>IF(C57="","",IFERROR(VLOOKUP(C57,PO_Workflow!$A:$Q,3,0),""))</f>
        <v/>
      </c>
      <c r="G57" s="16" t="str">
        <f>IF(C57="","",IFERROR(VLOOKUP(C57,PO_Workflow!$A:$Q,16,0),""))</f>
        <v/>
      </c>
      <c r="H57" s="16" t="str">
        <f>IF(C57="","",IFERROR(VLOOKUP(C57,PO_Workflow!$A:$Q,5,0),""))</f>
        <v/>
      </c>
      <c r="I57" s="16" t="str">
        <f>IF(C57="","",IFERROR(VLOOKUP(C57,PO_Workflow!$A:$Q,6,0),""))</f>
        <v/>
      </c>
      <c r="J57" s="17" t="str">
        <f>IF(C57="","",IFERROR(VLOOKUP(C57,PO_Workflow!$A:$Q,11,0),""))</f>
        <v/>
      </c>
      <c r="K57" s="17" t="str">
        <f>IF(C57="","",IFERROR(VLOOKUP(C57,PO_Workflow!$A:$Q,12,0),""))</f>
        <v/>
      </c>
      <c r="L57" s="17" t="str">
        <f>IF(C57="","",IFERROR(VLOOKUP(C57,PO_Workflow!$A:$Q,13,0),""))</f>
        <v/>
      </c>
      <c r="M57" s="18" t="str">
        <f t="shared" si="0"/>
        <v/>
      </c>
      <c r="O57" s="19" t="str">
        <f>IF(C57="","",IFERROR(VLOOKUP(C57,PO_Workflow!$A:$Q,7,0),""))</f>
        <v/>
      </c>
      <c r="P57" s="19"/>
      <c r="Q57" s="16" t="str">
        <f>IF(C57="","",IFERROR(VLOOKUP(C57,PO_Workflow!$A:$Q,14,0),""))</f>
        <v/>
      </c>
      <c r="R57" s="20" t="str">
        <f>IF(C57="","",IFERROR(VLOOKUP(C57,PO_Workflow!$A:$Q,15,0),""))</f>
        <v/>
      </c>
      <c r="T57" s="16" t="str">
        <f>IF(C57="","",IFERROR(VLOOKUP(C57,PO_Workflow!$A:$Q,8,0),""))</f>
        <v/>
      </c>
      <c r="U57" s="21" t="str">
        <f t="shared" si="1"/>
        <v/>
      </c>
      <c r="V57" t="str">
        <f t="shared" si="2"/>
        <v/>
      </c>
    </row>
    <row r="58" spans="1:22" ht="15" customHeight="1" x14ac:dyDescent="0.35">
      <c r="A58" s="22"/>
      <c r="B58" s="22"/>
      <c r="C58" s="23"/>
      <c r="D58" t="str">
        <f>IF(C58&lt;&gt;"",IFERROR(VLOOKUP(C58,PO_Workflow!$A:$Q,10,0),""),IF(E58="","","PO-"&amp;TEXT(ROW()-2,"0000")))</f>
        <v/>
      </c>
      <c r="E58" s="16" t="str">
        <f>IF(C58="","",IFERROR(VLOOKUP(C58,PO_Workflow!$A:$Q,3,0),""))</f>
        <v/>
      </c>
      <c r="F58" s="16" t="str">
        <f>IF(C58="","",IFERROR(VLOOKUP(C58,PO_Workflow!$A:$Q,3,0),""))</f>
        <v/>
      </c>
      <c r="G58" s="16" t="str">
        <f>IF(C58="","",IFERROR(VLOOKUP(C58,PO_Workflow!$A:$Q,16,0),""))</f>
        <v/>
      </c>
      <c r="H58" s="16" t="str">
        <f>IF(C58="","",IFERROR(VLOOKUP(C58,PO_Workflow!$A:$Q,5,0),""))</f>
        <v/>
      </c>
      <c r="I58" s="16" t="str">
        <f>IF(C58="","",IFERROR(VLOOKUP(C58,PO_Workflow!$A:$Q,6,0),""))</f>
        <v/>
      </c>
      <c r="J58" s="17" t="str">
        <f>IF(C58="","",IFERROR(VLOOKUP(C58,PO_Workflow!$A:$Q,11,0),""))</f>
        <v/>
      </c>
      <c r="K58" s="17" t="str">
        <f>IF(C58="","",IFERROR(VLOOKUP(C58,PO_Workflow!$A:$Q,12,0),""))</f>
        <v/>
      </c>
      <c r="L58" s="17" t="str">
        <f>IF(C58="","",IFERROR(VLOOKUP(C58,PO_Workflow!$A:$Q,13,0),""))</f>
        <v/>
      </c>
      <c r="M58" s="18" t="str">
        <f t="shared" si="0"/>
        <v/>
      </c>
      <c r="O58" s="19" t="str">
        <f>IF(C58="","",IFERROR(VLOOKUP(C58,PO_Workflow!$A:$Q,7,0),""))</f>
        <v/>
      </c>
      <c r="P58" s="19"/>
      <c r="Q58" s="16" t="str">
        <f>IF(C58="","",IFERROR(VLOOKUP(C58,PO_Workflow!$A:$Q,14,0),""))</f>
        <v/>
      </c>
      <c r="R58" s="20" t="str">
        <f>IF(C58="","",IFERROR(VLOOKUP(C58,PO_Workflow!$A:$Q,15,0),""))</f>
        <v/>
      </c>
      <c r="T58" s="16" t="str">
        <f>IF(C58="","",IFERROR(VLOOKUP(C58,PO_Workflow!$A:$Q,8,0),""))</f>
        <v/>
      </c>
      <c r="U58" s="21" t="str">
        <f t="shared" si="1"/>
        <v/>
      </c>
      <c r="V58" t="str">
        <f t="shared" si="2"/>
        <v/>
      </c>
    </row>
    <row r="59" spans="1:22" ht="15" customHeight="1" x14ac:dyDescent="0.35">
      <c r="A59" s="22"/>
      <c r="B59" s="22"/>
      <c r="C59" s="23"/>
      <c r="D59" t="str">
        <f>IF(C59&lt;&gt;"",IFERROR(VLOOKUP(C59,PO_Workflow!$A:$Q,10,0),""),IF(E59="","","PO-"&amp;TEXT(ROW()-2,"0000")))</f>
        <v/>
      </c>
      <c r="E59" s="16" t="str">
        <f>IF(C59="","",IFERROR(VLOOKUP(C59,PO_Workflow!$A:$Q,3,0),""))</f>
        <v/>
      </c>
      <c r="F59" s="16" t="str">
        <f>IF(C59="","",IFERROR(VLOOKUP(C59,PO_Workflow!$A:$Q,3,0),""))</f>
        <v/>
      </c>
      <c r="G59" s="16" t="str">
        <f>IF(C59="","",IFERROR(VLOOKUP(C59,PO_Workflow!$A:$Q,16,0),""))</f>
        <v/>
      </c>
      <c r="H59" s="16" t="str">
        <f>IF(C59="","",IFERROR(VLOOKUP(C59,PO_Workflow!$A:$Q,5,0),""))</f>
        <v/>
      </c>
      <c r="I59" s="16" t="str">
        <f>IF(C59="","",IFERROR(VLOOKUP(C59,PO_Workflow!$A:$Q,6,0),""))</f>
        <v/>
      </c>
      <c r="J59" s="17" t="str">
        <f>IF(C59="","",IFERROR(VLOOKUP(C59,PO_Workflow!$A:$Q,11,0),""))</f>
        <v/>
      </c>
      <c r="K59" s="17" t="str">
        <f>IF(C59="","",IFERROR(VLOOKUP(C59,PO_Workflow!$A:$Q,12,0),""))</f>
        <v/>
      </c>
      <c r="L59" s="17" t="str">
        <f>IF(C59="","",IFERROR(VLOOKUP(C59,PO_Workflow!$A:$Q,13,0),""))</f>
        <v/>
      </c>
      <c r="M59" s="18" t="str">
        <f t="shared" si="0"/>
        <v/>
      </c>
      <c r="O59" s="19" t="str">
        <f>IF(C59="","",IFERROR(VLOOKUP(C59,PO_Workflow!$A:$Q,7,0),""))</f>
        <v/>
      </c>
      <c r="P59" s="19"/>
      <c r="Q59" s="16" t="str">
        <f>IF(C59="","",IFERROR(VLOOKUP(C59,PO_Workflow!$A:$Q,14,0),""))</f>
        <v/>
      </c>
      <c r="R59" s="20" t="str">
        <f>IF(C59="","",IFERROR(VLOOKUP(C59,PO_Workflow!$A:$Q,15,0),""))</f>
        <v/>
      </c>
      <c r="T59" s="16" t="str">
        <f>IF(C59="","",IFERROR(VLOOKUP(C59,PO_Workflow!$A:$Q,8,0),""))</f>
        <v/>
      </c>
      <c r="U59" s="21" t="str">
        <f t="shared" si="1"/>
        <v/>
      </c>
      <c r="V59" t="str">
        <f t="shared" si="2"/>
        <v/>
      </c>
    </row>
    <row r="60" spans="1:22" ht="15" customHeight="1" x14ac:dyDescent="0.35">
      <c r="A60" s="22"/>
      <c r="B60" s="22"/>
      <c r="C60" s="23"/>
      <c r="D60" t="str">
        <f>IF(C60&lt;&gt;"",IFERROR(VLOOKUP(C60,PO_Workflow!$A:$Q,10,0),""),IF(E60="","","PO-"&amp;TEXT(ROW()-2,"0000")))</f>
        <v/>
      </c>
      <c r="E60" s="16" t="str">
        <f>IF(C60="","",IFERROR(VLOOKUP(C60,PO_Workflow!$A:$Q,3,0),""))</f>
        <v/>
      </c>
      <c r="F60" s="16" t="str">
        <f>IF(C60="","",IFERROR(VLOOKUP(C60,PO_Workflow!$A:$Q,3,0),""))</f>
        <v/>
      </c>
      <c r="G60" s="16" t="str">
        <f>IF(C60="","",IFERROR(VLOOKUP(C60,PO_Workflow!$A:$Q,16,0),""))</f>
        <v/>
      </c>
      <c r="H60" s="16" t="str">
        <f>IF(C60="","",IFERROR(VLOOKUP(C60,PO_Workflow!$A:$Q,5,0),""))</f>
        <v/>
      </c>
      <c r="I60" s="16" t="str">
        <f>IF(C60="","",IFERROR(VLOOKUP(C60,PO_Workflow!$A:$Q,6,0),""))</f>
        <v/>
      </c>
      <c r="J60" s="17" t="str">
        <f>IF(C60="","",IFERROR(VLOOKUP(C60,PO_Workflow!$A:$Q,11,0),""))</f>
        <v/>
      </c>
      <c r="K60" s="17" t="str">
        <f>IF(C60="","",IFERROR(VLOOKUP(C60,PO_Workflow!$A:$Q,12,0),""))</f>
        <v/>
      </c>
      <c r="L60" s="17" t="str">
        <f>IF(C60="","",IFERROR(VLOOKUP(C60,PO_Workflow!$A:$Q,13,0),""))</f>
        <v/>
      </c>
      <c r="M60" s="18" t="str">
        <f t="shared" si="0"/>
        <v/>
      </c>
      <c r="O60" s="19" t="str">
        <f>IF(C60="","",IFERROR(VLOOKUP(C60,PO_Workflow!$A:$Q,7,0),""))</f>
        <v/>
      </c>
      <c r="P60" s="19"/>
      <c r="Q60" s="16" t="str">
        <f>IF(C60="","",IFERROR(VLOOKUP(C60,PO_Workflow!$A:$Q,14,0),""))</f>
        <v/>
      </c>
      <c r="R60" s="20" t="str">
        <f>IF(C60="","",IFERROR(VLOOKUP(C60,PO_Workflow!$A:$Q,15,0),""))</f>
        <v/>
      </c>
      <c r="T60" s="16" t="str">
        <f>IF(C60="","",IFERROR(VLOOKUP(C60,PO_Workflow!$A:$Q,8,0),""))</f>
        <v/>
      </c>
      <c r="U60" s="21" t="str">
        <f t="shared" si="1"/>
        <v/>
      </c>
      <c r="V60" t="str">
        <f t="shared" si="2"/>
        <v/>
      </c>
    </row>
    <row r="61" spans="1:22" ht="15" customHeight="1" x14ac:dyDescent="0.35">
      <c r="A61" s="22"/>
      <c r="B61" s="22"/>
      <c r="C61" s="23"/>
      <c r="D61" t="str">
        <f>IF(C61&lt;&gt;"",IFERROR(VLOOKUP(C61,PO_Workflow!$A:$Q,10,0),""),IF(E61="","","PO-"&amp;TEXT(ROW()-2,"0000")))</f>
        <v/>
      </c>
      <c r="E61" s="16" t="str">
        <f>IF(C61="","",IFERROR(VLOOKUP(C61,PO_Workflow!$A:$Q,3,0),""))</f>
        <v/>
      </c>
      <c r="F61" s="16" t="str">
        <f>IF(C61="","",IFERROR(VLOOKUP(C61,PO_Workflow!$A:$Q,3,0),""))</f>
        <v/>
      </c>
      <c r="G61" s="16" t="str">
        <f>IF(C61="","",IFERROR(VLOOKUP(C61,PO_Workflow!$A:$Q,16,0),""))</f>
        <v/>
      </c>
      <c r="H61" s="16" t="str">
        <f>IF(C61="","",IFERROR(VLOOKUP(C61,PO_Workflow!$A:$Q,5,0),""))</f>
        <v/>
      </c>
      <c r="I61" s="16" t="str">
        <f>IF(C61="","",IFERROR(VLOOKUP(C61,PO_Workflow!$A:$Q,6,0),""))</f>
        <v/>
      </c>
      <c r="J61" s="17" t="str">
        <f>IF(C61="","",IFERROR(VLOOKUP(C61,PO_Workflow!$A:$Q,11,0),""))</f>
        <v/>
      </c>
      <c r="K61" s="17" t="str">
        <f>IF(C61="","",IFERROR(VLOOKUP(C61,PO_Workflow!$A:$Q,12,0),""))</f>
        <v/>
      </c>
      <c r="L61" s="17" t="str">
        <f>IF(C61="","",IFERROR(VLOOKUP(C61,PO_Workflow!$A:$Q,13,0),""))</f>
        <v/>
      </c>
      <c r="M61" s="18" t="str">
        <f t="shared" si="0"/>
        <v/>
      </c>
      <c r="O61" s="19" t="str">
        <f>IF(C61="","",IFERROR(VLOOKUP(C61,PO_Workflow!$A:$Q,7,0),""))</f>
        <v/>
      </c>
      <c r="P61" s="19"/>
      <c r="Q61" s="16" t="str">
        <f>IF(C61="","",IFERROR(VLOOKUP(C61,PO_Workflow!$A:$Q,14,0),""))</f>
        <v/>
      </c>
      <c r="R61" s="20" t="str">
        <f>IF(C61="","",IFERROR(VLOOKUP(C61,PO_Workflow!$A:$Q,15,0),""))</f>
        <v/>
      </c>
      <c r="T61" s="16" t="str">
        <f>IF(C61="","",IFERROR(VLOOKUP(C61,PO_Workflow!$A:$Q,8,0),""))</f>
        <v/>
      </c>
      <c r="U61" s="21" t="str">
        <f t="shared" si="1"/>
        <v/>
      </c>
      <c r="V61" t="str">
        <f t="shared" si="2"/>
        <v/>
      </c>
    </row>
    <row r="62" spans="1:22" ht="15" customHeight="1" x14ac:dyDescent="0.35">
      <c r="A62" s="22"/>
      <c r="B62" s="22"/>
      <c r="C62" s="23"/>
      <c r="D62" t="str">
        <f>IF(C62&lt;&gt;"",IFERROR(VLOOKUP(C62,PO_Workflow!$A:$Q,10,0),""),IF(E62="","","PO-"&amp;TEXT(ROW()-2,"0000")))</f>
        <v/>
      </c>
      <c r="E62" s="16" t="str">
        <f>IF(C62="","",IFERROR(VLOOKUP(C62,PO_Workflow!$A:$Q,3,0),""))</f>
        <v/>
      </c>
      <c r="F62" s="16" t="str">
        <f>IF(C62="","",IFERROR(VLOOKUP(C62,PO_Workflow!$A:$Q,3,0),""))</f>
        <v/>
      </c>
      <c r="G62" s="16" t="str">
        <f>IF(C62="","",IFERROR(VLOOKUP(C62,PO_Workflow!$A:$Q,16,0),""))</f>
        <v/>
      </c>
      <c r="H62" s="16" t="str">
        <f>IF(C62="","",IFERROR(VLOOKUP(C62,PO_Workflow!$A:$Q,5,0),""))</f>
        <v/>
      </c>
      <c r="I62" s="16" t="str">
        <f>IF(C62="","",IFERROR(VLOOKUP(C62,PO_Workflow!$A:$Q,6,0),""))</f>
        <v/>
      </c>
      <c r="J62" s="17" t="str">
        <f>IF(C62="","",IFERROR(VLOOKUP(C62,PO_Workflow!$A:$Q,11,0),""))</f>
        <v/>
      </c>
      <c r="K62" s="17" t="str">
        <f>IF(C62="","",IFERROR(VLOOKUP(C62,PO_Workflow!$A:$Q,12,0),""))</f>
        <v/>
      </c>
      <c r="L62" s="17" t="str">
        <f>IF(C62="","",IFERROR(VLOOKUP(C62,PO_Workflow!$A:$Q,13,0),""))</f>
        <v/>
      </c>
      <c r="M62" s="18" t="str">
        <f t="shared" si="0"/>
        <v/>
      </c>
      <c r="O62" s="19" t="str">
        <f>IF(C62="","",IFERROR(VLOOKUP(C62,PO_Workflow!$A:$Q,7,0),""))</f>
        <v/>
      </c>
      <c r="P62" s="19"/>
      <c r="Q62" s="16" t="str">
        <f>IF(C62="","",IFERROR(VLOOKUP(C62,PO_Workflow!$A:$Q,14,0),""))</f>
        <v/>
      </c>
      <c r="R62" s="20" t="str">
        <f>IF(C62="","",IFERROR(VLOOKUP(C62,PO_Workflow!$A:$Q,15,0),""))</f>
        <v/>
      </c>
      <c r="T62" s="16" t="str">
        <f>IF(C62="","",IFERROR(VLOOKUP(C62,PO_Workflow!$A:$Q,8,0),""))</f>
        <v/>
      </c>
      <c r="U62" s="21" t="str">
        <f t="shared" si="1"/>
        <v/>
      </c>
      <c r="V62" t="str">
        <f t="shared" si="2"/>
        <v/>
      </c>
    </row>
    <row r="63" spans="1:22" ht="15" customHeight="1" x14ac:dyDescent="0.35">
      <c r="A63" s="22"/>
      <c r="B63" s="22"/>
      <c r="C63" s="23"/>
      <c r="D63" t="str">
        <f>IF(C63&lt;&gt;"",IFERROR(VLOOKUP(C63,PO_Workflow!$A:$Q,10,0),""),IF(E63="","","PO-"&amp;TEXT(ROW()-2,"0000")))</f>
        <v/>
      </c>
      <c r="E63" s="16" t="str">
        <f>IF(C63="","",IFERROR(VLOOKUP(C63,PO_Workflow!$A:$Q,3,0),""))</f>
        <v/>
      </c>
      <c r="F63" s="16" t="str">
        <f>IF(C63="","",IFERROR(VLOOKUP(C63,PO_Workflow!$A:$Q,3,0),""))</f>
        <v/>
      </c>
      <c r="G63" s="16" t="str">
        <f>IF(C63="","",IFERROR(VLOOKUP(C63,PO_Workflow!$A:$Q,16,0),""))</f>
        <v/>
      </c>
      <c r="H63" s="16" t="str">
        <f>IF(C63="","",IFERROR(VLOOKUP(C63,PO_Workflow!$A:$Q,5,0),""))</f>
        <v/>
      </c>
      <c r="I63" s="16" t="str">
        <f>IF(C63="","",IFERROR(VLOOKUP(C63,PO_Workflow!$A:$Q,6,0),""))</f>
        <v/>
      </c>
      <c r="J63" s="17" t="str">
        <f>IF(C63="","",IFERROR(VLOOKUP(C63,PO_Workflow!$A:$Q,11,0),""))</f>
        <v/>
      </c>
      <c r="K63" s="17" t="str">
        <f>IF(C63="","",IFERROR(VLOOKUP(C63,PO_Workflow!$A:$Q,12,0),""))</f>
        <v/>
      </c>
      <c r="L63" s="17" t="str">
        <f>IF(C63="","",IFERROR(VLOOKUP(C63,PO_Workflow!$A:$Q,13,0),""))</f>
        <v/>
      </c>
      <c r="M63" s="18" t="str">
        <f t="shared" si="0"/>
        <v/>
      </c>
      <c r="O63" s="19" t="str">
        <f>IF(C63="","",IFERROR(VLOOKUP(C63,PO_Workflow!$A:$Q,7,0),""))</f>
        <v/>
      </c>
      <c r="P63" s="19"/>
      <c r="Q63" s="16" t="str">
        <f>IF(C63="","",IFERROR(VLOOKUP(C63,PO_Workflow!$A:$Q,14,0),""))</f>
        <v/>
      </c>
      <c r="R63" s="20" t="str">
        <f>IF(C63="","",IFERROR(VLOOKUP(C63,PO_Workflow!$A:$Q,15,0),""))</f>
        <v/>
      </c>
      <c r="T63" s="16" t="str">
        <f>IF(C63="","",IFERROR(VLOOKUP(C63,PO_Workflow!$A:$Q,8,0),""))</f>
        <v/>
      </c>
      <c r="U63" s="21" t="str">
        <f t="shared" si="1"/>
        <v/>
      </c>
      <c r="V63" t="str">
        <f t="shared" si="2"/>
        <v/>
      </c>
    </row>
    <row r="64" spans="1:22" ht="15" customHeight="1" x14ac:dyDescent="0.35">
      <c r="A64" s="22"/>
      <c r="B64" s="22"/>
      <c r="C64" s="23"/>
      <c r="D64" t="str">
        <f>IF(C64&lt;&gt;"",IFERROR(VLOOKUP(C64,PO_Workflow!$A:$Q,10,0),""),IF(E64="","","PO-"&amp;TEXT(ROW()-2,"0000")))</f>
        <v/>
      </c>
      <c r="E64" s="16" t="str">
        <f>IF(C64="","",IFERROR(VLOOKUP(C64,PO_Workflow!$A:$Q,3,0),""))</f>
        <v/>
      </c>
      <c r="F64" s="16" t="str">
        <f>IF(C64="","",IFERROR(VLOOKUP(C64,PO_Workflow!$A:$Q,3,0),""))</f>
        <v/>
      </c>
      <c r="G64" s="16" t="str">
        <f>IF(C64="","",IFERROR(VLOOKUP(C64,PO_Workflow!$A:$Q,16,0),""))</f>
        <v/>
      </c>
      <c r="H64" s="16" t="str">
        <f>IF(C64="","",IFERROR(VLOOKUP(C64,PO_Workflow!$A:$Q,5,0),""))</f>
        <v/>
      </c>
      <c r="I64" s="16" t="str">
        <f>IF(C64="","",IFERROR(VLOOKUP(C64,PO_Workflow!$A:$Q,6,0),""))</f>
        <v/>
      </c>
      <c r="J64" s="17" t="str">
        <f>IF(C64="","",IFERROR(VLOOKUP(C64,PO_Workflow!$A:$Q,11,0),""))</f>
        <v/>
      </c>
      <c r="K64" s="17" t="str">
        <f>IF(C64="","",IFERROR(VLOOKUP(C64,PO_Workflow!$A:$Q,12,0),""))</f>
        <v/>
      </c>
      <c r="L64" s="17" t="str">
        <f>IF(C64="","",IFERROR(VLOOKUP(C64,PO_Workflow!$A:$Q,13,0),""))</f>
        <v/>
      </c>
      <c r="M64" s="18" t="str">
        <f t="shared" si="0"/>
        <v/>
      </c>
      <c r="O64" s="19" t="str">
        <f>IF(C64="","",IFERROR(VLOOKUP(C64,PO_Workflow!$A:$Q,7,0),""))</f>
        <v/>
      </c>
      <c r="P64" s="19"/>
      <c r="Q64" s="16" t="str">
        <f>IF(C64="","",IFERROR(VLOOKUP(C64,PO_Workflow!$A:$Q,14,0),""))</f>
        <v/>
      </c>
      <c r="R64" s="20" t="str">
        <f>IF(C64="","",IFERROR(VLOOKUP(C64,PO_Workflow!$A:$Q,15,0),""))</f>
        <v/>
      </c>
      <c r="T64" s="16" t="str">
        <f>IF(C64="","",IFERROR(VLOOKUP(C64,PO_Workflow!$A:$Q,8,0),""))</f>
        <v/>
      </c>
      <c r="U64" s="21" t="str">
        <f t="shared" si="1"/>
        <v/>
      </c>
      <c r="V64" t="str">
        <f t="shared" si="2"/>
        <v/>
      </c>
    </row>
    <row r="65" spans="1:22" ht="15" customHeight="1" x14ac:dyDescent="0.35">
      <c r="A65" s="22"/>
      <c r="B65" s="22"/>
      <c r="C65" s="23"/>
      <c r="D65" t="str">
        <f>IF(C65&lt;&gt;"",IFERROR(VLOOKUP(C65,PO_Workflow!$A:$Q,10,0),""),IF(E65="","","PO-"&amp;TEXT(ROW()-2,"0000")))</f>
        <v/>
      </c>
      <c r="E65" s="16" t="str">
        <f>IF(C65="","",IFERROR(VLOOKUP(C65,PO_Workflow!$A:$Q,3,0),""))</f>
        <v/>
      </c>
      <c r="F65" s="16" t="str">
        <f>IF(C65="","",IFERROR(VLOOKUP(C65,PO_Workflow!$A:$Q,3,0),""))</f>
        <v/>
      </c>
      <c r="G65" s="16" t="str">
        <f>IF(C65="","",IFERROR(VLOOKUP(C65,PO_Workflow!$A:$Q,16,0),""))</f>
        <v/>
      </c>
      <c r="H65" s="16" t="str">
        <f>IF(C65="","",IFERROR(VLOOKUP(C65,PO_Workflow!$A:$Q,5,0),""))</f>
        <v/>
      </c>
      <c r="I65" s="16" t="str">
        <f>IF(C65="","",IFERROR(VLOOKUP(C65,PO_Workflow!$A:$Q,6,0),""))</f>
        <v/>
      </c>
      <c r="J65" s="17" t="str">
        <f>IF(C65="","",IFERROR(VLOOKUP(C65,PO_Workflow!$A:$Q,11,0),""))</f>
        <v/>
      </c>
      <c r="K65" s="17" t="str">
        <f>IF(C65="","",IFERROR(VLOOKUP(C65,PO_Workflow!$A:$Q,12,0),""))</f>
        <v/>
      </c>
      <c r="L65" s="17" t="str">
        <f>IF(C65="","",IFERROR(VLOOKUP(C65,PO_Workflow!$A:$Q,13,0),""))</f>
        <v/>
      </c>
      <c r="M65" s="18" t="str">
        <f t="shared" si="0"/>
        <v/>
      </c>
      <c r="O65" s="19" t="str">
        <f>IF(C65="","",IFERROR(VLOOKUP(C65,PO_Workflow!$A:$Q,7,0),""))</f>
        <v/>
      </c>
      <c r="P65" s="19"/>
      <c r="Q65" s="16" t="str">
        <f>IF(C65="","",IFERROR(VLOOKUP(C65,PO_Workflow!$A:$Q,14,0),""))</f>
        <v/>
      </c>
      <c r="R65" s="20" t="str">
        <f>IF(C65="","",IFERROR(VLOOKUP(C65,PO_Workflow!$A:$Q,15,0),""))</f>
        <v/>
      </c>
      <c r="T65" s="16" t="str">
        <f>IF(C65="","",IFERROR(VLOOKUP(C65,PO_Workflow!$A:$Q,8,0),""))</f>
        <v/>
      </c>
      <c r="U65" s="21" t="str">
        <f t="shared" si="1"/>
        <v/>
      </c>
      <c r="V65" t="str">
        <f t="shared" si="2"/>
        <v/>
      </c>
    </row>
    <row r="66" spans="1:22" ht="15" customHeight="1" x14ac:dyDescent="0.35">
      <c r="A66" s="22"/>
      <c r="B66" s="22"/>
      <c r="C66" s="23"/>
      <c r="D66" t="str">
        <f>IF(C66&lt;&gt;"",IFERROR(VLOOKUP(C66,PO_Workflow!$A:$Q,10,0),""),IF(E66="","","PO-"&amp;TEXT(ROW()-2,"0000")))</f>
        <v/>
      </c>
      <c r="E66" s="16" t="str">
        <f>IF(C66="","",IFERROR(VLOOKUP(C66,PO_Workflow!$A:$Q,3,0),""))</f>
        <v/>
      </c>
      <c r="F66" s="16" t="str">
        <f>IF(C66="","",IFERROR(VLOOKUP(C66,PO_Workflow!$A:$Q,3,0),""))</f>
        <v/>
      </c>
      <c r="G66" s="16" t="str">
        <f>IF(C66="","",IFERROR(VLOOKUP(C66,PO_Workflow!$A:$Q,16,0),""))</f>
        <v/>
      </c>
      <c r="H66" s="16" t="str">
        <f>IF(C66="","",IFERROR(VLOOKUP(C66,PO_Workflow!$A:$Q,5,0),""))</f>
        <v/>
      </c>
      <c r="I66" s="16" t="str">
        <f>IF(C66="","",IFERROR(VLOOKUP(C66,PO_Workflow!$A:$Q,6,0),""))</f>
        <v/>
      </c>
      <c r="J66" s="17" t="str">
        <f>IF(C66="","",IFERROR(VLOOKUP(C66,PO_Workflow!$A:$Q,11,0),""))</f>
        <v/>
      </c>
      <c r="K66" s="17" t="str">
        <f>IF(C66="","",IFERROR(VLOOKUP(C66,PO_Workflow!$A:$Q,12,0),""))</f>
        <v/>
      </c>
      <c r="L66" s="17" t="str">
        <f>IF(C66="","",IFERROR(VLOOKUP(C66,PO_Workflow!$A:$Q,13,0),""))</f>
        <v/>
      </c>
      <c r="M66" s="18" t="str">
        <f t="shared" si="0"/>
        <v/>
      </c>
      <c r="O66" s="19" t="str">
        <f>IF(C66="","",IFERROR(VLOOKUP(C66,PO_Workflow!$A:$Q,7,0),""))</f>
        <v/>
      </c>
      <c r="P66" s="19"/>
      <c r="Q66" s="16" t="str">
        <f>IF(C66="","",IFERROR(VLOOKUP(C66,PO_Workflow!$A:$Q,14,0),""))</f>
        <v/>
      </c>
      <c r="R66" s="20" t="str">
        <f>IF(C66="","",IFERROR(VLOOKUP(C66,PO_Workflow!$A:$Q,15,0),""))</f>
        <v/>
      </c>
      <c r="T66" s="16" t="str">
        <f>IF(C66="","",IFERROR(VLOOKUP(C66,PO_Workflow!$A:$Q,8,0),""))</f>
        <v/>
      </c>
      <c r="U66" s="21" t="str">
        <f t="shared" si="1"/>
        <v/>
      </c>
      <c r="V66" t="str">
        <f t="shared" si="2"/>
        <v/>
      </c>
    </row>
    <row r="67" spans="1:22" ht="15" customHeight="1" x14ac:dyDescent="0.35">
      <c r="A67" s="22"/>
      <c r="B67" s="22"/>
      <c r="C67" s="23"/>
      <c r="D67" t="str">
        <f>IF(C67&lt;&gt;"",IFERROR(VLOOKUP(C67,PO_Workflow!$A:$Q,10,0),""),IF(E67="","","PO-"&amp;TEXT(ROW()-2,"0000")))</f>
        <v/>
      </c>
      <c r="E67" s="16" t="str">
        <f>IF(C67="","",IFERROR(VLOOKUP(C67,PO_Workflow!$A:$Q,3,0),""))</f>
        <v/>
      </c>
      <c r="F67" s="16" t="str">
        <f>IF(C67="","",IFERROR(VLOOKUP(C67,PO_Workflow!$A:$Q,3,0),""))</f>
        <v/>
      </c>
      <c r="G67" s="16" t="str">
        <f>IF(C67="","",IFERROR(VLOOKUP(C67,PO_Workflow!$A:$Q,16,0),""))</f>
        <v/>
      </c>
      <c r="H67" s="16" t="str">
        <f>IF(C67="","",IFERROR(VLOOKUP(C67,PO_Workflow!$A:$Q,5,0),""))</f>
        <v/>
      </c>
      <c r="I67" s="16" t="str">
        <f>IF(C67="","",IFERROR(VLOOKUP(C67,PO_Workflow!$A:$Q,6,0),""))</f>
        <v/>
      </c>
      <c r="J67" s="17" t="str">
        <f>IF(C67="","",IFERROR(VLOOKUP(C67,PO_Workflow!$A:$Q,11,0),""))</f>
        <v/>
      </c>
      <c r="K67" s="17" t="str">
        <f>IF(C67="","",IFERROR(VLOOKUP(C67,PO_Workflow!$A:$Q,12,0),""))</f>
        <v/>
      </c>
      <c r="L67" s="17" t="str">
        <f>IF(C67="","",IFERROR(VLOOKUP(C67,PO_Workflow!$A:$Q,13,0),""))</f>
        <v/>
      </c>
      <c r="M67" s="18" t="str">
        <f t="shared" si="0"/>
        <v/>
      </c>
      <c r="O67" s="19" t="str">
        <f>IF(C67="","",IFERROR(VLOOKUP(C67,PO_Workflow!$A:$Q,7,0),""))</f>
        <v/>
      </c>
      <c r="P67" s="19"/>
      <c r="Q67" s="16" t="str">
        <f>IF(C67="","",IFERROR(VLOOKUP(C67,PO_Workflow!$A:$Q,14,0),""))</f>
        <v/>
      </c>
      <c r="R67" s="20" t="str">
        <f>IF(C67="","",IFERROR(VLOOKUP(C67,PO_Workflow!$A:$Q,15,0),""))</f>
        <v/>
      </c>
      <c r="T67" s="16" t="str">
        <f>IF(C67="","",IFERROR(VLOOKUP(C67,PO_Workflow!$A:$Q,8,0),""))</f>
        <v/>
      </c>
      <c r="U67" s="21" t="str">
        <f t="shared" si="1"/>
        <v/>
      </c>
      <c r="V67" t="str">
        <f t="shared" si="2"/>
        <v/>
      </c>
    </row>
    <row r="68" spans="1:22" ht="15" customHeight="1" x14ac:dyDescent="0.35">
      <c r="A68" s="22"/>
      <c r="B68" s="22"/>
      <c r="C68" s="23"/>
      <c r="D68" t="str">
        <f>IF(C68&lt;&gt;"",IFERROR(VLOOKUP(C68,PO_Workflow!$A:$Q,10,0),""),IF(E68="","","PO-"&amp;TEXT(ROW()-2,"0000")))</f>
        <v/>
      </c>
      <c r="E68" s="16" t="str">
        <f>IF(C68="","",IFERROR(VLOOKUP(C68,PO_Workflow!$A:$Q,3,0),""))</f>
        <v/>
      </c>
      <c r="F68" s="16" t="str">
        <f>IF(C68="","",IFERROR(VLOOKUP(C68,PO_Workflow!$A:$Q,3,0),""))</f>
        <v/>
      </c>
      <c r="G68" s="16" t="str">
        <f>IF(C68="","",IFERROR(VLOOKUP(C68,PO_Workflow!$A:$Q,16,0),""))</f>
        <v/>
      </c>
      <c r="H68" s="16" t="str">
        <f>IF(C68="","",IFERROR(VLOOKUP(C68,PO_Workflow!$A:$Q,5,0),""))</f>
        <v/>
      </c>
      <c r="I68" s="16" t="str">
        <f>IF(C68="","",IFERROR(VLOOKUP(C68,PO_Workflow!$A:$Q,6,0),""))</f>
        <v/>
      </c>
      <c r="J68" s="17" t="str">
        <f>IF(C68="","",IFERROR(VLOOKUP(C68,PO_Workflow!$A:$Q,11,0),""))</f>
        <v/>
      </c>
      <c r="K68" s="17" t="str">
        <f>IF(C68="","",IFERROR(VLOOKUP(C68,PO_Workflow!$A:$Q,12,0),""))</f>
        <v/>
      </c>
      <c r="L68" s="17" t="str">
        <f>IF(C68="","",IFERROR(VLOOKUP(C68,PO_Workflow!$A:$Q,13,0),""))</f>
        <v/>
      </c>
      <c r="M68" s="18" t="str">
        <f t="shared" si="0"/>
        <v/>
      </c>
      <c r="O68" s="19" t="str">
        <f>IF(C68="","",IFERROR(VLOOKUP(C68,PO_Workflow!$A:$Q,7,0),""))</f>
        <v/>
      </c>
      <c r="P68" s="19"/>
      <c r="Q68" s="16" t="str">
        <f>IF(C68="","",IFERROR(VLOOKUP(C68,PO_Workflow!$A:$Q,14,0),""))</f>
        <v/>
      </c>
      <c r="R68" s="20" t="str">
        <f>IF(C68="","",IFERROR(VLOOKUP(C68,PO_Workflow!$A:$Q,15,0),""))</f>
        <v/>
      </c>
      <c r="T68" s="16" t="str">
        <f>IF(C68="","",IFERROR(VLOOKUP(C68,PO_Workflow!$A:$Q,8,0),""))</f>
        <v/>
      </c>
      <c r="U68" s="21" t="str">
        <f t="shared" si="1"/>
        <v/>
      </c>
      <c r="V68" t="str">
        <f t="shared" si="2"/>
        <v/>
      </c>
    </row>
    <row r="69" spans="1:22" ht="15" customHeight="1" x14ac:dyDescent="0.35">
      <c r="A69" s="22"/>
      <c r="B69" s="22"/>
      <c r="C69" s="23"/>
      <c r="D69" t="str">
        <f>IF(C69&lt;&gt;"",IFERROR(VLOOKUP(C69,PO_Workflow!$A:$Q,10,0),""),IF(E69="","","PO-"&amp;TEXT(ROW()-2,"0000")))</f>
        <v/>
      </c>
      <c r="E69" s="16" t="str">
        <f>IF(C69="","",IFERROR(VLOOKUP(C69,PO_Workflow!$A:$Q,3,0),""))</f>
        <v/>
      </c>
      <c r="F69" s="16" t="str">
        <f>IF(C69="","",IFERROR(VLOOKUP(C69,PO_Workflow!$A:$Q,3,0),""))</f>
        <v/>
      </c>
      <c r="G69" s="16" t="str">
        <f>IF(C69="","",IFERROR(VLOOKUP(C69,PO_Workflow!$A:$Q,16,0),""))</f>
        <v/>
      </c>
      <c r="H69" s="16" t="str">
        <f>IF(C69="","",IFERROR(VLOOKUP(C69,PO_Workflow!$A:$Q,5,0),""))</f>
        <v/>
      </c>
      <c r="I69" s="16" t="str">
        <f>IF(C69="","",IFERROR(VLOOKUP(C69,PO_Workflow!$A:$Q,6,0),""))</f>
        <v/>
      </c>
      <c r="J69" s="17" t="str">
        <f>IF(C69="","",IFERROR(VLOOKUP(C69,PO_Workflow!$A:$Q,11,0),""))</f>
        <v/>
      </c>
      <c r="K69" s="17" t="str">
        <f>IF(C69="","",IFERROR(VLOOKUP(C69,PO_Workflow!$A:$Q,12,0),""))</f>
        <v/>
      </c>
      <c r="L69" s="17" t="str">
        <f>IF(C69="","",IFERROR(VLOOKUP(C69,PO_Workflow!$A:$Q,13,0),""))</f>
        <v/>
      </c>
      <c r="M69" s="18" t="str">
        <f t="shared" si="0"/>
        <v/>
      </c>
      <c r="O69" s="19" t="str">
        <f>IF(C69="","",IFERROR(VLOOKUP(C69,PO_Workflow!$A:$Q,7,0),""))</f>
        <v/>
      </c>
      <c r="P69" s="19"/>
      <c r="Q69" s="16" t="str">
        <f>IF(C69="","",IFERROR(VLOOKUP(C69,PO_Workflow!$A:$Q,14,0),""))</f>
        <v/>
      </c>
      <c r="R69" s="20" t="str">
        <f>IF(C69="","",IFERROR(VLOOKUP(C69,PO_Workflow!$A:$Q,15,0),""))</f>
        <v/>
      </c>
      <c r="T69" s="16" t="str">
        <f>IF(C69="","",IFERROR(VLOOKUP(C69,PO_Workflow!$A:$Q,8,0),""))</f>
        <v/>
      </c>
      <c r="U69" s="21" t="str">
        <f t="shared" si="1"/>
        <v/>
      </c>
      <c r="V69" t="str">
        <f t="shared" si="2"/>
        <v/>
      </c>
    </row>
    <row r="70" spans="1:22" ht="15" customHeight="1" x14ac:dyDescent="0.35">
      <c r="A70" s="22"/>
      <c r="B70" s="22"/>
      <c r="C70" s="23"/>
      <c r="D70" t="str">
        <f>IF(C70&lt;&gt;"",IFERROR(VLOOKUP(C70,PO_Workflow!$A:$Q,10,0),""),IF(E70="","","PO-"&amp;TEXT(ROW()-2,"0000")))</f>
        <v/>
      </c>
      <c r="E70" s="16" t="str">
        <f>IF(C70="","",IFERROR(VLOOKUP(C70,PO_Workflow!$A:$Q,3,0),""))</f>
        <v/>
      </c>
      <c r="F70" s="16" t="str">
        <f>IF(C70="","",IFERROR(VLOOKUP(C70,PO_Workflow!$A:$Q,3,0),""))</f>
        <v/>
      </c>
      <c r="G70" s="16" t="str">
        <f>IF(C70="","",IFERROR(VLOOKUP(C70,PO_Workflow!$A:$Q,16,0),""))</f>
        <v/>
      </c>
      <c r="H70" s="16" t="str">
        <f>IF(C70="","",IFERROR(VLOOKUP(C70,PO_Workflow!$A:$Q,5,0),""))</f>
        <v/>
      </c>
      <c r="I70" s="16" t="str">
        <f>IF(C70="","",IFERROR(VLOOKUP(C70,PO_Workflow!$A:$Q,6,0),""))</f>
        <v/>
      </c>
      <c r="J70" s="17" t="str">
        <f>IF(C70="","",IFERROR(VLOOKUP(C70,PO_Workflow!$A:$Q,11,0),""))</f>
        <v/>
      </c>
      <c r="K70" s="17" t="str">
        <f>IF(C70="","",IFERROR(VLOOKUP(C70,PO_Workflow!$A:$Q,12,0),""))</f>
        <v/>
      </c>
      <c r="L70" s="17" t="str">
        <f>IF(C70="","",IFERROR(VLOOKUP(C70,PO_Workflow!$A:$Q,13,0),""))</f>
        <v/>
      </c>
      <c r="M70" s="18" t="str">
        <f t="shared" si="0"/>
        <v/>
      </c>
      <c r="O70" s="19" t="str">
        <f>IF(C70="","",IFERROR(VLOOKUP(C70,PO_Workflow!$A:$Q,7,0),""))</f>
        <v/>
      </c>
      <c r="P70" s="19"/>
      <c r="Q70" s="16" t="str">
        <f>IF(C70="","",IFERROR(VLOOKUP(C70,PO_Workflow!$A:$Q,14,0),""))</f>
        <v/>
      </c>
      <c r="R70" s="20" t="str">
        <f>IF(C70="","",IFERROR(VLOOKUP(C70,PO_Workflow!$A:$Q,15,0),""))</f>
        <v/>
      </c>
      <c r="T70" s="16" t="str">
        <f>IF(C70="","",IFERROR(VLOOKUP(C70,PO_Workflow!$A:$Q,8,0),""))</f>
        <v/>
      </c>
      <c r="U70" s="21" t="str">
        <f t="shared" si="1"/>
        <v/>
      </c>
      <c r="V70" t="str">
        <f t="shared" si="2"/>
        <v/>
      </c>
    </row>
    <row r="71" spans="1:22" ht="15" customHeight="1" x14ac:dyDescent="0.35">
      <c r="A71" s="22"/>
      <c r="B71" s="22"/>
      <c r="C71" s="23"/>
      <c r="D71" t="str">
        <f>IF(C71&lt;&gt;"",IFERROR(VLOOKUP(C71,PO_Workflow!$A:$Q,10,0),""),IF(E71="","","PO-"&amp;TEXT(ROW()-2,"0000")))</f>
        <v/>
      </c>
      <c r="E71" s="16" t="str">
        <f>IF(C71="","",IFERROR(VLOOKUP(C71,PO_Workflow!$A:$Q,3,0),""))</f>
        <v/>
      </c>
      <c r="F71" s="16" t="str">
        <f>IF(C71="","",IFERROR(VLOOKUP(C71,PO_Workflow!$A:$Q,3,0),""))</f>
        <v/>
      </c>
      <c r="G71" s="16" t="str">
        <f>IF(C71="","",IFERROR(VLOOKUP(C71,PO_Workflow!$A:$Q,16,0),""))</f>
        <v/>
      </c>
      <c r="H71" s="16" t="str">
        <f>IF(C71="","",IFERROR(VLOOKUP(C71,PO_Workflow!$A:$Q,5,0),""))</f>
        <v/>
      </c>
      <c r="I71" s="16" t="str">
        <f>IF(C71="","",IFERROR(VLOOKUP(C71,PO_Workflow!$A:$Q,6,0),""))</f>
        <v/>
      </c>
      <c r="J71" s="17" t="str">
        <f>IF(C71="","",IFERROR(VLOOKUP(C71,PO_Workflow!$A:$Q,11,0),""))</f>
        <v/>
      </c>
      <c r="K71" s="17" t="str">
        <f>IF(C71="","",IFERROR(VLOOKUP(C71,PO_Workflow!$A:$Q,12,0),""))</f>
        <v/>
      </c>
      <c r="L71" s="17" t="str">
        <f>IF(C71="","",IFERROR(VLOOKUP(C71,PO_Workflow!$A:$Q,13,0),""))</f>
        <v/>
      </c>
      <c r="M71" s="18" t="str">
        <f t="shared" si="0"/>
        <v/>
      </c>
      <c r="O71" s="19" t="str">
        <f>IF(C71="","",IFERROR(VLOOKUP(C71,PO_Workflow!$A:$Q,7,0),""))</f>
        <v/>
      </c>
      <c r="P71" s="19"/>
      <c r="Q71" s="16" t="str">
        <f>IF(C71="","",IFERROR(VLOOKUP(C71,PO_Workflow!$A:$Q,14,0),""))</f>
        <v/>
      </c>
      <c r="R71" s="20" t="str">
        <f>IF(C71="","",IFERROR(VLOOKUP(C71,PO_Workflow!$A:$Q,15,0),""))</f>
        <v/>
      </c>
      <c r="T71" s="16" t="str">
        <f>IF(C71="","",IFERROR(VLOOKUP(C71,PO_Workflow!$A:$Q,8,0),""))</f>
        <v/>
      </c>
      <c r="U71" s="21" t="str">
        <f t="shared" si="1"/>
        <v/>
      </c>
      <c r="V71" t="str">
        <f t="shared" si="2"/>
        <v/>
      </c>
    </row>
    <row r="72" spans="1:22" ht="15" customHeight="1" x14ac:dyDescent="0.35">
      <c r="A72" s="22"/>
      <c r="B72" s="22"/>
      <c r="C72" s="23"/>
      <c r="D72" t="str">
        <f>IF(C72&lt;&gt;"",IFERROR(VLOOKUP(C72,PO_Workflow!$A:$Q,10,0),""),IF(E72="","","PO-"&amp;TEXT(ROW()-2,"0000")))</f>
        <v/>
      </c>
      <c r="E72" s="16" t="str">
        <f>IF(C72="","",IFERROR(VLOOKUP(C72,PO_Workflow!$A:$Q,3,0),""))</f>
        <v/>
      </c>
      <c r="F72" s="16" t="str">
        <f>IF(C72="","",IFERROR(VLOOKUP(C72,PO_Workflow!$A:$Q,3,0),""))</f>
        <v/>
      </c>
      <c r="G72" s="16" t="str">
        <f>IF(C72="","",IFERROR(VLOOKUP(C72,PO_Workflow!$A:$Q,16,0),""))</f>
        <v/>
      </c>
      <c r="H72" s="16" t="str">
        <f>IF(C72="","",IFERROR(VLOOKUP(C72,PO_Workflow!$A:$Q,5,0),""))</f>
        <v/>
      </c>
      <c r="I72" s="16" t="str">
        <f>IF(C72="","",IFERROR(VLOOKUP(C72,PO_Workflow!$A:$Q,6,0),""))</f>
        <v/>
      </c>
      <c r="J72" s="17" t="str">
        <f>IF(C72="","",IFERROR(VLOOKUP(C72,PO_Workflow!$A:$Q,11,0),""))</f>
        <v/>
      </c>
      <c r="K72" s="17" t="str">
        <f>IF(C72="","",IFERROR(VLOOKUP(C72,PO_Workflow!$A:$Q,12,0),""))</f>
        <v/>
      </c>
      <c r="L72" s="17" t="str">
        <f>IF(C72="","",IFERROR(VLOOKUP(C72,PO_Workflow!$A:$Q,13,0),""))</f>
        <v/>
      </c>
      <c r="M72" s="18" t="str">
        <f t="shared" si="0"/>
        <v/>
      </c>
      <c r="O72" s="19" t="str">
        <f>IF(C72="","",IFERROR(VLOOKUP(C72,PO_Workflow!$A:$Q,7,0),""))</f>
        <v/>
      </c>
      <c r="P72" s="19"/>
      <c r="Q72" s="16" t="str">
        <f>IF(C72="","",IFERROR(VLOOKUP(C72,PO_Workflow!$A:$Q,14,0),""))</f>
        <v/>
      </c>
      <c r="R72" s="20" t="str">
        <f>IF(C72="","",IFERROR(VLOOKUP(C72,PO_Workflow!$A:$Q,15,0),""))</f>
        <v/>
      </c>
      <c r="T72" s="16" t="str">
        <f>IF(C72="","",IFERROR(VLOOKUP(C72,PO_Workflow!$A:$Q,8,0),""))</f>
        <v/>
      </c>
      <c r="U72" s="21" t="str">
        <f t="shared" si="1"/>
        <v/>
      </c>
      <c r="V72" t="str">
        <f t="shared" si="2"/>
        <v/>
      </c>
    </row>
    <row r="73" spans="1:22" ht="15" customHeight="1" x14ac:dyDescent="0.35">
      <c r="A73" s="22"/>
      <c r="B73" s="22"/>
      <c r="C73" s="23"/>
      <c r="D73" t="str">
        <f>IF(C73&lt;&gt;"",IFERROR(VLOOKUP(C73,PO_Workflow!$A:$Q,10,0),""),IF(E73="","","PO-"&amp;TEXT(ROW()-2,"0000")))</f>
        <v/>
      </c>
      <c r="E73" s="16" t="str">
        <f>IF(C73="","",IFERROR(VLOOKUP(C73,PO_Workflow!$A:$Q,3,0),""))</f>
        <v/>
      </c>
      <c r="F73" s="16" t="str">
        <f>IF(C73="","",IFERROR(VLOOKUP(C73,PO_Workflow!$A:$Q,3,0),""))</f>
        <v/>
      </c>
      <c r="G73" s="16" t="str">
        <f>IF(C73="","",IFERROR(VLOOKUP(C73,PO_Workflow!$A:$Q,16,0),""))</f>
        <v/>
      </c>
      <c r="H73" s="16" t="str">
        <f>IF(C73="","",IFERROR(VLOOKUP(C73,PO_Workflow!$A:$Q,5,0),""))</f>
        <v/>
      </c>
      <c r="I73" s="16" t="str">
        <f>IF(C73="","",IFERROR(VLOOKUP(C73,PO_Workflow!$A:$Q,6,0),""))</f>
        <v/>
      </c>
      <c r="J73" s="17" t="str">
        <f>IF(C73="","",IFERROR(VLOOKUP(C73,PO_Workflow!$A:$Q,11,0),""))</f>
        <v/>
      </c>
      <c r="K73" s="17" t="str">
        <f>IF(C73="","",IFERROR(VLOOKUP(C73,PO_Workflow!$A:$Q,12,0),""))</f>
        <v/>
      </c>
      <c r="L73" s="17" t="str">
        <f>IF(C73="","",IFERROR(VLOOKUP(C73,PO_Workflow!$A:$Q,13,0),""))</f>
        <v/>
      </c>
      <c r="M73" s="18" t="str">
        <f t="shared" si="0"/>
        <v/>
      </c>
      <c r="O73" s="19" t="str">
        <f>IF(C73="","",IFERROR(VLOOKUP(C73,PO_Workflow!$A:$Q,7,0),""))</f>
        <v/>
      </c>
      <c r="P73" s="19"/>
      <c r="Q73" s="16" t="str">
        <f>IF(C73="","",IFERROR(VLOOKUP(C73,PO_Workflow!$A:$Q,14,0),""))</f>
        <v/>
      </c>
      <c r="R73" s="20" t="str">
        <f>IF(C73="","",IFERROR(VLOOKUP(C73,PO_Workflow!$A:$Q,15,0),""))</f>
        <v/>
      </c>
      <c r="T73" s="16" t="str">
        <f>IF(C73="","",IFERROR(VLOOKUP(C73,PO_Workflow!$A:$Q,8,0),""))</f>
        <v/>
      </c>
      <c r="U73" s="21" t="str">
        <f t="shared" si="1"/>
        <v/>
      </c>
      <c r="V73" t="str">
        <f t="shared" si="2"/>
        <v/>
      </c>
    </row>
    <row r="74" spans="1:22" ht="15" customHeight="1" x14ac:dyDescent="0.35">
      <c r="A74" s="22"/>
      <c r="B74" s="22"/>
      <c r="C74" s="23"/>
      <c r="D74" t="str">
        <f>IF(C74&lt;&gt;"",IFERROR(VLOOKUP(C74,PO_Workflow!$A:$Q,10,0),""),IF(E74="","","PO-"&amp;TEXT(ROW()-2,"0000")))</f>
        <v/>
      </c>
      <c r="E74" s="16" t="str">
        <f>IF(C74="","",IFERROR(VLOOKUP(C74,PO_Workflow!$A:$Q,3,0),""))</f>
        <v/>
      </c>
      <c r="F74" s="16" t="str">
        <f>IF(C74="","",IFERROR(VLOOKUP(C74,PO_Workflow!$A:$Q,3,0),""))</f>
        <v/>
      </c>
      <c r="G74" s="16" t="str">
        <f>IF(C74="","",IFERROR(VLOOKUP(C74,PO_Workflow!$A:$Q,16,0),""))</f>
        <v/>
      </c>
      <c r="H74" s="16" t="str">
        <f>IF(C74="","",IFERROR(VLOOKUP(C74,PO_Workflow!$A:$Q,5,0),""))</f>
        <v/>
      </c>
      <c r="I74" s="16" t="str">
        <f>IF(C74="","",IFERROR(VLOOKUP(C74,PO_Workflow!$A:$Q,6,0),""))</f>
        <v/>
      </c>
      <c r="J74" s="17" t="str">
        <f>IF(C74="","",IFERROR(VLOOKUP(C74,PO_Workflow!$A:$Q,11,0),""))</f>
        <v/>
      </c>
      <c r="K74" s="17" t="str">
        <f>IF(C74="","",IFERROR(VLOOKUP(C74,PO_Workflow!$A:$Q,12,0),""))</f>
        <v/>
      </c>
      <c r="L74" s="17" t="str">
        <f>IF(C74="","",IFERROR(VLOOKUP(C74,PO_Workflow!$A:$Q,13,0),""))</f>
        <v/>
      </c>
      <c r="M74" s="18" t="str">
        <f t="shared" si="0"/>
        <v/>
      </c>
      <c r="O74" s="19" t="str">
        <f>IF(C74="","",IFERROR(VLOOKUP(C74,PO_Workflow!$A:$Q,7,0),""))</f>
        <v/>
      </c>
      <c r="P74" s="19"/>
      <c r="Q74" s="16" t="str">
        <f>IF(C74="","",IFERROR(VLOOKUP(C74,PO_Workflow!$A:$Q,14,0),""))</f>
        <v/>
      </c>
      <c r="R74" s="20" t="str">
        <f>IF(C74="","",IFERROR(VLOOKUP(C74,PO_Workflow!$A:$Q,15,0),""))</f>
        <v/>
      </c>
      <c r="T74" s="16" t="str">
        <f>IF(C74="","",IFERROR(VLOOKUP(C74,PO_Workflow!$A:$Q,8,0),""))</f>
        <v/>
      </c>
      <c r="U74" s="21" t="str">
        <f t="shared" si="1"/>
        <v/>
      </c>
      <c r="V74" t="str">
        <f t="shared" si="2"/>
        <v/>
      </c>
    </row>
    <row r="75" spans="1:22" ht="15" customHeight="1" x14ac:dyDescent="0.35">
      <c r="A75" s="22"/>
      <c r="B75" s="22"/>
      <c r="C75" s="23"/>
      <c r="D75" t="str">
        <f>IF(C75&lt;&gt;"",IFERROR(VLOOKUP(C75,PO_Workflow!$A:$Q,10,0),""),IF(E75="","","PO-"&amp;TEXT(ROW()-2,"0000")))</f>
        <v/>
      </c>
      <c r="E75" s="16" t="str">
        <f>IF(C75="","",IFERROR(VLOOKUP(C75,PO_Workflow!$A:$Q,3,0),""))</f>
        <v/>
      </c>
      <c r="F75" s="16" t="str">
        <f>IF(C75="","",IFERROR(VLOOKUP(C75,PO_Workflow!$A:$Q,3,0),""))</f>
        <v/>
      </c>
      <c r="G75" s="16" t="str">
        <f>IF(C75="","",IFERROR(VLOOKUP(C75,PO_Workflow!$A:$Q,16,0),""))</f>
        <v/>
      </c>
      <c r="H75" s="16" t="str">
        <f>IF(C75="","",IFERROR(VLOOKUP(C75,PO_Workflow!$A:$Q,5,0),""))</f>
        <v/>
      </c>
      <c r="I75" s="16" t="str">
        <f>IF(C75="","",IFERROR(VLOOKUP(C75,PO_Workflow!$A:$Q,6,0),""))</f>
        <v/>
      </c>
      <c r="J75" s="17" t="str">
        <f>IF(C75="","",IFERROR(VLOOKUP(C75,PO_Workflow!$A:$Q,11,0),""))</f>
        <v/>
      </c>
      <c r="K75" s="17" t="str">
        <f>IF(C75="","",IFERROR(VLOOKUP(C75,PO_Workflow!$A:$Q,12,0),""))</f>
        <v/>
      </c>
      <c r="L75" s="17" t="str">
        <f>IF(C75="","",IFERROR(VLOOKUP(C75,PO_Workflow!$A:$Q,13,0),""))</f>
        <v/>
      </c>
      <c r="M75" s="18" t="str">
        <f t="shared" si="0"/>
        <v/>
      </c>
      <c r="O75" s="19" t="str">
        <f>IF(C75="","",IFERROR(VLOOKUP(C75,PO_Workflow!$A:$Q,7,0),""))</f>
        <v/>
      </c>
      <c r="P75" s="19"/>
      <c r="Q75" s="16" t="str">
        <f>IF(C75="","",IFERROR(VLOOKUP(C75,PO_Workflow!$A:$Q,14,0),""))</f>
        <v/>
      </c>
      <c r="R75" s="20" t="str">
        <f>IF(C75="","",IFERROR(VLOOKUP(C75,PO_Workflow!$A:$Q,15,0),""))</f>
        <v/>
      </c>
      <c r="T75" s="16" t="str">
        <f>IF(C75="","",IFERROR(VLOOKUP(C75,PO_Workflow!$A:$Q,8,0),""))</f>
        <v/>
      </c>
      <c r="U75" s="21" t="str">
        <f t="shared" si="1"/>
        <v/>
      </c>
      <c r="V75" t="str">
        <f t="shared" si="2"/>
        <v/>
      </c>
    </row>
    <row r="76" spans="1:22" ht="15" customHeight="1" x14ac:dyDescent="0.35">
      <c r="A76" s="22"/>
      <c r="B76" s="22"/>
      <c r="C76" s="23"/>
      <c r="D76" t="str">
        <f>IF(C76&lt;&gt;"",IFERROR(VLOOKUP(C76,PO_Workflow!$A:$Q,10,0),""),IF(E76="","","PO-"&amp;TEXT(ROW()-2,"0000")))</f>
        <v/>
      </c>
      <c r="E76" s="16" t="str">
        <f>IF(C76="","",IFERROR(VLOOKUP(C76,PO_Workflow!$A:$Q,3,0),""))</f>
        <v/>
      </c>
      <c r="F76" s="16" t="str">
        <f>IF(C76="","",IFERROR(VLOOKUP(C76,PO_Workflow!$A:$Q,3,0),""))</f>
        <v/>
      </c>
      <c r="G76" s="16" t="str">
        <f>IF(C76="","",IFERROR(VLOOKUP(C76,PO_Workflow!$A:$Q,16,0),""))</f>
        <v/>
      </c>
      <c r="H76" s="16" t="str">
        <f>IF(C76="","",IFERROR(VLOOKUP(C76,PO_Workflow!$A:$Q,5,0),""))</f>
        <v/>
      </c>
      <c r="I76" s="16" t="str">
        <f>IF(C76="","",IFERROR(VLOOKUP(C76,PO_Workflow!$A:$Q,6,0),""))</f>
        <v/>
      </c>
      <c r="J76" s="17" t="str">
        <f>IF(C76="","",IFERROR(VLOOKUP(C76,PO_Workflow!$A:$Q,11,0),""))</f>
        <v/>
      </c>
      <c r="K76" s="17" t="str">
        <f>IF(C76="","",IFERROR(VLOOKUP(C76,PO_Workflow!$A:$Q,12,0),""))</f>
        <v/>
      </c>
      <c r="L76" s="17" t="str">
        <f>IF(C76="","",IFERROR(VLOOKUP(C76,PO_Workflow!$A:$Q,13,0),""))</f>
        <v/>
      </c>
      <c r="M76" s="18" t="str">
        <f t="shared" si="0"/>
        <v/>
      </c>
      <c r="O76" s="19" t="str">
        <f>IF(C76="","",IFERROR(VLOOKUP(C76,PO_Workflow!$A:$Q,7,0),""))</f>
        <v/>
      </c>
      <c r="P76" s="19"/>
      <c r="Q76" s="16" t="str">
        <f>IF(C76="","",IFERROR(VLOOKUP(C76,PO_Workflow!$A:$Q,14,0),""))</f>
        <v/>
      </c>
      <c r="R76" s="20" t="str">
        <f>IF(C76="","",IFERROR(VLOOKUP(C76,PO_Workflow!$A:$Q,15,0),""))</f>
        <v/>
      </c>
      <c r="T76" s="16" t="str">
        <f>IF(C76="","",IFERROR(VLOOKUP(C76,PO_Workflow!$A:$Q,8,0),""))</f>
        <v/>
      </c>
      <c r="U76" s="21" t="str">
        <f t="shared" si="1"/>
        <v/>
      </c>
      <c r="V76" t="str">
        <f t="shared" si="2"/>
        <v/>
      </c>
    </row>
    <row r="77" spans="1:22" ht="15" customHeight="1" x14ac:dyDescent="0.35">
      <c r="A77" s="22"/>
      <c r="B77" s="22"/>
      <c r="C77" s="23"/>
      <c r="D77" t="str">
        <f>IF(C77&lt;&gt;"",IFERROR(VLOOKUP(C77,PO_Workflow!$A:$Q,10,0),""),IF(E77="","","PO-"&amp;TEXT(ROW()-2,"0000")))</f>
        <v/>
      </c>
      <c r="E77" s="16" t="str">
        <f>IF(C77="","",IFERROR(VLOOKUP(C77,PO_Workflow!$A:$Q,3,0),""))</f>
        <v/>
      </c>
      <c r="F77" s="16" t="str">
        <f>IF(C77="","",IFERROR(VLOOKUP(C77,PO_Workflow!$A:$Q,3,0),""))</f>
        <v/>
      </c>
      <c r="G77" s="16" t="str">
        <f>IF(C77="","",IFERROR(VLOOKUP(C77,PO_Workflow!$A:$Q,16,0),""))</f>
        <v/>
      </c>
      <c r="H77" s="16" t="str">
        <f>IF(C77="","",IFERROR(VLOOKUP(C77,PO_Workflow!$A:$Q,5,0),""))</f>
        <v/>
      </c>
      <c r="I77" s="16" t="str">
        <f>IF(C77="","",IFERROR(VLOOKUP(C77,PO_Workflow!$A:$Q,6,0),""))</f>
        <v/>
      </c>
      <c r="J77" s="17" t="str">
        <f>IF(C77="","",IFERROR(VLOOKUP(C77,PO_Workflow!$A:$Q,11,0),""))</f>
        <v/>
      </c>
      <c r="K77" s="17" t="str">
        <f>IF(C77="","",IFERROR(VLOOKUP(C77,PO_Workflow!$A:$Q,12,0),""))</f>
        <v/>
      </c>
      <c r="L77" s="17" t="str">
        <f>IF(C77="","",IFERROR(VLOOKUP(C77,PO_Workflow!$A:$Q,13,0),""))</f>
        <v/>
      </c>
      <c r="M77" s="18" t="str">
        <f t="shared" si="0"/>
        <v/>
      </c>
      <c r="O77" s="19" t="str">
        <f>IF(C77="","",IFERROR(VLOOKUP(C77,PO_Workflow!$A:$Q,7,0),""))</f>
        <v/>
      </c>
      <c r="P77" s="19"/>
      <c r="Q77" s="16" t="str">
        <f>IF(C77="","",IFERROR(VLOOKUP(C77,PO_Workflow!$A:$Q,14,0),""))</f>
        <v/>
      </c>
      <c r="R77" s="20" t="str">
        <f>IF(C77="","",IFERROR(VLOOKUP(C77,PO_Workflow!$A:$Q,15,0),""))</f>
        <v/>
      </c>
      <c r="T77" s="16" t="str">
        <f>IF(C77="","",IFERROR(VLOOKUP(C77,PO_Workflow!$A:$Q,8,0),""))</f>
        <v/>
      </c>
      <c r="U77" s="21" t="str">
        <f t="shared" si="1"/>
        <v/>
      </c>
      <c r="V77" t="str">
        <f t="shared" si="2"/>
        <v/>
      </c>
    </row>
    <row r="78" spans="1:22" ht="15" customHeight="1" x14ac:dyDescent="0.35">
      <c r="A78" s="22"/>
      <c r="B78" s="22"/>
      <c r="C78" s="23"/>
      <c r="D78" t="str">
        <f>IF(C78&lt;&gt;"",IFERROR(VLOOKUP(C78,PO_Workflow!$A:$Q,10,0),""),IF(E78="","","PO-"&amp;TEXT(ROW()-2,"0000")))</f>
        <v/>
      </c>
      <c r="E78" s="16" t="str">
        <f>IF(C78="","",IFERROR(VLOOKUP(C78,PO_Workflow!$A:$Q,3,0),""))</f>
        <v/>
      </c>
      <c r="F78" s="16" t="str">
        <f>IF(C78="","",IFERROR(VLOOKUP(C78,PO_Workflow!$A:$Q,3,0),""))</f>
        <v/>
      </c>
      <c r="G78" s="16" t="str">
        <f>IF(C78="","",IFERROR(VLOOKUP(C78,PO_Workflow!$A:$Q,16,0),""))</f>
        <v/>
      </c>
      <c r="H78" s="16" t="str">
        <f>IF(C78="","",IFERROR(VLOOKUP(C78,PO_Workflow!$A:$Q,5,0),""))</f>
        <v/>
      </c>
      <c r="I78" s="16" t="str">
        <f>IF(C78="","",IFERROR(VLOOKUP(C78,PO_Workflow!$A:$Q,6,0),""))</f>
        <v/>
      </c>
      <c r="J78" s="17" t="str">
        <f>IF(C78="","",IFERROR(VLOOKUP(C78,PO_Workflow!$A:$Q,11,0),""))</f>
        <v/>
      </c>
      <c r="K78" s="17" t="str">
        <f>IF(C78="","",IFERROR(VLOOKUP(C78,PO_Workflow!$A:$Q,12,0),""))</f>
        <v/>
      </c>
      <c r="L78" s="17" t="str">
        <f>IF(C78="","",IFERROR(VLOOKUP(C78,PO_Workflow!$A:$Q,13,0),""))</f>
        <v/>
      </c>
      <c r="M78" s="18" t="str">
        <f t="shared" si="0"/>
        <v/>
      </c>
      <c r="O78" s="19" t="str">
        <f>IF(C78="","",IFERROR(VLOOKUP(C78,PO_Workflow!$A:$Q,7,0),""))</f>
        <v/>
      </c>
      <c r="P78" s="19"/>
      <c r="Q78" s="16" t="str">
        <f>IF(C78="","",IFERROR(VLOOKUP(C78,PO_Workflow!$A:$Q,14,0),""))</f>
        <v/>
      </c>
      <c r="R78" s="20" t="str">
        <f>IF(C78="","",IFERROR(VLOOKUP(C78,PO_Workflow!$A:$Q,15,0),""))</f>
        <v/>
      </c>
      <c r="T78" s="16" t="str">
        <f>IF(C78="","",IFERROR(VLOOKUP(C78,PO_Workflow!$A:$Q,8,0),""))</f>
        <v/>
      </c>
      <c r="U78" s="21" t="str">
        <f t="shared" si="1"/>
        <v/>
      </c>
      <c r="V78" t="str">
        <f t="shared" si="2"/>
        <v/>
      </c>
    </row>
    <row r="79" spans="1:22" ht="15" customHeight="1" x14ac:dyDescent="0.35">
      <c r="A79" s="22"/>
      <c r="B79" s="22"/>
      <c r="C79" s="23"/>
      <c r="D79" t="str">
        <f>IF(C79&lt;&gt;"",IFERROR(VLOOKUP(C79,PO_Workflow!$A:$Q,10,0),""),IF(E79="","","PO-"&amp;TEXT(ROW()-2,"0000")))</f>
        <v/>
      </c>
      <c r="E79" s="16" t="str">
        <f>IF(C79="","",IFERROR(VLOOKUP(C79,PO_Workflow!$A:$Q,3,0),""))</f>
        <v/>
      </c>
      <c r="F79" s="16" t="str">
        <f>IF(C79="","",IFERROR(VLOOKUP(C79,PO_Workflow!$A:$Q,3,0),""))</f>
        <v/>
      </c>
      <c r="G79" s="16" t="str">
        <f>IF(C79="","",IFERROR(VLOOKUP(C79,PO_Workflow!$A:$Q,16,0),""))</f>
        <v/>
      </c>
      <c r="H79" s="16" t="str">
        <f>IF(C79="","",IFERROR(VLOOKUP(C79,PO_Workflow!$A:$Q,5,0),""))</f>
        <v/>
      </c>
      <c r="I79" s="16" t="str">
        <f>IF(C79="","",IFERROR(VLOOKUP(C79,PO_Workflow!$A:$Q,6,0),""))</f>
        <v/>
      </c>
      <c r="J79" s="17" t="str">
        <f>IF(C79="","",IFERROR(VLOOKUP(C79,PO_Workflow!$A:$Q,11,0),""))</f>
        <v/>
      </c>
      <c r="K79" s="17" t="str">
        <f>IF(C79="","",IFERROR(VLOOKUP(C79,PO_Workflow!$A:$Q,12,0),""))</f>
        <v/>
      </c>
      <c r="L79" s="17" t="str">
        <f>IF(C79="","",IFERROR(VLOOKUP(C79,PO_Workflow!$A:$Q,13,0),""))</f>
        <v/>
      </c>
      <c r="M79" s="18" t="str">
        <f t="shared" si="0"/>
        <v/>
      </c>
      <c r="O79" s="19" t="str">
        <f>IF(C79="","",IFERROR(VLOOKUP(C79,PO_Workflow!$A:$Q,7,0),""))</f>
        <v/>
      </c>
      <c r="P79" s="19"/>
      <c r="Q79" s="16" t="str">
        <f>IF(C79="","",IFERROR(VLOOKUP(C79,PO_Workflow!$A:$Q,14,0),""))</f>
        <v/>
      </c>
      <c r="R79" s="20" t="str">
        <f>IF(C79="","",IFERROR(VLOOKUP(C79,PO_Workflow!$A:$Q,15,0),""))</f>
        <v/>
      </c>
      <c r="T79" s="16" t="str">
        <f>IF(C79="","",IFERROR(VLOOKUP(C79,PO_Workflow!$A:$Q,8,0),""))</f>
        <v/>
      </c>
      <c r="U79" s="21" t="str">
        <f t="shared" si="1"/>
        <v/>
      </c>
      <c r="V79" t="str">
        <f t="shared" si="2"/>
        <v/>
      </c>
    </row>
    <row r="80" spans="1:22" ht="15" customHeight="1" x14ac:dyDescent="0.35">
      <c r="A80" s="22"/>
      <c r="B80" s="22"/>
      <c r="C80" s="23"/>
      <c r="D80" t="str">
        <f>IF(C80&lt;&gt;"",IFERROR(VLOOKUP(C80,PO_Workflow!$A:$Q,10,0),""),IF(E80="","","PO-"&amp;TEXT(ROW()-2,"0000")))</f>
        <v/>
      </c>
      <c r="E80" s="16" t="str">
        <f>IF(C80="","",IFERROR(VLOOKUP(C80,PO_Workflow!$A:$Q,3,0),""))</f>
        <v/>
      </c>
      <c r="F80" s="16" t="str">
        <f>IF(C80="","",IFERROR(VLOOKUP(C80,PO_Workflow!$A:$Q,3,0),""))</f>
        <v/>
      </c>
      <c r="G80" s="16" t="str">
        <f>IF(C80="","",IFERROR(VLOOKUP(C80,PO_Workflow!$A:$Q,16,0),""))</f>
        <v/>
      </c>
      <c r="H80" s="16" t="str">
        <f>IF(C80="","",IFERROR(VLOOKUP(C80,PO_Workflow!$A:$Q,5,0),""))</f>
        <v/>
      </c>
      <c r="I80" s="16" t="str">
        <f>IF(C80="","",IFERROR(VLOOKUP(C80,PO_Workflow!$A:$Q,6,0),""))</f>
        <v/>
      </c>
      <c r="J80" s="17" t="str">
        <f>IF(C80="","",IFERROR(VLOOKUP(C80,PO_Workflow!$A:$Q,11,0),""))</f>
        <v/>
      </c>
      <c r="K80" s="17" t="str">
        <f>IF(C80="","",IFERROR(VLOOKUP(C80,PO_Workflow!$A:$Q,12,0),""))</f>
        <v/>
      </c>
      <c r="L80" s="17" t="str">
        <f>IF(C80="","",IFERROR(VLOOKUP(C80,PO_Workflow!$A:$Q,13,0),""))</f>
        <v/>
      </c>
      <c r="M80" s="18" t="str">
        <f t="shared" si="0"/>
        <v/>
      </c>
      <c r="O80" s="19" t="str">
        <f>IF(C80="","",IFERROR(VLOOKUP(C80,PO_Workflow!$A:$Q,7,0),""))</f>
        <v/>
      </c>
      <c r="P80" s="19"/>
      <c r="Q80" s="16" t="str">
        <f>IF(C80="","",IFERROR(VLOOKUP(C80,PO_Workflow!$A:$Q,14,0),""))</f>
        <v/>
      </c>
      <c r="R80" s="20" t="str">
        <f>IF(C80="","",IFERROR(VLOOKUP(C80,PO_Workflow!$A:$Q,15,0),""))</f>
        <v/>
      </c>
      <c r="T80" s="16" t="str">
        <f>IF(C80="","",IFERROR(VLOOKUP(C80,PO_Workflow!$A:$Q,8,0),""))</f>
        <v/>
      </c>
      <c r="U80" s="21" t="str">
        <f t="shared" si="1"/>
        <v/>
      </c>
      <c r="V80" t="str">
        <f t="shared" si="2"/>
        <v/>
      </c>
    </row>
    <row r="81" spans="1:22" ht="15" customHeight="1" x14ac:dyDescent="0.35">
      <c r="A81" s="22"/>
      <c r="B81" s="22"/>
      <c r="C81" s="23"/>
      <c r="D81" t="str">
        <f>IF(C81&lt;&gt;"",IFERROR(VLOOKUP(C81,PO_Workflow!$A:$Q,10,0),""),IF(E81="","","PO-"&amp;TEXT(ROW()-2,"0000")))</f>
        <v/>
      </c>
      <c r="E81" s="16" t="str">
        <f>IF(C81="","",IFERROR(VLOOKUP(C81,PO_Workflow!$A:$Q,3,0),""))</f>
        <v/>
      </c>
      <c r="F81" s="16" t="str">
        <f>IF(C81="","",IFERROR(VLOOKUP(C81,PO_Workflow!$A:$Q,3,0),""))</f>
        <v/>
      </c>
      <c r="G81" s="16" t="str">
        <f>IF(C81="","",IFERROR(VLOOKUP(C81,PO_Workflow!$A:$Q,16,0),""))</f>
        <v/>
      </c>
      <c r="H81" s="16" t="str">
        <f>IF(C81="","",IFERROR(VLOOKUP(C81,PO_Workflow!$A:$Q,5,0),""))</f>
        <v/>
      </c>
      <c r="I81" s="16" t="str">
        <f>IF(C81="","",IFERROR(VLOOKUP(C81,PO_Workflow!$A:$Q,6,0),""))</f>
        <v/>
      </c>
      <c r="J81" s="17" t="str">
        <f>IF(C81="","",IFERROR(VLOOKUP(C81,PO_Workflow!$A:$Q,11,0),""))</f>
        <v/>
      </c>
      <c r="K81" s="17" t="str">
        <f>IF(C81="","",IFERROR(VLOOKUP(C81,PO_Workflow!$A:$Q,12,0),""))</f>
        <v/>
      </c>
      <c r="L81" s="17" t="str">
        <f>IF(C81="","",IFERROR(VLOOKUP(C81,PO_Workflow!$A:$Q,13,0),""))</f>
        <v/>
      </c>
      <c r="M81" s="18" t="str">
        <f t="shared" si="0"/>
        <v/>
      </c>
      <c r="O81" s="19" t="str">
        <f>IF(C81="","",IFERROR(VLOOKUP(C81,PO_Workflow!$A:$Q,7,0),""))</f>
        <v/>
      </c>
      <c r="P81" s="19"/>
      <c r="Q81" s="16" t="str">
        <f>IF(C81="","",IFERROR(VLOOKUP(C81,PO_Workflow!$A:$Q,14,0),""))</f>
        <v/>
      </c>
      <c r="R81" s="20" t="str">
        <f>IF(C81="","",IFERROR(VLOOKUP(C81,PO_Workflow!$A:$Q,15,0),""))</f>
        <v/>
      </c>
      <c r="T81" s="16" t="str">
        <f>IF(C81="","",IFERROR(VLOOKUP(C81,PO_Workflow!$A:$Q,8,0),""))</f>
        <v/>
      </c>
      <c r="U81" s="21" t="str">
        <f t="shared" si="1"/>
        <v/>
      </c>
      <c r="V81" t="str">
        <f t="shared" si="2"/>
        <v/>
      </c>
    </row>
    <row r="82" spans="1:22" ht="15" customHeight="1" x14ac:dyDescent="0.35">
      <c r="A82" s="22"/>
      <c r="B82" s="22"/>
      <c r="C82" s="23"/>
      <c r="D82" t="str">
        <f>IF(C82&lt;&gt;"",IFERROR(VLOOKUP(C82,PO_Workflow!$A:$Q,10,0),""),IF(E82="","","PO-"&amp;TEXT(ROW()-2,"0000")))</f>
        <v/>
      </c>
      <c r="E82" s="16" t="str">
        <f>IF(C82="","",IFERROR(VLOOKUP(C82,PO_Workflow!$A:$Q,3,0),""))</f>
        <v/>
      </c>
      <c r="F82" s="16" t="str">
        <f>IF(C82="","",IFERROR(VLOOKUP(C82,PO_Workflow!$A:$Q,3,0),""))</f>
        <v/>
      </c>
      <c r="G82" s="16" t="str">
        <f>IF(C82="","",IFERROR(VLOOKUP(C82,PO_Workflow!$A:$Q,16,0),""))</f>
        <v/>
      </c>
      <c r="H82" s="16" t="str">
        <f>IF(C82="","",IFERROR(VLOOKUP(C82,PO_Workflow!$A:$Q,5,0),""))</f>
        <v/>
      </c>
      <c r="I82" s="16" t="str">
        <f>IF(C82="","",IFERROR(VLOOKUP(C82,PO_Workflow!$A:$Q,6,0),""))</f>
        <v/>
      </c>
      <c r="J82" s="17" t="str">
        <f>IF(C82="","",IFERROR(VLOOKUP(C82,PO_Workflow!$A:$Q,11,0),""))</f>
        <v/>
      </c>
      <c r="K82" s="17" t="str">
        <f>IF(C82="","",IFERROR(VLOOKUP(C82,PO_Workflow!$A:$Q,12,0),""))</f>
        <v/>
      </c>
      <c r="L82" s="17" t="str">
        <f>IF(C82="","",IFERROR(VLOOKUP(C82,PO_Workflow!$A:$Q,13,0),""))</f>
        <v/>
      </c>
      <c r="M82" s="18" t="str">
        <f t="shared" si="0"/>
        <v/>
      </c>
      <c r="O82" s="19" t="str">
        <f>IF(C82="","",IFERROR(VLOOKUP(C82,PO_Workflow!$A:$Q,7,0),""))</f>
        <v/>
      </c>
      <c r="P82" s="19"/>
      <c r="Q82" s="16" t="str">
        <f>IF(C82="","",IFERROR(VLOOKUP(C82,PO_Workflow!$A:$Q,14,0),""))</f>
        <v/>
      </c>
      <c r="R82" s="20" t="str">
        <f>IF(C82="","",IFERROR(VLOOKUP(C82,PO_Workflow!$A:$Q,15,0),""))</f>
        <v/>
      </c>
      <c r="T82" s="16" t="str">
        <f>IF(C82="","",IFERROR(VLOOKUP(C82,PO_Workflow!$A:$Q,8,0),""))</f>
        <v/>
      </c>
      <c r="U82" s="21" t="str">
        <f t="shared" si="1"/>
        <v/>
      </c>
      <c r="V82" t="str">
        <f t="shared" si="2"/>
        <v/>
      </c>
    </row>
    <row r="83" spans="1:22" ht="15" customHeight="1" x14ac:dyDescent="0.35">
      <c r="A83" s="22"/>
      <c r="B83" s="22"/>
      <c r="C83" s="23"/>
      <c r="D83" t="str">
        <f>IF(C83&lt;&gt;"",IFERROR(VLOOKUP(C83,PO_Workflow!$A:$Q,10,0),""),IF(E83="","","PO-"&amp;TEXT(ROW()-2,"0000")))</f>
        <v/>
      </c>
      <c r="E83" s="16" t="str">
        <f>IF(C83="","",IFERROR(VLOOKUP(C83,PO_Workflow!$A:$Q,3,0),""))</f>
        <v/>
      </c>
      <c r="F83" s="16" t="str">
        <f>IF(C83="","",IFERROR(VLOOKUP(C83,PO_Workflow!$A:$Q,3,0),""))</f>
        <v/>
      </c>
      <c r="G83" s="16" t="str">
        <f>IF(C83="","",IFERROR(VLOOKUP(C83,PO_Workflow!$A:$Q,16,0),""))</f>
        <v/>
      </c>
      <c r="H83" s="16" t="str">
        <f>IF(C83="","",IFERROR(VLOOKUP(C83,PO_Workflow!$A:$Q,5,0),""))</f>
        <v/>
      </c>
      <c r="I83" s="16" t="str">
        <f>IF(C83="","",IFERROR(VLOOKUP(C83,PO_Workflow!$A:$Q,6,0),""))</f>
        <v/>
      </c>
      <c r="J83" s="17" t="str">
        <f>IF(C83="","",IFERROR(VLOOKUP(C83,PO_Workflow!$A:$Q,11,0),""))</f>
        <v/>
      </c>
      <c r="K83" s="17" t="str">
        <f>IF(C83="","",IFERROR(VLOOKUP(C83,PO_Workflow!$A:$Q,12,0),""))</f>
        <v/>
      </c>
      <c r="L83" s="17" t="str">
        <f>IF(C83="","",IFERROR(VLOOKUP(C83,PO_Workflow!$A:$Q,13,0),""))</f>
        <v/>
      </c>
      <c r="M83" s="18" t="str">
        <f t="shared" si="0"/>
        <v/>
      </c>
      <c r="O83" s="19" t="str">
        <f>IF(C83="","",IFERROR(VLOOKUP(C83,PO_Workflow!$A:$Q,7,0),""))</f>
        <v/>
      </c>
      <c r="P83" s="19"/>
      <c r="Q83" s="16" t="str">
        <f>IF(C83="","",IFERROR(VLOOKUP(C83,PO_Workflow!$A:$Q,14,0),""))</f>
        <v/>
      </c>
      <c r="R83" s="20" t="str">
        <f>IF(C83="","",IFERROR(VLOOKUP(C83,PO_Workflow!$A:$Q,15,0),""))</f>
        <v/>
      </c>
      <c r="T83" s="16" t="str">
        <f>IF(C83="","",IFERROR(VLOOKUP(C83,PO_Workflow!$A:$Q,8,0),""))</f>
        <v/>
      </c>
      <c r="U83" s="21" t="str">
        <f t="shared" si="1"/>
        <v/>
      </c>
      <c r="V83" t="str">
        <f t="shared" si="2"/>
        <v/>
      </c>
    </row>
    <row r="84" spans="1:22" ht="15" customHeight="1" x14ac:dyDescent="0.35">
      <c r="A84" s="22"/>
      <c r="B84" s="22"/>
      <c r="C84" s="23"/>
      <c r="D84" t="str">
        <f>IF(C84&lt;&gt;"",IFERROR(VLOOKUP(C84,PO_Workflow!$A:$Q,10,0),""),IF(E84="","","PO-"&amp;TEXT(ROW()-2,"0000")))</f>
        <v/>
      </c>
      <c r="E84" s="16" t="str">
        <f>IF(C84="","",IFERROR(VLOOKUP(C84,PO_Workflow!$A:$Q,3,0),""))</f>
        <v/>
      </c>
      <c r="F84" s="16" t="str">
        <f>IF(C84="","",IFERROR(VLOOKUP(C84,PO_Workflow!$A:$Q,3,0),""))</f>
        <v/>
      </c>
      <c r="G84" s="16" t="str">
        <f>IF(C84="","",IFERROR(VLOOKUP(C84,PO_Workflow!$A:$Q,16,0),""))</f>
        <v/>
      </c>
      <c r="H84" s="16" t="str">
        <f>IF(C84="","",IFERROR(VLOOKUP(C84,PO_Workflow!$A:$Q,5,0),""))</f>
        <v/>
      </c>
      <c r="I84" s="16" t="str">
        <f>IF(C84="","",IFERROR(VLOOKUP(C84,PO_Workflow!$A:$Q,6,0),""))</f>
        <v/>
      </c>
      <c r="J84" s="17" t="str">
        <f>IF(C84="","",IFERROR(VLOOKUP(C84,PO_Workflow!$A:$Q,11,0),""))</f>
        <v/>
      </c>
      <c r="K84" s="17" t="str">
        <f>IF(C84="","",IFERROR(VLOOKUP(C84,PO_Workflow!$A:$Q,12,0),""))</f>
        <v/>
      </c>
      <c r="L84" s="17" t="str">
        <f>IF(C84="","",IFERROR(VLOOKUP(C84,PO_Workflow!$A:$Q,13,0),""))</f>
        <v/>
      </c>
      <c r="M84" s="18" t="str">
        <f t="shared" si="0"/>
        <v/>
      </c>
      <c r="O84" s="19" t="str">
        <f>IF(C84="","",IFERROR(VLOOKUP(C84,PO_Workflow!$A:$Q,7,0),""))</f>
        <v/>
      </c>
      <c r="P84" s="19"/>
      <c r="Q84" s="16" t="str">
        <f>IF(C84="","",IFERROR(VLOOKUP(C84,PO_Workflow!$A:$Q,14,0),""))</f>
        <v/>
      </c>
      <c r="R84" s="20" t="str">
        <f>IF(C84="","",IFERROR(VLOOKUP(C84,PO_Workflow!$A:$Q,15,0),""))</f>
        <v/>
      </c>
      <c r="T84" s="16" t="str">
        <f>IF(C84="","",IFERROR(VLOOKUP(C84,PO_Workflow!$A:$Q,8,0),""))</f>
        <v/>
      </c>
      <c r="U84" s="21" t="str">
        <f t="shared" si="1"/>
        <v/>
      </c>
      <c r="V84" t="str">
        <f t="shared" si="2"/>
        <v/>
      </c>
    </row>
    <row r="85" spans="1:22" ht="15" customHeight="1" x14ac:dyDescent="0.35">
      <c r="A85" s="22"/>
      <c r="B85" s="22"/>
      <c r="C85" s="23"/>
      <c r="D85" t="str">
        <f>IF(C85&lt;&gt;"",IFERROR(VLOOKUP(C85,PO_Workflow!$A:$Q,10,0),""),IF(E85="","","PO-"&amp;TEXT(ROW()-2,"0000")))</f>
        <v/>
      </c>
      <c r="E85" s="16" t="str">
        <f>IF(C85="","",IFERROR(VLOOKUP(C85,PO_Workflow!$A:$Q,3,0),""))</f>
        <v/>
      </c>
      <c r="F85" s="16" t="str">
        <f>IF(C85="","",IFERROR(VLOOKUP(C85,PO_Workflow!$A:$Q,3,0),""))</f>
        <v/>
      </c>
      <c r="G85" s="16" t="str">
        <f>IF(C85="","",IFERROR(VLOOKUP(C85,PO_Workflow!$A:$Q,16,0),""))</f>
        <v/>
      </c>
      <c r="H85" s="16" t="str">
        <f>IF(C85="","",IFERROR(VLOOKUP(C85,PO_Workflow!$A:$Q,5,0),""))</f>
        <v/>
      </c>
      <c r="I85" s="16" t="str">
        <f>IF(C85="","",IFERROR(VLOOKUP(C85,PO_Workflow!$A:$Q,6,0),""))</f>
        <v/>
      </c>
      <c r="J85" s="17" t="str">
        <f>IF(C85="","",IFERROR(VLOOKUP(C85,PO_Workflow!$A:$Q,11,0),""))</f>
        <v/>
      </c>
      <c r="K85" s="17" t="str">
        <f>IF(C85="","",IFERROR(VLOOKUP(C85,PO_Workflow!$A:$Q,12,0),""))</f>
        <v/>
      </c>
      <c r="L85" s="17" t="str">
        <f>IF(C85="","",IFERROR(VLOOKUP(C85,PO_Workflow!$A:$Q,13,0),""))</f>
        <v/>
      </c>
      <c r="M85" s="18" t="str">
        <f t="shared" si="0"/>
        <v/>
      </c>
      <c r="O85" s="19" t="str">
        <f>IF(C85="","",IFERROR(VLOOKUP(C85,PO_Workflow!$A:$Q,7,0),""))</f>
        <v/>
      </c>
      <c r="P85" s="19"/>
      <c r="Q85" s="16" t="str">
        <f>IF(C85="","",IFERROR(VLOOKUP(C85,PO_Workflow!$A:$Q,14,0),""))</f>
        <v/>
      </c>
      <c r="R85" s="20" t="str">
        <f>IF(C85="","",IFERROR(VLOOKUP(C85,PO_Workflow!$A:$Q,15,0),""))</f>
        <v/>
      </c>
      <c r="T85" s="16" t="str">
        <f>IF(C85="","",IFERROR(VLOOKUP(C85,PO_Workflow!$A:$Q,8,0),""))</f>
        <v/>
      </c>
      <c r="U85" s="21" t="str">
        <f t="shared" si="1"/>
        <v/>
      </c>
      <c r="V85" t="str">
        <f t="shared" si="2"/>
        <v/>
      </c>
    </row>
    <row r="86" spans="1:22" ht="15" customHeight="1" x14ac:dyDescent="0.35">
      <c r="A86" s="22"/>
      <c r="B86" s="22"/>
      <c r="C86" s="23"/>
      <c r="D86" t="str">
        <f>IF(C86&lt;&gt;"",IFERROR(VLOOKUP(C86,PO_Workflow!$A:$Q,10,0),""),IF(E86="","","PO-"&amp;TEXT(ROW()-2,"0000")))</f>
        <v/>
      </c>
      <c r="E86" s="16" t="str">
        <f>IF(C86="","",IFERROR(VLOOKUP(C86,PO_Workflow!$A:$Q,3,0),""))</f>
        <v/>
      </c>
      <c r="F86" s="16" t="str">
        <f>IF(C86="","",IFERROR(VLOOKUP(C86,PO_Workflow!$A:$Q,3,0),""))</f>
        <v/>
      </c>
      <c r="G86" s="16" t="str">
        <f>IF(C86="","",IFERROR(VLOOKUP(C86,PO_Workflow!$A:$Q,16,0),""))</f>
        <v/>
      </c>
      <c r="H86" s="16" t="str">
        <f>IF(C86="","",IFERROR(VLOOKUP(C86,PO_Workflow!$A:$Q,5,0),""))</f>
        <v/>
      </c>
      <c r="I86" s="16" t="str">
        <f>IF(C86="","",IFERROR(VLOOKUP(C86,PO_Workflow!$A:$Q,6,0),""))</f>
        <v/>
      </c>
      <c r="J86" s="17" t="str">
        <f>IF(C86="","",IFERROR(VLOOKUP(C86,PO_Workflow!$A:$Q,11,0),""))</f>
        <v/>
      </c>
      <c r="K86" s="17" t="str">
        <f>IF(C86="","",IFERROR(VLOOKUP(C86,PO_Workflow!$A:$Q,12,0),""))</f>
        <v/>
      </c>
      <c r="L86" s="17" t="str">
        <f>IF(C86="","",IFERROR(VLOOKUP(C86,PO_Workflow!$A:$Q,13,0),""))</f>
        <v/>
      </c>
      <c r="M86" s="18" t="str">
        <f t="shared" si="0"/>
        <v/>
      </c>
      <c r="O86" s="19" t="str">
        <f>IF(C86="","",IFERROR(VLOOKUP(C86,PO_Workflow!$A:$Q,7,0),""))</f>
        <v/>
      </c>
      <c r="P86" s="19"/>
      <c r="Q86" s="16" t="str">
        <f>IF(C86="","",IFERROR(VLOOKUP(C86,PO_Workflow!$A:$Q,14,0),""))</f>
        <v/>
      </c>
      <c r="R86" s="20" t="str">
        <f>IF(C86="","",IFERROR(VLOOKUP(C86,PO_Workflow!$A:$Q,15,0),""))</f>
        <v/>
      </c>
      <c r="T86" s="16" t="str">
        <f>IF(C86="","",IFERROR(VLOOKUP(C86,PO_Workflow!$A:$Q,8,0),""))</f>
        <v/>
      </c>
      <c r="U86" s="21" t="str">
        <f t="shared" si="1"/>
        <v/>
      </c>
      <c r="V86" t="str">
        <f t="shared" si="2"/>
        <v/>
      </c>
    </row>
    <row r="87" spans="1:22" ht="15" customHeight="1" x14ac:dyDescent="0.35">
      <c r="A87" s="22"/>
      <c r="B87" s="22"/>
      <c r="C87" s="23"/>
      <c r="D87" t="str">
        <f>IF(C87&lt;&gt;"",IFERROR(VLOOKUP(C87,PO_Workflow!$A:$Q,10,0),""),IF(E87="","","PO-"&amp;TEXT(ROW()-2,"0000")))</f>
        <v/>
      </c>
      <c r="E87" s="16" t="str">
        <f>IF(C87="","",IFERROR(VLOOKUP(C87,PO_Workflow!$A:$Q,3,0),""))</f>
        <v/>
      </c>
      <c r="F87" s="16" t="str">
        <f>IF(C87="","",IFERROR(VLOOKUP(C87,PO_Workflow!$A:$Q,3,0),""))</f>
        <v/>
      </c>
      <c r="G87" s="16" t="str">
        <f>IF(C87="","",IFERROR(VLOOKUP(C87,PO_Workflow!$A:$Q,16,0),""))</f>
        <v/>
      </c>
      <c r="H87" s="16" t="str">
        <f>IF(C87="","",IFERROR(VLOOKUP(C87,PO_Workflow!$A:$Q,5,0),""))</f>
        <v/>
      </c>
      <c r="I87" s="16" t="str">
        <f>IF(C87="","",IFERROR(VLOOKUP(C87,PO_Workflow!$A:$Q,6,0),""))</f>
        <v/>
      </c>
      <c r="J87" s="17" t="str">
        <f>IF(C87="","",IFERROR(VLOOKUP(C87,PO_Workflow!$A:$Q,11,0),""))</f>
        <v/>
      </c>
      <c r="K87" s="17" t="str">
        <f>IF(C87="","",IFERROR(VLOOKUP(C87,PO_Workflow!$A:$Q,12,0),""))</f>
        <v/>
      </c>
      <c r="L87" s="17" t="str">
        <f>IF(C87="","",IFERROR(VLOOKUP(C87,PO_Workflow!$A:$Q,13,0),""))</f>
        <v/>
      </c>
      <c r="M87" s="18" t="str">
        <f t="shared" si="0"/>
        <v/>
      </c>
      <c r="O87" s="19" t="str">
        <f>IF(C87="","",IFERROR(VLOOKUP(C87,PO_Workflow!$A:$Q,7,0),""))</f>
        <v/>
      </c>
      <c r="P87" s="19"/>
      <c r="Q87" s="16" t="str">
        <f>IF(C87="","",IFERROR(VLOOKUP(C87,PO_Workflow!$A:$Q,14,0),""))</f>
        <v/>
      </c>
      <c r="R87" s="20" t="str">
        <f>IF(C87="","",IFERROR(VLOOKUP(C87,PO_Workflow!$A:$Q,15,0),""))</f>
        <v/>
      </c>
      <c r="T87" s="16" t="str">
        <f>IF(C87="","",IFERROR(VLOOKUP(C87,PO_Workflow!$A:$Q,8,0),""))</f>
        <v/>
      </c>
      <c r="U87" s="21" t="str">
        <f t="shared" si="1"/>
        <v/>
      </c>
      <c r="V87" t="str">
        <f t="shared" si="2"/>
        <v/>
      </c>
    </row>
    <row r="88" spans="1:22" ht="15" customHeight="1" x14ac:dyDescent="0.35">
      <c r="A88" s="22"/>
      <c r="B88" s="22"/>
      <c r="C88" s="23"/>
      <c r="D88" t="str">
        <f>IF(C88&lt;&gt;"",IFERROR(VLOOKUP(C88,PO_Workflow!$A:$Q,10,0),""),IF(E88="","","PO-"&amp;TEXT(ROW()-2,"0000")))</f>
        <v/>
      </c>
      <c r="E88" s="16" t="str">
        <f>IF(C88="","",IFERROR(VLOOKUP(C88,PO_Workflow!$A:$Q,3,0),""))</f>
        <v/>
      </c>
      <c r="F88" s="16" t="str">
        <f>IF(C88="","",IFERROR(VLOOKUP(C88,PO_Workflow!$A:$Q,3,0),""))</f>
        <v/>
      </c>
      <c r="G88" s="16" t="str">
        <f>IF(C88="","",IFERROR(VLOOKUP(C88,PO_Workflow!$A:$Q,16,0),""))</f>
        <v/>
      </c>
      <c r="H88" s="16" t="str">
        <f>IF(C88="","",IFERROR(VLOOKUP(C88,PO_Workflow!$A:$Q,5,0),""))</f>
        <v/>
      </c>
      <c r="I88" s="16" t="str">
        <f>IF(C88="","",IFERROR(VLOOKUP(C88,PO_Workflow!$A:$Q,6,0),""))</f>
        <v/>
      </c>
      <c r="J88" s="17" t="str">
        <f>IF(C88="","",IFERROR(VLOOKUP(C88,PO_Workflow!$A:$Q,11,0),""))</f>
        <v/>
      </c>
      <c r="K88" s="17" t="str">
        <f>IF(C88="","",IFERROR(VLOOKUP(C88,PO_Workflow!$A:$Q,12,0),""))</f>
        <v/>
      </c>
      <c r="L88" s="17" t="str">
        <f>IF(C88="","",IFERROR(VLOOKUP(C88,PO_Workflow!$A:$Q,13,0),""))</f>
        <v/>
      </c>
      <c r="M88" s="18" t="str">
        <f t="shared" si="0"/>
        <v/>
      </c>
      <c r="O88" s="19" t="str">
        <f>IF(C88="","",IFERROR(VLOOKUP(C88,PO_Workflow!$A:$Q,7,0),""))</f>
        <v/>
      </c>
      <c r="P88" s="19"/>
      <c r="Q88" s="16" t="str">
        <f>IF(C88="","",IFERROR(VLOOKUP(C88,PO_Workflow!$A:$Q,14,0),""))</f>
        <v/>
      </c>
      <c r="R88" s="20" t="str">
        <f>IF(C88="","",IFERROR(VLOOKUP(C88,PO_Workflow!$A:$Q,15,0),""))</f>
        <v/>
      </c>
      <c r="T88" s="16" t="str">
        <f>IF(C88="","",IFERROR(VLOOKUP(C88,PO_Workflow!$A:$Q,8,0),""))</f>
        <v/>
      </c>
      <c r="U88" s="21" t="str">
        <f t="shared" si="1"/>
        <v/>
      </c>
      <c r="V88" t="str">
        <f t="shared" si="2"/>
        <v/>
      </c>
    </row>
    <row r="89" spans="1:22" ht="15" customHeight="1" x14ac:dyDescent="0.35">
      <c r="A89" s="22"/>
      <c r="B89" s="22"/>
      <c r="C89" s="23"/>
      <c r="D89" t="str">
        <f>IF(C89&lt;&gt;"",IFERROR(VLOOKUP(C89,PO_Workflow!$A:$Q,10,0),""),IF(E89="","","PO-"&amp;TEXT(ROW()-2,"0000")))</f>
        <v/>
      </c>
      <c r="E89" s="16" t="str">
        <f>IF(C89="","",IFERROR(VLOOKUP(C89,PO_Workflow!$A:$Q,3,0),""))</f>
        <v/>
      </c>
      <c r="F89" s="16" t="str">
        <f>IF(C89="","",IFERROR(VLOOKUP(C89,PO_Workflow!$A:$Q,3,0),""))</f>
        <v/>
      </c>
      <c r="G89" s="16" t="str">
        <f>IF(C89="","",IFERROR(VLOOKUP(C89,PO_Workflow!$A:$Q,16,0),""))</f>
        <v/>
      </c>
      <c r="H89" s="16" t="str">
        <f>IF(C89="","",IFERROR(VLOOKUP(C89,PO_Workflow!$A:$Q,5,0),""))</f>
        <v/>
      </c>
      <c r="I89" s="16" t="str">
        <f>IF(C89="","",IFERROR(VLOOKUP(C89,PO_Workflow!$A:$Q,6,0),""))</f>
        <v/>
      </c>
      <c r="J89" s="17" t="str">
        <f>IF(C89="","",IFERROR(VLOOKUP(C89,PO_Workflow!$A:$Q,11,0),""))</f>
        <v/>
      </c>
      <c r="K89" s="17" t="str">
        <f>IF(C89="","",IFERROR(VLOOKUP(C89,PO_Workflow!$A:$Q,12,0),""))</f>
        <v/>
      </c>
      <c r="L89" s="17" t="str">
        <f>IF(C89="","",IFERROR(VLOOKUP(C89,PO_Workflow!$A:$Q,13,0),""))</f>
        <v/>
      </c>
      <c r="M89" s="18" t="str">
        <f t="shared" ref="M89:M152" si="3">IF(OR(K89="",L89=""),"",((YEAR(L89)-YEAR(K89))*12)+MONTH(L89)-MONTH(K89)+1)</f>
        <v/>
      </c>
      <c r="O89" s="19" t="str">
        <f>IF(C89="","",IFERROR(VLOOKUP(C89,PO_Workflow!$A:$Q,7,0),""))</f>
        <v/>
      </c>
      <c r="P89" s="19"/>
      <c r="Q89" s="16" t="str">
        <f>IF(C89="","",IFERROR(VLOOKUP(C89,PO_Workflow!$A:$Q,14,0),""))</f>
        <v/>
      </c>
      <c r="R89" s="20" t="str">
        <f>IF(C89="","",IFERROR(VLOOKUP(C89,PO_Workflow!$A:$Q,15,0),""))</f>
        <v/>
      </c>
      <c r="T89" s="16" t="str">
        <f>IF(C89="","",IFERROR(VLOOKUP(C89,PO_Workflow!$A:$Q,8,0),""))</f>
        <v/>
      </c>
      <c r="U89" s="21" t="str">
        <f t="shared" ref="U89:U152" si="4">IF(C89="","","Ref: "&amp;C89)</f>
        <v/>
      </c>
      <c r="V89" t="str">
        <f t="shared" ref="V89:V152" si="5">IF(AND(C89="",E89=""),"",IF(OR(F89="",G89="",H89="",O89="",Q89=""),"Pending Validation",IF(AND(F89&lt;&gt;"",G89&lt;&gt;"",O89&gt;0),"Validated","Mismatch")))</f>
        <v/>
      </c>
    </row>
    <row r="90" spans="1:22" ht="15" customHeight="1" x14ac:dyDescent="0.35">
      <c r="A90" s="22"/>
      <c r="B90" s="22"/>
      <c r="C90" s="23"/>
      <c r="D90" t="str">
        <f>IF(C90&lt;&gt;"",IFERROR(VLOOKUP(C90,PO_Workflow!$A:$Q,10,0),""),IF(E90="","","PO-"&amp;TEXT(ROW()-2,"0000")))</f>
        <v/>
      </c>
      <c r="E90" s="16" t="str">
        <f>IF(C90="","",IFERROR(VLOOKUP(C90,PO_Workflow!$A:$Q,3,0),""))</f>
        <v/>
      </c>
      <c r="F90" s="16" t="str">
        <f>IF(C90="","",IFERROR(VLOOKUP(C90,PO_Workflow!$A:$Q,3,0),""))</f>
        <v/>
      </c>
      <c r="G90" s="16" t="str">
        <f>IF(C90="","",IFERROR(VLOOKUP(C90,PO_Workflow!$A:$Q,16,0),""))</f>
        <v/>
      </c>
      <c r="H90" s="16" t="str">
        <f>IF(C90="","",IFERROR(VLOOKUP(C90,PO_Workflow!$A:$Q,5,0),""))</f>
        <v/>
      </c>
      <c r="I90" s="16" t="str">
        <f>IF(C90="","",IFERROR(VLOOKUP(C90,PO_Workflow!$A:$Q,6,0),""))</f>
        <v/>
      </c>
      <c r="J90" s="17" t="str">
        <f>IF(C90="","",IFERROR(VLOOKUP(C90,PO_Workflow!$A:$Q,11,0),""))</f>
        <v/>
      </c>
      <c r="K90" s="17" t="str">
        <f>IF(C90="","",IFERROR(VLOOKUP(C90,PO_Workflow!$A:$Q,12,0),""))</f>
        <v/>
      </c>
      <c r="L90" s="17" t="str">
        <f>IF(C90="","",IFERROR(VLOOKUP(C90,PO_Workflow!$A:$Q,13,0),""))</f>
        <v/>
      </c>
      <c r="M90" s="18" t="str">
        <f t="shared" si="3"/>
        <v/>
      </c>
      <c r="O90" s="19" t="str">
        <f>IF(C90="","",IFERROR(VLOOKUP(C90,PO_Workflow!$A:$Q,7,0),""))</f>
        <v/>
      </c>
      <c r="P90" s="19"/>
      <c r="Q90" s="16" t="str">
        <f>IF(C90="","",IFERROR(VLOOKUP(C90,PO_Workflow!$A:$Q,14,0),""))</f>
        <v/>
      </c>
      <c r="R90" s="20" t="str">
        <f>IF(C90="","",IFERROR(VLOOKUP(C90,PO_Workflow!$A:$Q,15,0),""))</f>
        <v/>
      </c>
      <c r="T90" s="16" t="str">
        <f>IF(C90="","",IFERROR(VLOOKUP(C90,PO_Workflow!$A:$Q,8,0),""))</f>
        <v/>
      </c>
      <c r="U90" s="21" t="str">
        <f t="shared" si="4"/>
        <v/>
      </c>
      <c r="V90" t="str">
        <f t="shared" si="5"/>
        <v/>
      </c>
    </row>
    <row r="91" spans="1:22" ht="15" customHeight="1" x14ac:dyDescent="0.35">
      <c r="A91" s="22"/>
      <c r="B91" s="22"/>
      <c r="C91" s="23"/>
      <c r="D91" t="str">
        <f>IF(C91&lt;&gt;"",IFERROR(VLOOKUP(C91,PO_Workflow!$A:$Q,10,0),""),IF(E91="","","PO-"&amp;TEXT(ROW()-2,"0000")))</f>
        <v/>
      </c>
      <c r="E91" s="16" t="str">
        <f>IF(C91="","",IFERROR(VLOOKUP(C91,PO_Workflow!$A:$Q,3,0),""))</f>
        <v/>
      </c>
      <c r="F91" s="16" t="str">
        <f>IF(C91="","",IFERROR(VLOOKUP(C91,PO_Workflow!$A:$Q,3,0),""))</f>
        <v/>
      </c>
      <c r="G91" s="16" t="str">
        <f>IF(C91="","",IFERROR(VLOOKUP(C91,PO_Workflow!$A:$Q,16,0),""))</f>
        <v/>
      </c>
      <c r="H91" s="16" t="str">
        <f>IF(C91="","",IFERROR(VLOOKUP(C91,PO_Workflow!$A:$Q,5,0),""))</f>
        <v/>
      </c>
      <c r="I91" s="16" t="str">
        <f>IF(C91="","",IFERROR(VLOOKUP(C91,PO_Workflow!$A:$Q,6,0),""))</f>
        <v/>
      </c>
      <c r="J91" s="17" t="str">
        <f>IF(C91="","",IFERROR(VLOOKUP(C91,PO_Workflow!$A:$Q,11,0),""))</f>
        <v/>
      </c>
      <c r="K91" s="17" t="str">
        <f>IF(C91="","",IFERROR(VLOOKUP(C91,PO_Workflow!$A:$Q,12,0),""))</f>
        <v/>
      </c>
      <c r="L91" s="17" t="str">
        <f>IF(C91="","",IFERROR(VLOOKUP(C91,PO_Workflow!$A:$Q,13,0),""))</f>
        <v/>
      </c>
      <c r="M91" s="18" t="str">
        <f t="shared" si="3"/>
        <v/>
      </c>
      <c r="O91" s="19" t="str">
        <f>IF(C91="","",IFERROR(VLOOKUP(C91,PO_Workflow!$A:$Q,7,0),""))</f>
        <v/>
      </c>
      <c r="P91" s="19"/>
      <c r="Q91" s="16" t="str">
        <f>IF(C91="","",IFERROR(VLOOKUP(C91,PO_Workflow!$A:$Q,14,0),""))</f>
        <v/>
      </c>
      <c r="R91" s="20" t="str">
        <f>IF(C91="","",IFERROR(VLOOKUP(C91,PO_Workflow!$A:$Q,15,0),""))</f>
        <v/>
      </c>
      <c r="T91" s="16" t="str">
        <f>IF(C91="","",IFERROR(VLOOKUP(C91,PO_Workflow!$A:$Q,8,0),""))</f>
        <v/>
      </c>
      <c r="U91" s="21" t="str">
        <f t="shared" si="4"/>
        <v/>
      </c>
      <c r="V91" t="str">
        <f t="shared" si="5"/>
        <v/>
      </c>
    </row>
    <row r="92" spans="1:22" ht="15" customHeight="1" x14ac:dyDescent="0.35">
      <c r="A92" s="22"/>
      <c r="B92" s="22"/>
      <c r="C92" s="23"/>
      <c r="D92" t="str">
        <f>IF(C92&lt;&gt;"",IFERROR(VLOOKUP(C92,PO_Workflow!$A:$Q,10,0),""),IF(E92="","","PO-"&amp;TEXT(ROW()-2,"0000")))</f>
        <v/>
      </c>
      <c r="E92" s="16" t="str">
        <f>IF(C92="","",IFERROR(VLOOKUP(C92,PO_Workflow!$A:$Q,3,0),""))</f>
        <v/>
      </c>
      <c r="F92" s="16" t="str">
        <f>IF(C92="","",IFERROR(VLOOKUP(C92,PO_Workflow!$A:$Q,3,0),""))</f>
        <v/>
      </c>
      <c r="G92" s="16" t="str">
        <f>IF(C92="","",IFERROR(VLOOKUP(C92,PO_Workflow!$A:$Q,16,0),""))</f>
        <v/>
      </c>
      <c r="H92" s="16" t="str">
        <f>IF(C92="","",IFERROR(VLOOKUP(C92,PO_Workflow!$A:$Q,5,0),""))</f>
        <v/>
      </c>
      <c r="I92" s="16" t="str">
        <f>IF(C92="","",IFERROR(VLOOKUP(C92,PO_Workflow!$A:$Q,6,0),""))</f>
        <v/>
      </c>
      <c r="J92" s="17" t="str">
        <f>IF(C92="","",IFERROR(VLOOKUP(C92,PO_Workflow!$A:$Q,11,0),""))</f>
        <v/>
      </c>
      <c r="K92" s="17" t="str">
        <f>IF(C92="","",IFERROR(VLOOKUP(C92,PO_Workflow!$A:$Q,12,0),""))</f>
        <v/>
      </c>
      <c r="L92" s="17" t="str">
        <f>IF(C92="","",IFERROR(VLOOKUP(C92,PO_Workflow!$A:$Q,13,0),""))</f>
        <v/>
      </c>
      <c r="M92" s="18" t="str">
        <f t="shared" si="3"/>
        <v/>
      </c>
      <c r="O92" s="19" t="str">
        <f>IF(C92="","",IFERROR(VLOOKUP(C92,PO_Workflow!$A:$Q,7,0),""))</f>
        <v/>
      </c>
      <c r="P92" s="19"/>
      <c r="Q92" s="16" t="str">
        <f>IF(C92="","",IFERROR(VLOOKUP(C92,PO_Workflow!$A:$Q,14,0),""))</f>
        <v/>
      </c>
      <c r="R92" s="20" t="str">
        <f>IF(C92="","",IFERROR(VLOOKUP(C92,PO_Workflow!$A:$Q,15,0),""))</f>
        <v/>
      </c>
      <c r="T92" s="16" t="str">
        <f>IF(C92="","",IFERROR(VLOOKUP(C92,PO_Workflow!$A:$Q,8,0),""))</f>
        <v/>
      </c>
      <c r="U92" s="21" t="str">
        <f t="shared" si="4"/>
        <v/>
      </c>
      <c r="V92" t="str">
        <f t="shared" si="5"/>
        <v/>
      </c>
    </row>
    <row r="93" spans="1:22" ht="15" customHeight="1" x14ac:dyDescent="0.35">
      <c r="A93" s="22"/>
      <c r="B93" s="22"/>
      <c r="C93" s="23"/>
      <c r="D93" t="str">
        <f>IF(C93&lt;&gt;"",IFERROR(VLOOKUP(C93,PO_Workflow!$A:$Q,10,0),""),IF(E93="","","PO-"&amp;TEXT(ROW()-2,"0000")))</f>
        <v/>
      </c>
      <c r="E93" s="16" t="str">
        <f>IF(C93="","",IFERROR(VLOOKUP(C93,PO_Workflow!$A:$Q,3,0),""))</f>
        <v/>
      </c>
      <c r="F93" s="16" t="str">
        <f>IF(C93="","",IFERROR(VLOOKUP(C93,PO_Workflow!$A:$Q,3,0),""))</f>
        <v/>
      </c>
      <c r="G93" s="16" t="str">
        <f>IF(C93="","",IFERROR(VLOOKUP(C93,PO_Workflow!$A:$Q,16,0),""))</f>
        <v/>
      </c>
      <c r="H93" s="16" t="str">
        <f>IF(C93="","",IFERROR(VLOOKUP(C93,PO_Workflow!$A:$Q,5,0),""))</f>
        <v/>
      </c>
      <c r="I93" s="16" t="str">
        <f>IF(C93="","",IFERROR(VLOOKUP(C93,PO_Workflow!$A:$Q,6,0),""))</f>
        <v/>
      </c>
      <c r="J93" s="17" t="str">
        <f>IF(C93="","",IFERROR(VLOOKUP(C93,PO_Workflow!$A:$Q,11,0),""))</f>
        <v/>
      </c>
      <c r="K93" s="17" t="str">
        <f>IF(C93="","",IFERROR(VLOOKUP(C93,PO_Workflow!$A:$Q,12,0),""))</f>
        <v/>
      </c>
      <c r="L93" s="17" t="str">
        <f>IF(C93="","",IFERROR(VLOOKUP(C93,PO_Workflow!$A:$Q,13,0),""))</f>
        <v/>
      </c>
      <c r="M93" s="18" t="str">
        <f t="shared" si="3"/>
        <v/>
      </c>
      <c r="O93" s="19" t="str">
        <f>IF(C93="","",IFERROR(VLOOKUP(C93,PO_Workflow!$A:$Q,7,0),""))</f>
        <v/>
      </c>
      <c r="P93" s="19"/>
      <c r="Q93" s="16" t="str">
        <f>IF(C93="","",IFERROR(VLOOKUP(C93,PO_Workflow!$A:$Q,14,0),""))</f>
        <v/>
      </c>
      <c r="R93" s="20" t="str">
        <f>IF(C93="","",IFERROR(VLOOKUP(C93,PO_Workflow!$A:$Q,15,0),""))</f>
        <v/>
      </c>
      <c r="T93" s="16" t="str">
        <f>IF(C93="","",IFERROR(VLOOKUP(C93,PO_Workflow!$A:$Q,8,0),""))</f>
        <v/>
      </c>
      <c r="U93" s="21" t="str">
        <f t="shared" si="4"/>
        <v/>
      </c>
      <c r="V93" t="str">
        <f t="shared" si="5"/>
        <v/>
      </c>
    </row>
    <row r="94" spans="1:22" ht="15" customHeight="1" x14ac:dyDescent="0.35">
      <c r="A94" s="22"/>
      <c r="B94" s="22"/>
      <c r="C94" s="23"/>
      <c r="D94" t="str">
        <f>IF(C94&lt;&gt;"",IFERROR(VLOOKUP(C94,PO_Workflow!$A:$Q,10,0),""),IF(E94="","","PO-"&amp;TEXT(ROW()-2,"0000")))</f>
        <v/>
      </c>
      <c r="E94" s="16" t="str">
        <f>IF(C94="","",IFERROR(VLOOKUP(C94,PO_Workflow!$A:$Q,3,0),""))</f>
        <v/>
      </c>
      <c r="F94" s="16" t="str">
        <f>IF(C94="","",IFERROR(VLOOKUP(C94,PO_Workflow!$A:$Q,3,0),""))</f>
        <v/>
      </c>
      <c r="G94" s="16" t="str">
        <f>IF(C94="","",IFERROR(VLOOKUP(C94,PO_Workflow!$A:$Q,16,0),""))</f>
        <v/>
      </c>
      <c r="H94" s="16" t="str">
        <f>IF(C94="","",IFERROR(VLOOKUP(C94,PO_Workflow!$A:$Q,5,0),""))</f>
        <v/>
      </c>
      <c r="I94" s="16" t="str">
        <f>IF(C94="","",IFERROR(VLOOKUP(C94,PO_Workflow!$A:$Q,6,0),""))</f>
        <v/>
      </c>
      <c r="J94" s="17" t="str">
        <f>IF(C94="","",IFERROR(VLOOKUP(C94,PO_Workflow!$A:$Q,11,0),""))</f>
        <v/>
      </c>
      <c r="K94" s="17" t="str">
        <f>IF(C94="","",IFERROR(VLOOKUP(C94,PO_Workflow!$A:$Q,12,0),""))</f>
        <v/>
      </c>
      <c r="L94" s="17" t="str">
        <f>IF(C94="","",IFERROR(VLOOKUP(C94,PO_Workflow!$A:$Q,13,0),""))</f>
        <v/>
      </c>
      <c r="M94" s="18" t="str">
        <f t="shared" si="3"/>
        <v/>
      </c>
      <c r="O94" s="19" t="str">
        <f>IF(C94="","",IFERROR(VLOOKUP(C94,PO_Workflow!$A:$Q,7,0),""))</f>
        <v/>
      </c>
      <c r="P94" s="19"/>
      <c r="Q94" s="16" t="str">
        <f>IF(C94="","",IFERROR(VLOOKUP(C94,PO_Workflow!$A:$Q,14,0),""))</f>
        <v/>
      </c>
      <c r="R94" s="20" t="str">
        <f>IF(C94="","",IFERROR(VLOOKUP(C94,PO_Workflow!$A:$Q,15,0),""))</f>
        <v/>
      </c>
      <c r="T94" s="16" t="str">
        <f>IF(C94="","",IFERROR(VLOOKUP(C94,PO_Workflow!$A:$Q,8,0),""))</f>
        <v/>
      </c>
      <c r="U94" s="21" t="str">
        <f t="shared" si="4"/>
        <v/>
      </c>
      <c r="V94" t="str">
        <f t="shared" si="5"/>
        <v/>
      </c>
    </row>
    <row r="95" spans="1:22" ht="15" customHeight="1" x14ac:dyDescent="0.35">
      <c r="A95" s="22"/>
      <c r="B95" s="22"/>
      <c r="C95" s="23"/>
      <c r="D95" t="str">
        <f>IF(C95&lt;&gt;"",IFERROR(VLOOKUP(C95,PO_Workflow!$A:$Q,10,0),""),IF(E95="","","PO-"&amp;TEXT(ROW()-2,"0000")))</f>
        <v/>
      </c>
      <c r="E95" s="16" t="str">
        <f>IF(C95="","",IFERROR(VLOOKUP(C95,PO_Workflow!$A:$Q,3,0),""))</f>
        <v/>
      </c>
      <c r="F95" s="16" t="str">
        <f>IF(C95="","",IFERROR(VLOOKUP(C95,PO_Workflow!$A:$Q,3,0),""))</f>
        <v/>
      </c>
      <c r="G95" s="16" t="str">
        <f>IF(C95="","",IFERROR(VLOOKUP(C95,PO_Workflow!$A:$Q,16,0),""))</f>
        <v/>
      </c>
      <c r="H95" s="16" t="str">
        <f>IF(C95="","",IFERROR(VLOOKUP(C95,PO_Workflow!$A:$Q,5,0),""))</f>
        <v/>
      </c>
      <c r="I95" s="16" t="str">
        <f>IF(C95="","",IFERROR(VLOOKUP(C95,PO_Workflow!$A:$Q,6,0),""))</f>
        <v/>
      </c>
      <c r="J95" s="17" t="str">
        <f>IF(C95="","",IFERROR(VLOOKUP(C95,PO_Workflow!$A:$Q,11,0),""))</f>
        <v/>
      </c>
      <c r="K95" s="17" t="str">
        <f>IF(C95="","",IFERROR(VLOOKUP(C95,PO_Workflow!$A:$Q,12,0),""))</f>
        <v/>
      </c>
      <c r="L95" s="17" t="str">
        <f>IF(C95="","",IFERROR(VLOOKUP(C95,PO_Workflow!$A:$Q,13,0),""))</f>
        <v/>
      </c>
      <c r="M95" s="18" t="str">
        <f t="shared" si="3"/>
        <v/>
      </c>
      <c r="O95" s="19" t="str">
        <f>IF(C95="","",IFERROR(VLOOKUP(C95,PO_Workflow!$A:$Q,7,0),""))</f>
        <v/>
      </c>
      <c r="P95" s="19"/>
      <c r="Q95" s="16" t="str">
        <f>IF(C95="","",IFERROR(VLOOKUP(C95,PO_Workflow!$A:$Q,14,0),""))</f>
        <v/>
      </c>
      <c r="R95" s="20" t="str">
        <f>IF(C95="","",IFERROR(VLOOKUP(C95,PO_Workflow!$A:$Q,15,0),""))</f>
        <v/>
      </c>
      <c r="T95" s="16" t="str">
        <f>IF(C95="","",IFERROR(VLOOKUP(C95,PO_Workflow!$A:$Q,8,0),""))</f>
        <v/>
      </c>
      <c r="U95" s="21" t="str">
        <f t="shared" si="4"/>
        <v/>
      </c>
      <c r="V95" t="str">
        <f t="shared" si="5"/>
        <v/>
      </c>
    </row>
    <row r="96" spans="1:22" ht="15" customHeight="1" x14ac:dyDescent="0.35">
      <c r="A96" s="22"/>
      <c r="B96" s="22"/>
      <c r="C96" s="23"/>
      <c r="D96" t="str">
        <f>IF(C96&lt;&gt;"",IFERROR(VLOOKUP(C96,PO_Workflow!$A:$Q,10,0),""),IF(E96="","","PO-"&amp;TEXT(ROW()-2,"0000")))</f>
        <v/>
      </c>
      <c r="E96" s="16" t="str">
        <f>IF(C96="","",IFERROR(VLOOKUP(C96,PO_Workflow!$A:$Q,3,0),""))</f>
        <v/>
      </c>
      <c r="F96" s="16" t="str">
        <f>IF(C96="","",IFERROR(VLOOKUP(C96,PO_Workflow!$A:$Q,3,0),""))</f>
        <v/>
      </c>
      <c r="G96" s="16" t="str">
        <f>IF(C96="","",IFERROR(VLOOKUP(C96,PO_Workflow!$A:$Q,16,0),""))</f>
        <v/>
      </c>
      <c r="H96" s="16" t="str">
        <f>IF(C96="","",IFERROR(VLOOKUP(C96,PO_Workflow!$A:$Q,5,0),""))</f>
        <v/>
      </c>
      <c r="I96" s="16" t="str">
        <f>IF(C96="","",IFERROR(VLOOKUP(C96,PO_Workflow!$A:$Q,6,0),""))</f>
        <v/>
      </c>
      <c r="J96" s="17" t="str">
        <f>IF(C96="","",IFERROR(VLOOKUP(C96,PO_Workflow!$A:$Q,11,0),""))</f>
        <v/>
      </c>
      <c r="K96" s="17" t="str">
        <f>IF(C96="","",IFERROR(VLOOKUP(C96,PO_Workflow!$A:$Q,12,0),""))</f>
        <v/>
      </c>
      <c r="L96" s="17" t="str">
        <f>IF(C96="","",IFERROR(VLOOKUP(C96,PO_Workflow!$A:$Q,13,0),""))</f>
        <v/>
      </c>
      <c r="M96" s="18" t="str">
        <f t="shared" si="3"/>
        <v/>
      </c>
      <c r="O96" s="19" t="str">
        <f>IF(C96="","",IFERROR(VLOOKUP(C96,PO_Workflow!$A:$Q,7,0),""))</f>
        <v/>
      </c>
      <c r="P96" s="19"/>
      <c r="Q96" s="16" t="str">
        <f>IF(C96="","",IFERROR(VLOOKUP(C96,PO_Workflow!$A:$Q,14,0),""))</f>
        <v/>
      </c>
      <c r="R96" s="20" t="str">
        <f>IF(C96="","",IFERROR(VLOOKUP(C96,PO_Workflow!$A:$Q,15,0),""))</f>
        <v/>
      </c>
      <c r="T96" s="16" t="str">
        <f>IF(C96="","",IFERROR(VLOOKUP(C96,PO_Workflow!$A:$Q,8,0),""))</f>
        <v/>
      </c>
      <c r="U96" s="21" t="str">
        <f t="shared" si="4"/>
        <v/>
      </c>
      <c r="V96" t="str">
        <f t="shared" si="5"/>
        <v/>
      </c>
    </row>
    <row r="97" spans="1:22" ht="15" customHeight="1" x14ac:dyDescent="0.35">
      <c r="A97" s="22"/>
      <c r="B97" s="22"/>
      <c r="C97" s="23"/>
      <c r="D97" t="str">
        <f>IF(C97&lt;&gt;"",IFERROR(VLOOKUP(C97,PO_Workflow!$A:$Q,10,0),""),IF(E97="","","PO-"&amp;TEXT(ROW()-2,"0000")))</f>
        <v/>
      </c>
      <c r="E97" s="16" t="str">
        <f>IF(C97="","",IFERROR(VLOOKUP(C97,PO_Workflow!$A:$Q,3,0),""))</f>
        <v/>
      </c>
      <c r="F97" s="16" t="str">
        <f>IF(C97="","",IFERROR(VLOOKUP(C97,PO_Workflow!$A:$Q,3,0),""))</f>
        <v/>
      </c>
      <c r="G97" s="16" t="str">
        <f>IF(C97="","",IFERROR(VLOOKUP(C97,PO_Workflow!$A:$Q,16,0),""))</f>
        <v/>
      </c>
      <c r="H97" s="16" t="str">
        <f>IF(C97="","",IFERROR(VLOOKUP(C97,PO_Workflow!$A:$Q,5,0),""))</f>
        <v/>
      </c>
      <c r="I97" s="16" t="str">
        <f>IF(C97="","",IFERROR(VLOOKUP(C97,PO_Workflow!$A:$Q,6,0),""))</f>
        <v/>
      </c>
      <c r="J97" s="17" t="str">
        <f>IF(C97="","",IFERROR(VLOOKUP(C97,PO_Workflow!$A:$Q,11,0),""))</f>
        <v/>
      </c>
      <c r="K97" s="17" t="str">
        <f>IF(C97="","",IFERROR(VLOOKUP(C97,PO_Workflow!$A:$Q,12,0),""))</f>
        <v/>
      </c>
      <c r="L97" s="17" t="str">
        <f>IF(C97="","",IFERROR(VLOOKUP(C97,PO_Workflow!$A:$Q,13,0),""))</f>
        <v/>
      </c>
      <c r="M97" s="18" t="str">
        <f t="shared" si="3"/>
        <v/>
      </c>
      <c r="O97" s="19" t="str">
        <f>IF(C97="","",IFERROR(VLOOKUP(C97,PO_Workflow!$A:$Q,7,0),""))</f>
        <v/>
      </c>
      <c r="P97" s="19"/>
      <c r="Q97" s="16" t="str">
        <f>IF(C97="","",IFERROR(VLOOKUP(C97,PO_Workflow!$A:$Q,14,0),""))</f>
        <v/>
      </c>
      <c r="R97" s="20" t="str">
        <f>IF(C97="","",IFERROR(VLOOKUP(C97,PO_Workflow!$A:$Q,15,0),""))</f>
        <v/>
      </c>
      <c r="T97" s="16" t="str">
        <f>IF(C97="","",IFERROR(VLOOKUP(C97,PO_Workflow!$A:$Q,8,0),""))</f>
        <v/>
      </c>
      <c r="U97" s="21" t="str">
        <f t="shared" si="4"/>
        <v/>
      </c>
      <c r="V97" t="str">
        <f t="shared" si="5"/>
        <v/>
      </c>
    </row>
    <row r="98" spans="1:22" ht="15" customHeight="1" x14ac:dyDescent="0.35">
      <c r="A98" s="22"/>
      <c r="B98" s="22"/>
      <c r="C98" s="23"/>
      <c r="D98" t="str">
        <f>IF(C98&lt;&gt;"",IFERROR(VLOOKUP(C98,PO_Workflow!$A:$Q,10,0),""),IF(E98="","","PO-"&amp;TEXT(ROW()-2,"0000")))</f>
        <v/>
      </c>
      <c r="E98" s="16" t="str">
        <f>IF(C98="","",IFERROR(VLOOKUP(C98,PO_Workflow!$A:$Q,3,0),""))</f>
        <v/>
      </c>
      <c r="F98" s="16" t="str">
        <f>IF(C98="","",IFERROR(VLOOKUP(C98,PO_Workflow!$A:$Q,3,0),""))</f>
        <v/>
      </c>
      <c r="G98" s="16" t="str">
        <f>IF(C98="","",IFERROR(VLOOKUP(C98,PO_Workflow!$A:$Q,16,0),""))</f>
        <v/>
      </c>
      <c r="H98" s="16" t="str">
        <f>IF(C98="","",IFERROR(VLOOKUP(C98,PO_Workflow!$A:$Q,5,0),""))</f>
        <v/>
      </c>
      <c r="I98" s="16" t="str">
        <f>IF(C98="","",IFERROR(VLOOKUP(C98,PO_Workflow!$A:$Q,6,0),""))</f>
        <v/>
      </c>
      <c r="J98" s="17" t="str">
        <f>IF(C98="","",IFERROR(VLOOKUP(C98,PO_Workflow!$A:$Q,11,0),""))</f>
        <v/>
      </c>
      <c r="K98" s="17" t="str">
        <f>IF(C98="","",IFERROR(VLOOKUP(C98,PO_Workflow!$A:$Q,12,0),""))</f>
        <v/>
      </c>
      <c r="L98" s="17" t="str">
        <f>IF(C98="","",IFERROR(VLOOKUP(C98,PO_Workflow!$A:$Q,13,0),""))</f>
        <v/>
      </c>
      <c r="M98" s="18" t="str">
        <f t="shared" si="3"/>
        <v/>
      </c>
      <c r="O98" s="19" t="str">
        <f>IF(C98="","",IFERROR(VLOOKUP(C98,PO_Workflow!$A:$Q,7,0),""))</f>
        <v/>
      </c>
      <c r="P98" s="19"/>
      <c r="Q98" s="16" t="str">
        <f>IF(C98="","",IFERROR(VLOOKUP(C98,PO_Workflow!$A:$Q,14,0),""))</f>
        <v/>
      </c>
      <c r="R98" s="20" t="str">
        <f>IF(C98="","",IFERROR(VLOOKUP(C98,PO_Workflow!$A:$Q,15,0),""))</f>
        <v/>
      </c>
      <c r="T98" s="16" t="str">
        <f>IF(C98="","",IFERROR(VLOOKUP(C98,PO_Workflow!$A:$Q,8,0),""))</f>
        <v/>
      </c>
      <c r="U98" s="21" t="str">
        <f t="shared" si="4"/>
        <v/>
      </c>
      <c r="V98" t="str">
        <f t="shared" si="5"/>
        <v/>
      </c>
    </row>
    <row r="99" spans="1:22" ht="15" customHeight="1" x14ac:dyDescent="0.35">
      <c r="A99" s="22"/>
      <c r="B99" s="22"/>
      <c r="C99" s="23"/>
      <c r="D99" t="str">
        <f>IF(C99&lt;&gt;"",IFERROR(VLOOKUP(C99,PO_Workflow!$A:$Q,10,0),""),IF(E99="","","PO-"&amp;TEXT(ROW()-2,"0000")))</f>
        <v/>
      </c>
      <c r="E99" s="16" t="str">
        <f>IF(C99="","",IFERROR(VLOOKUP(C99,PO_Workflow!$A:$Q,3,0),""))</f>
        <v/>
      </c>
      <c r="F99" s="16" t="str">
        <f>IF(C99="","",IFERROR(VLOOKUP(C99,PO_Workflow!$A:$Q,3,0),""))</f>
        <v/>
      </c>
      <c r="G99" s="16" t="str">
        <f>IF(C99="","",IFERROR(VLOOKUP(C99,PO_Workflow!$A:$Q,16,0),""))</f>
        <v/>
      </c>
      <c r="H99" s="16" t="str">
        <f>IF(C99="","",IFERROR(VLOOKUP(C99,PO_Workflow!$A:$Q,5,0),""))</f>
        <v/>
      </c>
      <c r="I99" s="16" t="str">
        <f>IF(C99="","",IFERROR(VLOOKUP(C99,PO_Workflow!$A:$Q,6,0),""))</f>
        <v/>
      </c>
      <c r="J99" s="17" t="str">
        <f>IF(C99="","",IFERROR(VLOOKUP(C99,PO_Workflow!$A:$Q,11,0),""))</f>
        <v/>
      </c>
      <c r="K99" s="17" t="str">
        <f>IF(C99="","",IFERROR(VLOOKUP(C99,PO_Workflow!$A:$Q,12,0),""))</f>
        <v/>
      </c>
      <c r="L99" s="17" t="str">
        <f>IF(C99="","",IFERROR(VLOOKUP(C99,PO_Workflow!$A:$Q,13,0),""))</f>
        <v/>
      </c>
      <c r="M99" s="18" t="str">
        <f t="shared" si="3"/>
        <v/>
      </c>
      <c r="O99" s="19" t="str">
        <f>IF(C99="","",IFERROR(VLOOKUP(C99,PO_Workflow!$A:$Q,7,0),""))</f>
        <v/>
      </c>
      <c r="P99" s="19"/>
      <c r="Q99" s="16" t="str">
        <f>IF(C99="","",IFERROR(VLOOKUP(C99,PO_Workflow!$A:$Q,14,0),""))</f>
        <v/>
      </c>
      <c r="R99" s="20" t="str">
        <f>IF(C99="","",IFERROR(VLOOKUP(C99,PO_Workflow!$A:$Q,15,0),""))</f>
        <v/>
      </c>
      <c r="T99" s="16" t="str">
        <f>IF(C99="","",IFERROR(VLOOKUP(C99,PO_Workflow!$A:$Q,8,0),""))</f>
        <v/>
      </c>
      <c r="U99" s="21" t="str">
        <f t="shared" si="4"/>
        <v/>
      </c>
      <c r="V99" t="str">
        <f t="shared" si="5"/>
        <v/>
      </c>
    </row>
    <row r="100" spans="1:22" ht="15" customHeight="1" x14ac:dyDescent="0.35">
      <c r="A100" s="22"/>
      <c r="B100" s="22"/>
      <c r="C100" s="23"/>
      <c r="D100" t="str">
        <f>IF(C100&lt;&gt;"",IFERROR(VLOOKUP(C100,PO_Workflow!$A:$Q,10,0),""),IF(E100="","","PO-"&amp;TEXT(ROW()-2,"0000")))</f>
        <v/>
      </c>
      <c r="E100" s="16" t="str">
        <f>IF(C100="","",IFERROR(VLOOKUP(C100,PO_Workflow!$A:$Q,3,0),""))</f>
        <v/>
      </c>
      <c r="F100" s="16" t="str">
        <f>IF(C100="","",IFERROR(VLOOKUP(C100,PO_Workflow!$A:$Q,3,0),""))</f>
        <v/>
      </c>
      <c r="G100" s="16" t="str">
        <f>IF(C100="","",IFERROR(VLOOKUP(C100,PO_Workflow!$A:$Q,16,0),""))</f>
        <v/>
      </c>
      <c r="H100" s="16" t="str">
        <f>IF(C100="","",IFERROR(VLOOKUP(C100,PO_Workflow!$A:$Q,5,0),""))</f>
        <v/>
      </c>
      <c r="I100" s="16" t="str">
        <f>IF(C100="","",IFERROR(VLOOKUP(C100,PO_Workflow!$A:$Q,6,0),""))</f>
        <v/>
      </c>
      <c r="J100" s="17" t="str">
        <f>IF(C100="","",IFERROR(VLOOKUP(C100,PO_Workflow!$A:$Q,11,0),""))</f>
        <v/>
      </c>
      <c r="K100" s="17" t="str">
        <f>IF(C100="","",IFERROR(VLOOKUP(C100,PO_Workflow!$A:$Q,12,0),""))</f>
        <v/>
      </c>
      <c r="L100" s="17" t="str">
        <f>IF(C100="","",IFERROR(VLOOKUP(C100,PO_Workflow!$A:$Q,13,0),""))</f>
        <v/>
      </c>
      <c r="M100" s="18" t="str">
        <f t="shared" si="3"/>
        <v/>
      </c>
      <c r="O100" s="19" t="str">
        <f>IF(C100="","",IFERROR(VLOOKUP(C100,PO_Workflow!$A:$Q,7,0),""))</f>
        <v/>
      </c>
      <c r="P100" s="19"/>
      <c r="Q100" s="16" t="str">
        <f>IF(C100="","",IFERROR(VLOOKUP(C100,PO_Workflow!$A:$Q,14,0),""))</f>
        <v/>
      </c>
      <c r="R100" s="20" t="str">
        <f>IF(C100="","",IFERROR(VLOOKUP(C100,PO_Workflow!$A:$Q,15,0),""))</f>
        <v/>
      </c>
      <c r="T100" s="16" t="str">
        <f>IF(C100="","",IFERROR(VLOOKUP(C100,PO_Workflow!$A:$Q,8,0),""))</f>
        <v/>
      </c>
      <c r="U100" s="21" t="str">
        <f t="shared" si="4"/>
        <v/>
      </c>
      <c r="V100" t="str">
        <f t="shared" si="5"/>
        <v/>
      </c>
    </row>
    <row r="101" spans="1:22" ht="15" customHeight="1" x14ac:dyDescent="0.35">
      <c r="A101" s="22"/>
      <c r="B101" s="22"/>
      <c r="C101" s="23"/>
      <c r="D101" t="str">
        <f>IF(C101&lt;&gt;"",IFERROR(VLOOKUP(C101,PO_Workflow!$A:$Q,10,0),""),IF(E101="","","PO-"&amp;TEXT(ROW()-2,"0000")))</f>
        <v/>
      </c>
      <c r="E101" s="16" t="str">
        <f>IF(C101="","",IFERROR(VLOOKUP(C101,PO_Workflow!$A:$Q,3,0),""))</f>
        <v/>
      </c>
      <c r="F101" s="16" t="str">
        <f>IF(C101="","",IFERROR(VLOOKUP(C101,PO_Workflow!$A:$Q,3,0),""))</f>
        <v/>
      </c>
      <c r="G101" s="16" t="str">
        <f>IF(C101="","",IFERROR(VLOOKUP(C101,PO_Workflow!$A:$Q,16,0),""))</f>
        <v/>
      </c>
      <c r="H101" s="16" t="str">
        <f>IF(C101="","",IFERROR(VLOOKUP(C101,PO_Workflow!$A:$Q,5,0),""))</f>
        <v/>
      </c>
      <c r="I101" s="16" t="str">
        <f>IF(C101="","",IFERROR(VLOOKUP(C101,PO_Workflow!$A:$Q,6,0),""))</f>
        <v/>
      </c>
      <c r="J101" s="17" t="str">
        <f>IF(C101="","",IFERROR(VLOOKUP(C101,PO_Workflow!$A:$Q,11,0),""))</f>
        <v/>
      </c>
      <c r="K101" s="17" t="str">
        <f>IF(C101="","",IFERROR(VLOOKUP(C101,PO_Workflow!$A:$Q,12,0),""))</f>
        <v/>
      </c>
      <c r="L101" s="17" t="str">
        <f>IF(C101="","",IFERROR(VLOOKUP(C101,PO_Workflow!$A:$Q,13,0),""))</f>
        <v/>
      </c>
      <c r="M101" s="18" t="str">
        <f t="shared" si="3"/>
        <v/>
      </c>
      <c r="O101" s="19" t="str">
        <f>IF(C101="","",IFERROR(VLOOKUP(C101,PO_Workflow!$A:$Q,7,0),""))</f>
        <v/>
      </c>
      <c r="P101" s="19"/>
      <c r="Q101" s="16" t="str">
        <f>IF(C101="","",IFERROR(VLOOKUP(C101,PO_Workflow!$A:$Q,14,0),""))</f>
        <v/>
      </c>
      <c r="R101" s="20" t="str">
        <f>IF(C101="","",IFERROR(VLOOKUP(C101,PO_Workflow!$A:$Q,15,0),""))</f>
        <v/>
      </c>
      <c r="T101" s="16" t="str">
        <f>IF(C101="","",IFERROR(VLOOKUP(C101,PO_Workflow!$A:$Q,8,0),""))</f>
        <v/>
      </c>
      <c r="U101" s="21" t="str">
        <f t="shared" si="4"/>
        <v/>
      </c>
      <c r="V101" t="str">
        <f t="shared" si="5"/>
        <v/>
      </c>
    </row>
    <row r="102" spans="1:22" ht="15" customHeight="1" x14ac:dyDescent="0.35">
      <c r="A102" s="22"/>
      <c r="B102" s="22"/>
      <c r="C102" s="23"/>
      <c r="D102" t="str">
        <f>IF(C102&lt;&gt;"",IFERROR(VLOOKUP(C102,PO_Workflow!$A:$Q,10,0),""),IF(E102="","","PO-"&amp;TEXT(ROW()-2,"0000")))</f>
        <v/>
      </c>
      <c r="E102" s="16" t="str">
        <f>IF(C102="","",IFERROR(VLOOKUP(C102,PO_Workflow!$A:$Q,3,0),""))</f>
        <v/>
      </c>
      <c r="F102" s="16" t="str">
        <f>IF(C102="","",IFERROR(VLOOKUP(C102,PO_Workflow!$A:$Q,3,0),""))</f>
        <v/>
      </c>
      <c r="G102" s="16" t="str">
        <f>IF(C102="","",IFERROR(VLOOKUP(C102,PO_Workflow!$A:$Q,16,0),""))</f>
        <v/>
      </c>
      <c r="H102" s="16" t="str">
        <f>IF(C102="","",IFERROR(VLOOKUP(C102,PO_Workflow!$A:$Q,5,0),""))</f>
        <v/>
      </c>
      <c r="I102" s="16" t="str">
        <f>IF(C102="","",IFERROR(VLOOKUP(C102,PO_Workflow!$A:$Q,6,0),""))</f>
        <v/>
      </c>
      <c r="J102" s="17" t="str">
        <f>IF(C102="","",IFERROR(VLOOKUP(C102,PO_Workflow!$A:$Q,11,0),""))</f>
        <v/>
      </c>
      <c r="K102" s="17" t="str">
        <f>IF(C102="","",IFERROR(VLOOKUP(C102,PO_Workflow!$A:$Q,12,0),""))</f>
        <v/>
      </c>
      <c r="L102" s="17" t="str">
        <f>IF(C102="","",IFERROR(VLOOKUP(C102,PO_Workflow!$A:$Q,13,0),""))</f>
        <v/>
      </c>
      <c r="M102" s="18" t="str">
        <f t="shared" si="3"/>
        <v/>
      </c>
      <c r="O102" s="19" t="str">
        <f>IF(C102="","",IFERROR(VLOOKUP(C102,PO_Workflow!$A:$Q,7,0),""))</f>
        <v/>
      </c>
      <c r="P102" s="19"/>
      <c r="Q102" s="16" t="str">
        <f>IF(C102="","",IFERROR(VLOOKUP(C102,PO_Workflow!$A:$Q,14,0),""))</f>
        <v/>
      </c>
      <c r="R102" s="20" t="str">
        <f>IF(C102="","",IFERROR(VLOOKUP(C102,PO_Workflow!$A:$Q,15,0),""))</f>
        <v/>
      </c>
      <c r="T102" s="16" t="str">
        <f>IF(C102="","",IFERROR(VLOOKUP(C102,PO_Workflow!$A:$Q,8,0),""))</f>
        <v/>
      </c>
      <c r="U102" s="21" t="str">
        <f t="shared" si="4"/>
        <v/>
      </c>
      <c r="V102" t="str">
        <f t="shared" si="5"/>
        <v/>
      </c>
    </row>
    <row r="103" spans="1:22" ht="15" customHeight="1" x14ac:dyDescent="0.35">
      <c r="A103" s="22"/>
      <c r="B103" s="22"/>
      <c r="C103" s="23"/>
      <c r="D103" t="str">
        <f>IF(C103&lt;&gt;"",IFERROR(VLOOKUP(C103,PO_Workflow!$A:$Q,10,0),""),IF(E103="","","PO-"&amp;TEXT(ROW()-2,"0000")))</f>
        <v/>
      </c>
      <c r="E103" s="16" t="str">
        <f>IF(C103="","",IFERROR(VLOOKUP(C103,PO_Workflow!$A:$Q,3,0),""))</f>
        <v/>
      </c>
      <c r="F103" s="16" t="str">
        <f>IF(C103="","",IFERROR(VLOOKUP(C103,PO_Workflow!$A:$Q,3,0),""))</f>
        <v/>
      </c>
      <c r="G103" s="16" t="str">
        <f>IF(C103="","",IFERROR(VLOOKUP(C103,PO_Workflow!$A:$Q,16,0),""))</f>
        <v/>
      </c>
      <c r="H103" s="16" t="str">
        <f>IF(C103="","",IFERROR(VLOOKUP(C103,PO_Workflow!$A:$Q,5,0),""))</f>
        <v/>
      </c>
      <c r="I103" s="16" t="str">
        <f>IF(C103="","",IFERROR(VLOOKUP(C103,PO_Workflow!$A:$Q,6,0),""))</f>
        <v/>
      </c>
      <c r="J103" s="17" t="str">
        <f>IF(C103="","",IFERROR(VLOOKUP(C103,PO_Workflow!$A:$Q,11,0),""))</f>
        <v/>
      </c>
      <c r="K103" s="17" t="str">
        <f>IF(C103="","",IFERROR(VLOOKUP(C103,PO_Workflow!$A:$Q,12,0),""))</f>
        <v/>
      </c>
      <c r="L103" s="17" t="str">
        <f>IF(C103="","",IFERROR(VLOOKUP(C103,PO_Workflow!$A:$Q,13,0),""))</f>
        <v/>
      </c>
      <c r="M103" s="18" t="str">
        <f t="shared" si="3"/>
        <v/>
      </c>
      <c r="O103" s="19" t="str">
        <f>IF(C103="","",IFERROR(VLOOKUP(C103,PO_Workflow!$A:$Q,7,0),""))</f>
        <v/>
      </c>
      <c r="P103" s="19"/>
      <c r="Q103" s="16" t="str">
        <f>IF(C103="","",IFERROR(VLOOKUP(C103,PO_Workflow!$A:$Q,14,0),""))</f>
        <v/>
      </c>
      <c r="R103" s="20" t="str">
        <f>IF(C103="","",IFERROR(VLOOKUP(C103,PO_Workflow!$A:$Q,15,0),""))</f>
        <v/>
      </c>
      <c r="T103" s="16" t="str">
        <f>IF(C103="","",IFERROR(VLOOKUP(C103,PO_Workflow!$A:$Q,8,0),""))</f>
        <v/>
      </c>
      <c r="U103" s="21" t="str">
        <f t="shared" si="4"/>
        <v/>
      </c>
      <c r="V103" t="str">
        <f t="shared" si="5"/>
        <v/>
      </c>
    </row>
    <row r="104" spans="1:22" ht="15" customHeight="1" x14ac:dyDescent="0.35">
      <c r="A104" s="22"/>
      <c r="B104" s="22"/>
      <c r="C104" s="23"/>
      <c r="D104" t="str">
        <f>IF(C104&lt;&gt;"",IFERROR(VLOOKUP(C104,PO_Workflow!$A:$Q,10,0),""),IF(E104="","","PO-"&amp;TEXT(ROW()-2,"0000")))</f>
        <v/>
      </c>
      <c r="E104" s="16" t="str">
        <f>IF(C104="","",IFERROR(VLOOKUP(C104,PO_Workflow!$A:$Q,3,0),""))</f>
        <v/>
      </c>
      <c r="F104" s="16" t="str">
        <f>IF(C104="","",IFERROR(VLOOKUP(C104,PO_Workflow!$A:$Q,3,0),""))</f>
        <v/>
      </c>
      <c r="G104" s="16" t="str">
        <f>IF(C104="","",IFERROR(VLOOKUP(C104,PO_Workflow!$A:$Q,16,0),""))</f>
        <v/>
      </c>
      <c r="H104" s="16" t="str">
        <f>IF(C104="","",IFERROR(VLOOKUP(C104,PO_Workflow!$A:$Q,5,0),""))</f>
        <v/>
      </c>
      <c r="I104" s="16" t="str">
        <f>IF(C104="","",IFERROR(VLOOKUP(C104,PO_Workflow!$A:$Q,6,0),""))</f>
        <v/>
      </c>
      <c r="J104" s="17" t="str">
        <f>IF(C104="","",IFERROR(VLOOKUP(C104,PO_Workflow!$A:$Q,11,0),""))</f>
        <v/>
      </c>
      <c r="K104" s="17" t="str">
        <f>IF(C104="","",IFERROR(VLOOKUP(C104,PO_Workflow!$A:$Q,12,0),""))</f>
        <v/>
      </c>
      <c r="L104" s="17" t="str">
        <f>IF(C104="","",IFERROR(VLOOKUP(C104,PO_Workflow!$A:$Q,13,0),""))</f>
        <v/>
      </c>
      <c r="M104" s="18" t="str">
        <f t="shared" si="3"/>
        <v/>
      </c>
      <c r="O104" s="19" t="str">
        <f>IF(C104="","",IFERROR(VLOOKUP(C104,PO_Workflow!$A:$Q,7,0),""))</f>
        <v/>
      </c>
      <c r="P104" s="19"/>
      <c r="Q104" s="16" t="str">
        <f>IF(C104="","",IFERROR(VLOOKUP(C104,PO_Workflow!$A:$Q,14,0),""))</f>
        <v/>
      </c>
      <c r="R104" s="20" t="str">
        <f>IF(C104="","",IFERROR(VLOOKUP(C104,PO_Workflow!$A:$Q,15,0),""))</f>
        <v/>
      </c>
      <c r="T104" s="16" t="str">
        <f>IF(C104="","",IFERROR(VLOOKUP(C104,PO_Workflow!$A:$Q,8,0),""))</f>
        <v/>
      </c>
      <c r="U104" s="21" t="str">
        <f t="shared" si="4"/>
        <v/>
      </c>
      <c r="V104" t="str">
        <f t="shared" si="5"/>
        <v/>
      </c>
    </row>
    <row r="105" spans="1:22" ht="15" customHeight="1" x14ac:dyDescent="0.35">
      <c r="A105" s="22"/>
      <c r="B105" s="22"/>
      <c r="C105" s="23"/>
      <c r="D105" t="str">
        <f>IF(C105&lt;&gt;"",IFERROR(VLOOKUP(C105,PO_Workflow!$A:$Q,10,0),""),IF(E105="","","PO-"&amp;TEXT(ROW()-2,"0000")))</f>
        <v/>
      </c>
      <c r="E105" s="16" t="str">
        <f>IF(C105="","",IFERROR(VLOOKUP(C105,PO_Workflow!$A:$Q,3,0),""))</f>
        <v/>
      </c>
      <c r="F105" s="16" t="str">
        <f>IF(C105="","",IFERROR(VLOOKUP(C105,PO_Workflow!$A:$Q,3,0),""))</f>
        <v/>
      </c>
      <c r="G105" s="16" t="str">
        <f>IF(C105="","",IFERROR(VLOOKUP(C105,PO_Workflow!$A:$Q,16,0),""))</f>
        <v/>
      </c>
      <c r="H105" s="16" t="str">
        <f>IF(C105="","",IFERROR(VLOOKUP(C105,PO_Workflow!$A:$Q,5,0),""))</f>
        <v/>
      </c>
      <c r="I105" s="16" t="str">
        <f>IF(C105="","",IFERROR(VLOOKUP(C105,PO_Workflow!$A:$Q,6,0),""))</f>
        <v/>
      </c>
      <c r="J105" s="17" t="str">
        <f>IF(C105="","",IFERROR(VLOOKUP(C105,PO_Workflow!$A:$Q,11,0),""))</f>
        <v/>
      </c>
      <c r="K105" s="17" t="str">
        <f>IF(C105="","",IFERROR(VLOOKUP(C105,PO_Workflow!$A:$Q,12,0),""))</f>
        <v/>
      </c>
      <c r="L105" s="17" t="str">
        <f>IF(C105="","",IFERROR(VLOOKUP(C105,PO_Workflow!$A:$Q,13,0),""))</f>
        <v/>
      </c>
      <c r="M105" s="18" t="str">
        <f t="shared" si="3"/>
        <v/>
      </c>
      <c r="O105" s="19" t="str">
        <f>IF(C105="","",IFERROR(VLOOKUP(C105,PO_Workflow!$A:$Q,7,0),""))</f>
        <v/>
      </c>
      <c r="P105" s="19"/>
      <c r="Q105" s="16" t="str">
        <f>IF(C105="","",IFERROR(VLOOKUP(C105,PO_Workflow!$A:$Q,14,0),""))</f>
        <v/>
      </c>
      <c r="R105" s="20" t="str">
        <f>IF(C105="","",IFERROR(VLOOKUP(C105,PO_Workflow!$A:$Q,15,0),""))</f>
        <v/>
      </c>
      <c r="T105" s="16" t="str">
        <f>IF(C105="","",IFERROR(VLOOKUP(C105,PO_Workflow!$A:$Q,8,0),""))</f>
        <v/>
      </c>
      <c r="U105" s="21" t="str">
        <f t="shared" si="4"/>
        <v/>
      </c>
      <c r="V105" t="str">
        <f t="shared" si="5"/>
        <v/>
      </c>
    </row>
    <row r="106" spans="1:22" ht="15" customHeight="1" x14ac:dyDescent="0.35">
      <c r="A106" s="22"/>
      <c r="B106" s="22"/>
      <c r="C106" s="23"/>
      <c r="D106" t="str">
        <f>IF(C106&lt;&gt;"",IFERROR(VLOOKUP(C106,PO_Workflow!$A:$Q,10,0),""),IF(E106="","","PO-"&amp;TEXT(ROW()-2,"0000")))</f>
        <v/>
      </c>
      <c r="E106" s="16" t="str">
        <f>IF(C106="","",IFERROR(VLOOKUP(C106,PO_Workflow!$A:$Q,3,0),""))</f>
        <v/>
      </c>
      <c r="F106" s="16" t="str">
        <f>IF(C106="","",IFERROR(VLOOKUP(C106,PO_Workflow!$A:$Q,3,0),""))</f>
        <v/>
      </c>
      <c r="G106" s="16" t="str">
        <f>IF(C106="","",IFERROR(VLOOKUP(C106,PO_Workflow!$A:$Q,16,0),""))</f>
        <v/>
      </c>
      <c r="H106" s="16" t="str">
        <f>IF(C106="","",IFERROR(VLOOKUP(C106,PO_Workflow!$A:$Q,5,0),""))</f>
        <v/>
      </c>
      <c r="I106" s="16" t="str">
        <f>IF(C106="","",IFERROR(VLOOKUP(C106,PO_Workflow!$A:$Q,6,0),""))</f>
        <v/>
      </c>
      <c r="J106" s="17" t="str">
        <f>IF(C106="","",IFERROR(VLOOKUP(C106,PO_Workflow!$A:$Q,11,0),""))</f>
        <v/>
      </c>
      <c r="K106" s="17" t="str">
        <f>IF(C106="","",IFERROR(VLOOKUP(C106,PO_Workflow!$A:$Q,12,0),""))</f>
        <v/>
      </c>
      <c r="L106" s="17" t="str">
        <f>IF(C106="","",IFERROR(VLOOKUP(C106,PO_Workflow!$A:$Q,13,0),""))</f>
        <v/>
      </c>
      <c r="M106" s="18" t="str">
        <f t="shared" si="3"/>
        <v/>
      </c>
      <c r="O106" s="19" t="str">
        <f>IF(C106="","",IFERROR(VLOOKUP(C106,PO_Workflow!$A:$Q,7,0),""))</f>
        <v/>
      </c>
      <c r="P106" s="19"/>
      <c r="Q106" s="16" t="str">
        <f>IF(C106="","",IFERROR(VLOOKUP(C106,PO_Workflow!$A:$Q,14,0),""))</f>
        <v/>
      </c>
      <c r="R106" s="20" t="str">
        <f>IF(C106="","",IFERROR(VLOOKUP(C106,PO_Workflow!$A:$Q,15,0),""))</f>
        <v/>
      </c>
      <c r="T106" s="16" t="str">
        <f>IF(C106="","",IFERROR(VLOOKUP(C106,PO_Workflow!$A:$Q,8,0),""))</f>
        <v/>
      </c>
      <c r="U106" s="21" t="str">
        <f t="shared" si="4"/>
        <v/>
      </c>
      <c r="V106" t="str">
        <f t="shared" si="5"/>
        <v/>
      </c>
    </row>
    <row r="107" spans="1:22" ht="15" customHeight="1" x14ac:dyDescent="0.35">
      <c r="A107" s="22"/>
      <c r="B107" s="22"/>
      <c r="C107" s="23"/>
      <c r="D107" t="str">
        <f>IF(C107&lt;&gt;"",IFERROR(VLOOKUP(C107,PO_Workflow!$A:$Q,10,0),""),IF(E107="","","PO-"&amp;TEXT(ROW()-2,"0000")))</f>
        <v/>
      </c>
      <c r="E107" s="16" t="str">
        <f>IF(C107="","",IFERROR(VLOOKUP(C107,PO_Workflow!$A:$Q,3,0),""))</f>
        <v/>
      </c>
      <c r="F107" s="16" t="str">
        <f>IF(C107="","",IFERROR(VLOOKUP(C107,PO_Workflow!$A:$Q,3,0),""))</f>
        <v/>
      </c>
      <c r="G107" s="16" t="str">
        <f>IF(C107="","",IFERROR(VLOOKUP(C107,PO_Workflow!$A:$Q,16,0),""))</f>
        <v/>
      </c>
      <c r="H107" s="16" t="str">
        <f>IF(C107="","",IFERROR(VLOOKUP(C107,PO_Workflow!$A:$Q,5,0),""))</f>
        <v/>
      </c>
      <c r="I107" s="16" t="str">
        <f>IF(C107="","",IFERROR(VLOOKUP(C107,PO_Workflow!$A:$Q,6,0),""))</f>
        <v/>
      </c>
      <c r="J107" s="17" t="str">
        <f>IF(C107="","",IFERROR(VLOOKUP(C107,PO_Workflow!$A:$Q,11,0),""))</f>
        <v/>
      </c>
      <c r="K107" s="17" t="str">
        <f>IF(C107="","",IFERROR(VLOOKUP(C107,PO_Workflow!$A:$Q,12,0),""))</f>
        <v/>
      </c>
      <c r="L107" s="17" t="str">
        <f>IF(C107="","",IFERROR(VLOOKUP(C107,PO_Workflow!$A:$Q,13,0),""))</f>
        <v/>
      </c>
      <c r="M107" s="18" t="str">
        <f t="shared" si="3"/>
        <v/>
      </c>
      <c r="O107" s="19" t="str">
        <f>IF(C107="","",IFERROR(VLOOKUP(C107,PO_Workflow!$A:$Q,7,0),""))</f>
        <v/>
      </c>
      <c r="P107" s="19"/>
      <c r="Q107" s="16" t="str">
        <f>IF(C107="","",IFERROR(VLOOKUP(C107,PO_Workflow!$A:$Q,14,0),""))</f>
        <v/>
      </c>
      <c r="R107" s="20" t="str">
        <f>IF(C107="","",IFERROR(VLOOKUP(C107,PO_Workflow!$A:$Q,15,0),""))</f>
        <v/>
      </c>
      <c r="T107" s="16" t="str">
        <f>IF(C107="","",IFERROR(VLOOKUP(C107,PO_Workflow!$A:$Q,8,0),""))</f>
        <v/>
      </c>
      <c r="U107" s="21" t="str">
        <f t="shared" si="4"/>
        <v/>
      </c>
      <c r="V107" t="str">
        <f t="shared" si="5"/>
        <v/>
      </c>
    </row>
    <row r="108" spans="1:22" ht="15" customHeight="1" x14ac:dyDescent="0.35">
      <c r="A108" s="22"/>
      <c r="B108" s="22"/>
      <c r="C108" s="23"/>
      <c r="D108" t="str">
        <f>IF(C108&lt;&gt;"",IFERROR(VLOOKUP(C108,PO_Workflow!$A:$Q,10,0),""),IF(E108="","","PO-"&amp;TEXT(ROW()-2,"0000")))</f>
        <v/>
      </c>
      <c r="E108" s="16" t="str">
        <f>IF(C108="","",IFERROR(VLOOKUP(C108,PO_Workflow!$A:$Q,3,0),""))</f>
        <v/>
      </c>
      <c r="F108" s="16" t="str">
        <f>IF(C108="","",IFERROR(VLOOKUP(C108,PO_Workflow!$A:$Q,3,0),""))</f>
        <v/>
      </c>
      <c r="G108" s="16" t="str">
        <f>IF(C108="","",IFERROR(VLOOKUP(C108,PO_Workflow!$A:$Q,16,0),""))</f>
        <v/>
      </c>
      <c r="H108" s="16" t="str">
        <f>IF(C108="","",IFERROR(VLOOKUP(C108,PO_Workflow!$A:$Q,5,0),""))</f>
        <v/>
      </c>
      <c r="I108" s="16" t="str">
        <f>IF(C108="","",IFERROR(VLOOKUP(C108,PO_Workflow!$A:$Q,6,0),""))</f>
        <v/>
      </c>
      <c r="J108" s="17" t="str">
        <f>IF(C108="","",IFERROR(VLOOKUP(C108,PO_Workflow!$A:$Q,11,0),""))</f>
        <v/>
      </c>
      <c r="K108" s="17" t="str">
        <f>IF(C108="","",IFERROR(VLOOKUP(C108,PO_Workflow!$A:$Q,12,0),""))</f>
        <v/>
      </c>
      <c r="L108" s="17" t="str">
        <f>IF(C108="","",IFERROR(VLOOKUP(C108,PO_Workflow!$A:$Q,13,0),""))</f>
        <v/>
      </c>
      <c r="M108" s="18" t="str">
        <f t="shared" si="3"/>
        <v/>
      </c>
      <c r="O108" s="19" t="str">
        <f>IF(C108="","",IFERROR(VLOOKUP(C108,PO_Workflow!$A:$Q,7,0),""))</f>
        <v/>
      </c>
      <c r="P108" s="19"/>
      <c r="Q108" s="16" t="str">
        <f>IF(C108="","",IFERROR(VLOOKUP(C108,PO_Workflow!$A:$Q,14,0),""))</f>
        <v/>
      </c>
      <c r="R108" s="20" t="str">
        <f>IF(C108="","",IFERROR(VLOOKUP(C108,PO_Workflow!$A:$Q,15,0),""))</f>
        <v/>
      </c>
      <c r="T108" s="16" t="str">
        <f>IF(C108="","",IFERROR(VLOOKUP(C108,PO_Workflow!$A:$Q,8,0),""))</f>
        <v/>
      </c>
      <c r="U108" s="21" t="str">
        <f t="shared" si="4"/>
        <v/>
      </c>
      <c r="V108" t="str">
        <f t="shared" si="5"/>
        <v/>
      </c>
    </row>
    <row r="109" spans="1:22" ht="15" customHeight="1" x14ac:dyDescent="0.35">
      <c r="A109" s="22"/>
      <c r="B109" s="22"/>
      <c r="C109" s="23"/>
      <c r="D109" t="str">
        <f>IF(C109&lt;&gt;"",IFERROR(VLOOKUP(C109,PO_Workflow!$A:$Q,10,0),""),IF(E109="","","PO-"&amp;TEXT(ROW()-2,"0000")))</f>
        <v/>
      </c>
      <c r="E109" s="16" t="str">
        <f>IF(C109="","",IFERROR(VLOOKUP(C109,PO_Workflow!$A:$Q,3,0),""))</f>
        <v/>
      </c>
      <c r="F109" s="16" t="str">
        <f>IF(C109="","",IFERROR(VLOOKUP(C109,PO_Workflow!$A:$Q,3,0),""))</f>
        <v/>
      </c>
      <c r="G109" s="16" t="str">
        <f>IF(C109="","",IFERROR(VLOOKUP(C109,PO_Workflow!$A:$Q,16,0),""))</f>
        <v/>
      </c>
      <c r="H109" s="16" t="str">
        <f>IF(C109="","",IFERROR(VLOOKUP(C109,PO_Workflow!$A:$Q,5,0),""))</f>
        <v/>
      </c>
      <c r="I109" s="16" t="str">
        <f>IF(C109="","",IFERROR(VLOOKUP(C109,PO_Workflow!$A:$Q,6,0),""))</f>
        <v/>
      </c>
      <c r="J109" s="17" t="str">
        <f>IF(C109="","",IFERROR(VLOOKUP(C109,PO_Workflow!$A:$Q,11,0),""))</f>
        <v/>
      </c>
      <c r="K109" s="17" t="str">
        <f>IF(C109="","",IFERROR(VLOOKUP(C109,PO_Workflow!$A:$Q,12,0),""))</f>
        <v/>
      </c>
      <c r="L109" s="17" t="str">
        <f>IF(C109="","",IFERROR(VLOOKUP(C109,PO_Workflow!$A:$Q,13,0),""))</f>
        <v/>
      </c>
      <c r="M109" s="18" t="str">
        <f t="shared" si="3"/>
        <v/>
      </c>
      <c r="O109" s="19" t="str">
        <f>IF(C109="","",IFERROR(VLOOKUP(C109,PO_Workflow!$A:$Q,7,0),""))</f>
        <v/>
      </c>
      <c r="P109" s="19"/>
      <c r="Q109" s="16" t="str">
        <f>IF(C109="","",IFERROR(VLOOKUP(C109,PO_Workflow!$A:$Q,14,0),""))</f>
        <v/>
      </c>
      <c r="R109" s="20" t="str">
        <f>IF(C109="","",IFERROR(VLOOKUP(C109,PO_Workflow!$A:$Q,15,0),""))</f>
        <v/>
      </c>
      <c r="T109" s="16" t="str">
        <f>IF(C109="","",IFERROR(VLOOKUP(C109,PO_Workflow!$A:$Q,8,0),""))</f>
        <v/>
      </c>
      <c r="U109" s="21" t="str">
        <f t="shared" si="4"/>
        <v/>
      </c>
      <c r="V109" t="str">
        <f t="shared" si="5"/>
        <v/>
      </c>
    </row>
    <row r="110" spans="1:22" ht="15" customHeight="1" x14ac:dyDescent="0.35">
      <c r="A110" s="22"/>
      <c r="B110" s="22"/>
      <c r="C110" s="23"/>
      <c r="D110" t="str">
        <f>IF(C110&lt;&gt;"",IFERROR(VLOOKUP(C110,PO_Workflow!$A:$Q,10,0),""),IF(E110="","","PO-"&amp;TEXT(ROW()-2,"0000")))</f>
        <v/>
      </c>
      <c r="E110" s="16" t="str">
        <f>IF(C110="","",IFERROR(VLOOKUP(C110,PO_Workflow!$A:$Q,3,0),""))</f>
        <v/>
      </c>
      <c r="F110" s="16" t="str">
        <f>IF(C110="","",IFERROR(VLOOKUP(C110,PO_Workflow!$A:$Q,3,0),""))</f>
        <v/>
      </c>
      <c r="G110" s="16" t="str">
        <f>IF(C110="","",IFERROR(VLOOKUP(C110,PO_Workflow!$A:$Q,16,0),""))</f>
        <v/>
      </c>
      <c r="H110" s="16" t="str">
        <f>IF(C110="","",IFERROR(VLOOKUP(C110,PO_Workflow!$A:$Q,5,0),""))</f>
        <v/>
      </c>
      <c r="I110" s="16" t="str">
        <f>IF(C110="","",IFERROR(VLOOKUP(C110,PO_Workflow!$A:$Q,6,0),""))</f>
        <v/>
      </c>
      <c r="J110" s="17" t="str">
        <f>IF(C110="","",IFERROR(VLOOKUP(C110,PO_Workflow!$A:$Q,11,0),""))</f>
        <v/>
      </c>
      <c r="K110" s="17" t="str">
        <f>IF(C110="","",IFERROR(VLOOKUP(C110,PO_Workflow!$A:$Q,12,0),""))</f>
        <v/>
      </c>
      <c r="L110" s="17" t="str">
        <f>IF(C110="","",IFERROR(VLOOKUP(C110,PO_Workflow!$A:$Q,13,0),""))</f>
        <v/>
      </c>
      <c r="M110" s="18" t="str">
        <f t="shared" si="3"/>
        <v/>
      </c>
      <c r="O110" s="19" t="str">
        <f>IF(C110="","",IFERROR(VLOOKUP(C110,PO_Workflow!$A:$Q,7,0),""))</f>
        <v/>
      </c>
      <c r="P110" s="19"/>
      <c r="Q110" s="16" t="str">
        <f>IF(C110="","",IFERROR(VLOOKUP(C110,PO_Workflow!$A:$Q,14,0),""))</f>
        <v/>
      </c>
      <c r="R110" s="20" t="str">
        <f>IF(C110="","",IFERROR(VLOOKUP(C110,PO_Workflow!$A:$Q,15,0),""))</f>
        <v/>
      </c>
      <c r="T110" s="16" t="str">
        <f>IF(C110="","",IFERROR(VLOOKUP(C110,PO_Workflow!$A:$Q,8,0),""))</f>
        <v/>
      </c>
      <c r="U110" s="21" t="str">
        <f t="shared" si="4"/>
        <v/>
      </c>
      <c r="V110" t="str">
        <f t="shared" si="5"/>
        <v/>
      </c>
    </row>
    <row r="111" spans="1:22" ht="15" customHeight="1" x14ac:dyDescent="0.35">
      <c r="A111" s="22"/>
      <c r="B111" s="22"/>
      <c r="C111" s="23"/>
      <c r="D111" t="str">
        <f>IF(C111&lt;&gt;"",IFERROR(VLOOKUP(C111,PO_Workflow!$A:$Q,10,0),""),IF(E111="","","PO-"&amp;TEXT(ROW()-2,"0000")))</f>
        <v/>
      </c>
      <c r="E111" s="16" t="str">
        <f>IF(C111="","",IFERROR(VLOOKUP(C111,PO_Workflow!$A:$Q,3,0),""))</f>
        <v/>
      </c>
      <c r="F111" s="16" t="str">
        <f>IF(C111="","",IFERROR(VLOOKUP(C111,PO_Workflow!$A:$Q,3,0),""))</f>
        <v/>
      </c>
      <c r="G111" s="16" t="str">
        <f>IF(C111="","",IFERROR(VLOOKUP(C111,PO_Workflow!$A:$Q,16,0),""))</f>
        <v/>
      </c>
      <c r="H111" s="16" t="str">
        <f>IF(C111="","",IFERROR(VLOOKUP(C111,PO_Workflow!$A:$Q,5,0),""))</f>
        <v/>
      </c>
      <c r="I111" s="16" t="str">
        <f>IF(C111="","",IFERROR(VLOOKUP(C111,PO_Workflow!$A:$Q,6,0),""))</f>
        <v/>
      </c>
      <c r="J111" s="17" t="str">
        <f>IF(C111="","",IFERROR(VLOOKUP(C111,PO_Workflow!$A:$Q,11,0),""))</f>
        <v/>
      </c>
      <c r="K111" s="17" t="str">
        <f>IF(C111="","",IFERROR(VLOOKUP(C111,PO_Workflow!$A:$Q,12,0),""))</f>
        <v/>
      </c>
      <c r="L111" s="17" t="str">
        <f>IF(C111="","",IFERROR(VLOOKUP(C111,PO_Workflow!$A:$Q,13,0),""))</f>
        <v/>
      </c>
      <c r="M111" s="18" t="str">
        <f t="shared" si="3"/>
        <v/>
      </c>
      <c r="O111" s="19" t="str">
        <f>IF(C111="","",IFERROR(VLOOKUP(C111,PO_Workflow!$A:$Q,7,0),""))</f>
        <v/>
      </c>
      <c r="P111" s="19"/>
      <c r="Q111" s="16" t="str">
        <f>IF(C111="","",IFERROR(VLOOKUP(C111,PO_Workflow!$A:$Q,14,0),""))</f>
        <v/>
      </c>
      <c r="R111" s="20" t="str">
        <f>IF(C111="","",IFERROR(VLOOKUP(C111,PO_Workflow!$A:$Q,15,0),""))</f>
        <v/>
      </c>
      <c r="T111" s="16" t="str">
        <f>IF(C111="","",IFERROR(VLOOKUP(C111,PO_Workflow!$A:$Q,8,0),""))</f>
        <v/>
      </c>
      <c r="U111" s="21" t="str">
        <f t="shared" si="4"/>
        <v/>
      </c>
      <c r="V111" t="str">
        <f t="shared" si="5"/>
        <v/>
      </c>
    </row>
    <row r="112" spans="1:22" ht="15" customHeight="1" x14ac:dyDescent="0.35">
      <c r="A112" s="22"/>
      <c r="B112" s="22"/>
      <c r="C112" s="23"/>
      <c r="D112" t="str">
        <f>IF(C112&lt;&gt;"",IFERROR(VLOOKUP(C112,PO_Workflow!$A:$Q,10,0),""),IF(E112="","","PO-"&amp;TEXT(ROW()-2,"0000")))</f>
        <v/>
      </c>
      <c r="E112" s="16" t="str">
        <f>IF(C112="","",IFERROR(VLOOKUP(C112,PO_Workflow!$A:$Q,3,0),""))</f>
        <v/>
      </c>
      <c r="F112" s="16" t="str">
        <f>IF(C112="","",IFERROR(VLOOKUP(C112,PO_Workflow!$A:$Q,3,0),""))</f>
        <v/>
      </c>
      <c r="G112" s="16" t="str">
        <f>IF(C112="","",IFERROR(VLOOKUP(C112,PO_Workflow!$A:$Q,16,0),""))</f>
        <v/>
      </c>
      <c r="H112" s="16" t="str">
        <f>IF(C112="","",IFERROR(VLOOKUP(C112,PO_Workflow!$A:$Q,5,0),""))</f>
        <v/>
      </c>
      <c r="I112" s="16" t="str">
        <f>IF(C112="","",IFERROR(VLOOKUP(C112,PO_Workflow!$A:$Q,6,0),""))</f>
        <v/>
      </c>
      <c r="J112" s="17" t="str">
        <f>IF(C112="","",IFERROR(VLOOKUP(C112,PO_Workflow!$A:$Q,11,0),""))</f>
        <v/>
      </c>
      <c r="K112" s="17" t="str">
        <f>IF(C112="","",IFERROR(VLOOKUP(C112,PO_Workflow!$A:$Q,12,0),""))</f>
        <v/>
      </c>
      <c r="L112" s="17" t="str">
        <f>IF(C112="","",IFERROR(VLOOKUP(C112,PO_Workflow!$A:$Q,13,0),""))</f>
        <v/>
      </c>
      <c r="M112" s="18" t="str">
        <f t="shared" si="3"/>
        <v/>
      </c>
      <c r="O112" s="19" t="str">
        <f>IF(C112="","",IFERROR(VLOOKUP(C112,PO_Workflow!$A:$Q,7,0),""))</f>
        <v/>
      </c>
      <c r="P112" s="19"/>
      <c r="Q112" s="16" t="str">
        <f>IF(C112="","",IFERROR(VLOOKUP(C112,PO_Workflow!$A:$Q,14,0),""))</f>
        <v/>
      </c>
      <c r="R112" s="20" t="str">
        <f>IF(C112="","",IFERROR(VLOOKUP(C112,PO_Workflow!$A:$Q,15,0),""))</f>
        <v/>
      </c>
      <c r="T112" s="16" t="str">
        <f>IF(C112="","",IFERROR(VLOOKUP(C112,PO_Workflow!$A:$Q,8,0),""))</f>
        <v/>
      </c>
      <c r="U112" s="21" t="str">
        <f t="shared" si="4"/>
        <v/>
      </c>
      <c r="V112" t="str">
        <f t="shared" si="5"/>
        <v/>
      </c>
    </row>
    <row r="113" spans="1:22" ht="15" customHeight="1" x14ac:dyDescent="0.35">
      <c r="A113" s="22"/>
      <c r="B113" s="22"/>
      <c r="C113" s="23"/>
      <c r="D113" t="str">
        <f>IF(C113&lt;&gt;"",IFERROR(VLOOKUP(C113,PO_Workflow!$A:$Q,10,0),""),IF(E113="","","PO-"&amp;TEXT(ROW()-2,"0000")))</f>
        <v/>
      </c>
      <c r="E113" s="16" t="str">
        <f>IF(C113="","",IFERROR(VLOOKUP(C113,PO_Workflow!$A:$Q,3,0),""))</f>
        <v/>
      </c>
      <c r="F113" s="16" t="str">
        <f>IF(C113="","",IFERROR(VLOOKUP(C113,PO_Workflow!$A:$Q,3,0),""))</f>
        <v/>
      </c>
      <c r="G113" s="16" t="str">
        <f>IF(C113="","",IFERROR(VLOOKUP(C113,PO_Workflow!$A:$Q,16,0),""))</f>
        <v/>
      </c>
      <c r="H113" s="16" t="str">
        <f>IF(C113="","",IFERROR(VLOOKUP(C113,PO_Workflow!$A:$Q,5,0),""))</f>
        <v/>
      </c>
      <c r="I113" s="16" t="str">
        <f>IF(C113="","",IFERROR(VLOOKUP(C113,PO_Workflow!$A:$Q,6,0),""))</f>
        <v/>
      </c>
      <c r="J113" s="17" t="str">
        <f>IF(C113="","",IFERROR(VLOOKUP(C113,PO_Workflow!$A:$Q,11,0),""))</f>
        <v/>
      </c>
      <c r="K113" s="17" t="str">
        <f>IF(C113="","",IFERROR(VLOOKUP(C113,PO_Workflow!$A:$Q,12,0),""))</f>
        <v/>
      </c>
      <c r="L113" s="17" t="str">
        <f>IF(C113="","",IFERROR(VLOOKUP(C113,PO_Workflow!$A:$Q,13,0),""))</f>
        <v/>
      </c>
      <c r="M113" s="18" t="str">
        <f t="shared" si="3"/>
        <v/>
      </c>
      <c r="O113" s="19" t="str">
        <f>IF(C113="","",IFERROR(VLOOKUP(C113,PO_Workflow!$A:$Q,7,0),""))</f>
        <v/>
      </c>
      <c r="P113" s="19"/>
      <c r="Q113" s="16" t="str">
        <f>IF(C113="","",IFERROR(VLOOKUP(C113,PO_Workflow!$A:$Q,14,0),""))</f>
        <v/>
      </c>
      <c r="R113" s="20" t="str">
        <f>IF(C113="","",IFERROR(VLOOKUP(C113,PO_Workflow!$A:$Q,15,0),""))</f>
        <v/>
      </c>
      <c r="T113" s="16" t="str">
        <f>IF(C113="","",IFERROR(VLOOKUP(C113,PO_Workflow!$A:$Q,8,0),""))</f>
        <v/>
      </c>
      <c r="U113" s="21" t="str">
        <f t="shared" si="4"/>
        <v/>
      </c>
      <c r="V113" t="str">
        <f t="shared" si="5"/>
        <v/>
      </c>
    </row>
    <row r="114" spans="1:22" ht="15" customHeight="1" x14ac:dyDescent="0.35">
      <c r="A114" s="22"/>
      <c r="B114" s="22"/>
      <c r="C114" s="23"/>
      <c r="D114" t="str">
        <f>IF(C114&lt;&gt;"",IFERROR(VLOOKUP(C114,PO_Workflow!$A:$Q,10,0),""),IF(E114="","","PO-"&amp;TEXT(ROW()-2,"0000")))</f>
        <v/>
      </c>
      <c r="E114" s="16" t="str">
        <f>IF(C114="","",IFERROR(VLOOKUP(C114,PO_Workflow!$A:$Q,3,0),""))</f>
        <v/>
      </c>
      <c r="F114" s="16" t="str">
        <f>IF(C114="","",IFERROR(VLOOKUP(C114,PO_Workflow!$A:$Q,3,0),""))</f>
        <v/>
      </c>
      <c r="G114" s="16" t="str">
        <f>IF(C114="","",IFERROR(VLOOKUP(C114,PO_Workflow!$A:$Q,16,0),""))</f>
        <v/>
      </c>
      <c r="H114" s="16" t="str">
        <f>IF(C114="","",IFERROR(VLOOKUP(C114,PO_Workflow!$A:$Q,5,0),""))</f>
        <v/>
      </c>
      <c r="I114" s="16" t="str">
        <f>IF(C114="","",IFERROR(VLOOKUP(C114,PO_Workflow!$A:$Q,6,0),""))</f>
        <v/>
      </c>
      <c r="J114" s="17" t="str">
        <f>IF(C114="","",IFERROR(VLOOKUP(C114,PO_Workflow!$A:$Q,11,0),""))</f>
        <v/>
      </c>
      <c r="K114" s="17" t="str">
        <f>IF(C114="","",IFERROR(VLOOKUP(C114,PO_Workflow!$A:$Q,12,0),""))</f>
        <v/>
      </c>
      <c r="L114" s="17" t="str">
        <f>IF(C114="","",IFERROR(VLOOKUP(C114,PO_Workflow!$A:$Q,13,0),""))</f>
        <v/>
      </c>
      <c r="M114" s="18" t="str">
        <f t="shared" si="3"/>
        <v/>
      </c>
      <c r="O114" s="19" t="str">
        <f>IF(C114="","",IFERROR(VLOOKUP(C114,PO_Workflow!$A:$Q,7,0),""))</f>
        <v/>
      </c>
      <c r="P114" s="19"/>
      <c r="Q114" s="16" t="str">
        <f>IF(C114="","",IFERROR(VLOOKUP(C114,PO_Workflow!$A:$Q,14,0),""))</f>
        <v/>
      </c>
      <c r="R114" s="20" t="str">
        <f>IF(C114="","",IFERROR(VLOOKUP(C114,PO_Workflow!$A:$Q,15,0),""))</f>
        <v/>
      </c>
      <c r="T114" s="16" t="str">
        <f>IF(C114="","",IFERROR(VLOOKUP(C114,PO_Workflow!$A:$Q,8,0),""))</f>
        <v/>
      </c>
      <c r="U114" s="21" t="str">
        <f t="shared" si="4"/>
        <v/>
      </c>
      <c r="V114" t="str">
        <f t="shared" si="5"/>
        <v/>
      </c>
    </row>
    <row r="115" spans="1:22" ht="15" customHeight="1" x14ac:dyDescent="0.35">
      <c r="A115" s="22"/>
      <c r="B115" s="22"/>
      <c r="C115" s="23"/>
      <c r="D115" t="str">
        <f>IF(C115&lt;&gt;"",IFERROR(VLOOKUP(C115,PO_Workflow!$A:$Q,10,0),""),IF(E115="","","PO-"&amp;TEXT(ROW()-2,"0000")))</f>
        <v/>
      </c>
      <c r="E115" s="16" t="str">
        <f>IF(C115="","",IFERROR(VLOOKUP(C115,PO_Workflow!$A:$Q,3,0),""))</f>
        <v/>
      </c>
      <c r="F115" s="16" t="str">
        <f>IF(C115="","",IFERROR(VLOOKUP(C115,PO_Workflow!$A:$Q,3,0),""))</f>
        <v/>
      </c>
      <c r="G115" s="16" t="str">
        <f>IF(C115="","",IFERROR(VLOOKUP(C115,PO_Workflow!$A:$Q,16,0),""))</f>
        <v/>
      </c>
      <c r="H115" s="16" t="str">
        <f>IF(C115="","",IFERROR(VLOOKUP(C115,PO_Workflow!$A:$Q,5,0),""))</f>
        <v/>
      </c>
      <c r="I115" s="16" t="str">
        <f>IF(C115="","",IFERROR(VLOOKUP(C115,PO_Workflow!$A:$Q,6,0),""))</f>
        <v/>
      </c>
      <c r="J115" s="17" t="str">
        <f>IF(C115="","",IFERROR(VLOOKUP(C115,PO_Workflow!$A:$Q,11,0),""))</f>
        <v/>
      </c>
      <c r="K115" s="17" t="str">
        <f>IF(C115="","",IFERROR(VLOOKUP(C115,PO_Workflow!$A:$Q,12,0),""))</f>
        <v/>
      </c>
      <c r="L115" s="17" t="str">
        <f>IF(C115="","",IFERROR(VLOOKUP(C115,PO_Workflow!$A:$Q,13,0),""))</f>
        <v/>
      </c>
      <c r="M115" s="18" t="str">
        <f t="shared" si="3"/>
        <v/>
      </c>
      <c r="O115" s="19" t="str">
        <f>IF(C115="","",IFERROR(VLOOKUP(C115,PO_Workflow!$A:$Q,7,0),""))</f>
        <v/>
      </c>
      <c r="P115" s="19"/>
      <c r="Q115" s="16" t="str">
        <f>IF(C115="","",IFERROR(VLOOKUP(C115,PO_Workflow!$A:$Q,14,0),""))</f>
        <v/>
      </c>
      <c r="R115" s="20" t="str">
        <f>IF(C115="","",IFERROR(VLOOKUP(C115,PO_Workflow!$A:$Q,15,0),""))</f>
        <v/>
      </c>
      <c r="T115" s="16" t="str">
        <f>IF(C115="","",IFERROR(VLOOKUP(C115,PO_Workflow!$A:$Q,8,0),""))</f>
        <v/>
      </c>
      <c r="U115" s="21" t="str">
        <f t="shared" si="4"/>
        <v/>
      </c>
      <c r="V115" t="str">
        <f t="shared" si="5"/>
        <v/>
      </c>
    </row>
    <row r="116" spans="1:22" ht="15" customHeight="1" x14ac:dyDescent="0.35">
      <c r="A116" s="22"/>
      <c r="B116" s="22"/>
      <c r="C116" s="23"/>
      <c r="D116" t="str">
        <f>IF(C116&lt;&gt;"",IFERROR(VLOOKUP(C116,PO_Workflow!$A:$Q,10,0),""),IF(E116="","","PO-"&amp;TEXT(ROW()-2,"0000")))</f>
        <v/>
      </c>
      <c r="E116" s="16" t="str">
        <f>IF(C116="","",IFERROR(VLOOKUP(C116,PO_Workflow!$A:$Q,3,0),""))</f>
        <v/>
      </c>
      <c r="F116" s="16" t="str">
        <f>IF(C116="","",IFERROR(VLOOKUP(C116,PO_Workflow!$A:$Q,3,0),""))</f>
        <v/>
      </c>
      <c r="G116" s="16" t="str">
        <f>IF(C116="","",IFERROR(VLOOKUP(C116,PO_Workflow!$A:$Q,16,0),""))</f>
        <v/>
      </c>
      <c r="H116" s="16" t="str">
        <f>IF(C116="","",IFERROR(VLOOKUP(C116,PO_Workflow!$A:$Q,5,0),""))</f>
        <v/>
      </c>
      <c r="I116" s="16" t="str">
        <f>IF(C116="","",IFERROR(VLOOKUP(C116,PO_Workflow!$A:$Q,6,0),""))</f>
        <v/>
      </c>
      <c r="J116" s="17" t="str">
        <f>IF(C116="","",IFERROR(VLOOKUP(C116,PO_Workflow!$A:$Q,11,0),""))</f>
        <v/>
      </c>
      <c r="K116" s="17" t="str">
        <f>IF(C116="","",IFERROR(VLOOKUP(C116,PO_Workflow!$A:$Q,12,0),""))</f>
        <v/>
      </c>
      <c r="L116" s="17" t="str">
        <f>IF(C116="","",IFERROR(VLOOKUP(C116,PO_Workflow!$A:$Q,13,0),""))</f>
        <v/>
      </c>
      <c r="M116" s="18" t="str">
        <f t="shared" si="3"/>
        <v/>
      </c>
      <c r="O116" s="19" t="str">
        <f>IF(C116="","",IFERROR(VLOOKUP(C116,PO_Workflow!$A:$Q,7,0),""))</f>
        <v/>
      </c>
      <c r="P116" s="19"/>
      <c r="Q116" s="16" t="str">
        <f>IF(C116="","",IFERROR(VLOOKUP(C116,PO_Workflow!$A:$Q,14,0),""))</f>
        <v/>
      </c>
      <c r="R116" s="20" t="str">
        <f>IF(C116="","",IFERROR(VLOOKUP(C116,PO_Workflow!$A:$Q,15,0),""))</f>
        <v/>
      </c>
      <c r="T116" s="16" t="str">
        <f>IF(C116="","",IFERROR(VLOOKUP(C116,PO_Workflow!$A:$Q,8,0),""))</f>
        <v/>
      </c>
      <c r="U116" s="21" t="str">
        <f t="shared" si="4"/>
        <v/>
      </c>
      <c r="V116" t="str">
        <f t="shared" si="5"/>
        <v/>
      </c>
    </row>
    <row r="117" spans="1:22" ht="15" customHeight="1" x14ac:dyDescent="0.35">
      <c r="A117" s="22"/>
      <c r="B117" s="22"/>
      <c r="C117" s="23"/>
      <c r="D117" t="str">
        <f>IF(C117&lt;&gt;"",IFERROR(VLOOKUP(C117,PO_Workflow!$A:$Q,10,0),""),IF(E117="","","PO-"&amp;TEXT(ROW()-2,"0000")))</f>
        <v/>
      </c>
      <c r="E117" s="16" t="str">
        <f>IF(C117="","",IFERROR(VLOOKUP(C117,PO_Workflow!$A:$Q,3,0),""))</f>
        <v/>
      </c>
      <c r="F117" s="16" t="str">
        <f>IF(C117="","",IFERROR(VLOOKUP(C117,PO_Workflow!$A:$Q,3,0),""))</f>
        <v/>
      </c>
      <c r="G117" s="16" t="str">
        <f>IF(C117="","",IFERROR(VLOOKUP(C117,PO_Workflow!$A:$Q,16,0),""))</f>
        <v/>
      </c>
      <c r="H117" s="16" t="str">
        <f>IF(C117="","",IFERROR(VLOOKUP(C117,PO_Workflow!$A:$Q,5,0),""))</f>
        <v/>
      </c>
      <c r="I117" s="16" t="str">
        <f>IF(C117="","",IFERROR(VLOOKUP(C117,PO_Workflow!$A:$Q,6,0),""))</f>
        <v/>
      </c>
      <c r="J117" s="17" t="str">
        <f>IF(C117="","",IFERROR(VLOOKUP(C117,PO_Workflow!$A:$Q,11,0),""))</f>
        <v/>
      </c>
      <c r="K117" s="17" t="str">
        <f>IF(C117="","",IFERROR(VLOOKUP(C117,PO_Workflow!$A:$Q,12,0),""))</f>
        <v/>
      </c>
      <c r="L117" s="17" t="str">
        <f>IF(C117="","",IFERROR(VLOOKUP(C117,PO_Workflow!$A:$Q,13,0),""))</f>
        <v/>
      </c>
      <c r="M117" s="18" t="str">
        <f t="shared" si="3"/>
        <v/>
      </c>
      <c r="O117" s="19" t="str">
        <f>IF(C117="","",IFERROR(VLOOKUP(C117,PO_Workflow!$A:$Q,7,0),""))</f>
        <v/>
      </c>
      <c r="P117" s="19"/>
      <c r="Q117" s="16" t="str">
        <f>IF(C117="","",IFERROR(VLOOKUP(C117,PO_Workflow!$A:$Q,14,0),""))</f>
        <v/>
      </c>
      <c r="R117" s="20" t="str">
        <f>IF(C117="","",IFERROR(VLOOKUP(C117,PO_Workflow!$A:$Q,15,0),""))</f>
        <v/>
      </c>
      <c r="T117" s="16" t="str">
        <f>IF(C117="","",IFERROR(VLOOKUP(C117,PO_Workflow!$A:$Q,8,0),""))</f>
        <v/>
      </c>
      <c r="U117" s="21" t="str">
        <f t="shared" si="4"/>
        <v/>
      </c>
      <c r="V117" t="str">
        <f t="shared" si="5"/>
        <v/>
      </c>
    </row>
    <row r="118" spans="1:22" ht="15" customHeight="1" x14ac:dyDescent="0.35">
      <c r="A118" s="22"/>
      <c r="B118" s="22"/>
      <c r="C118" s="23"/>
      <c r="D118" t="str">
        <f>IF(C118&lt;&gt;"",IFERROR(VLOOKUP(C118,PO_Workflow!$A:$Q,10,0),""),IF(E118="","","PO-"&amp;TEXT(ROW()-2,"0000")))</f>
        <v/>
      </c>
      <c r="E118" s="16" t="str">
        <f>IF(C118="","",IFERROR(VLOOKUP(C118,PO_Workflow!$A:$Q,3,0),""))</f>
        <v/>
      </c>
      <c r="F118" s="16" t="str">
        <f>IF(C118="","",IFERROR(VLOOKUP(C118,PO_Workflow!$A:$Q,3,0),""))</f>
        <v/>
      </c>
      <c r="G118" s="16" t="str">
        <f>IF(C118="","",IFERROR(VLOOKUP(C118,PO_Workflow!$A:$Q,16,0),""))</f>
        <v/>
      </c>
      <c r="H118" s="16" t="str">
        <f>IF(C118="","",IFERROR(VLOOKUP(C118,PO_Workflow!$A:$Q,5,0),""))</f>
        <v/>
      </c>
      <c r="I118" s="16" t="str">
        <f>IF(C118="","",IFERROR(VLOOKUP(C118,PO_Workflow!$A:$Q,6,0),""))</f>
        <v/>
      </c>
      <c r="J118" s="17" t="str">
        <f>IF(C118="","",IFERROR(VLOOKUP(C118,PO_Workflow!$A:$Q,11,0),""))</f>
        <v/>
      </c>
      <c r="K118" s="17" t="str">
        <f>IF(C118="","",IFERROR(VLOOKUP(C118,PO_Workflow!$A:$Q,12,0),""))</f>
        <v/>
      </c>
      <c r="L118" s="17" t="str">
        <f>IF(C118="","",IFERROR(VLOOKUP(C118,PO_Workflow!$A:$Q,13,0),""))</f>
        <v/>
      </c>
      <c r="M118" s="18" t="str">
        <f t="shared" si="3"/>
        <v/>
      </c>
      <c r="O118" s="19" t="str">
        <f>IF(C118="","",IFERROR(VLOOKUP(C118,PO_Workflow!$A:$Q,7,0),""))</f>
        <v/>
      </c>
      <c r="P118" s="19"/>
      <c r="Q118" s="16" t="str">
        <f>IF(C118="","",IFERROR(VLOOKUP(C118,PO_Workflow!$A:$Q,14,0),""))</f>
        <v/>
      </c>
      <c r="R118" s="20" t="str">
        <f>IF(C118="","",IFERROR(VLOOKUP(C118,PO_Workflow!$A:$Q,15,0),""))</f>
        <v/>
      </c>
      <c r="T118" s="16" t="str">
        <f>IF(C118="","",IFERROR(VLOOKUP(C118,PO_Workflow!$A:$Q,8,0),""))</f>
        <v/>
      </c>
      <c r="U118" s="21" t="str">
        <f t="shared" si="4"/>
        <v/>
      </c>
      <c r="V118" t="str">
        <f t="shared" si="5"/>
        <v/>
      </c>
    </row>
    <row r="119" spans="1:22" ht="15" customHeight="1" x14ac:dyDescent="0.35">
      <c r="A119" s="22"/>
      <c r="B119" s="22"/>
      <c r="C119" s="23"/>
      <c r="D119" t="str">
        <f>IF(C119&lt;&gt;"",IFERROR(VLOOKUP(C119,PO_Workflow!$A:$Q,10,0),""),IF(E119="","","PO-"&amp;TEXT(ROW()-2,"0000")))</f>
        <v/>
      </c>
      <c r="E119" s="16" t="str">
        <f>IF(C119="","",IFERROR(VLOOKUP(C119,PO_Workflow!$A:$Q,3,0),""))</f>
        <v/>
      </c>
      <c r="F119" s="16" t="str">
        <f>IF(C119="","",IFERROR(VLOOKUP(C119,PO_Workflow!$A:$Q,3,0),""))</f>
        <v/>
      </c>
      <c r="G119" s="16" t="str">
        <f>IF(C119="","",IFERROR(VLOOKUP(C119,PO_Workflow!$A:$Q,16,0),""))</f>
        <v/>
      </c>
      <c r="H119" s="16" t="str">
        <f>IF(C119="","",IFERROR(VLOOKUP(C119,PO_Workflow!$A:$Q,5,0),""))</f>
        <v/>
      </c>
      <c r="I119" s="16" t="str">
        <f>IF(C119="","",IFERROR(VLOOKUP(C119,PO_Workflow!$A:$Q,6,0),""))</f>
        <v/>
      </c>
      <c r="J119" s="17" t="str">
        <f>IF(C119="","",IFERROR(VLOOKUP(C119,PO_Workflow!$A:$Q,11,0),""))</f>
        <v/>
      </c>
      <c r="K119" s="17" t="str">
        <f>IF(C119="","",IFERROR(VLOOKUP(C119,PO_Workflow!$A:$Q,12,0),""))</f>
        <v/>
      </c>
      <c r="L119" s="17" t="str">
        <f>IF(C119="","",IFERROR(VLOOKUP(C119,PO_Workflow!$A:$Q,13,0),""))</f>
        <v/>
      </c>
      <c r="M119" s="18" t="str">
        <f t="shared" si="3"/>
        <v/>
      </c>
      <c r="O119" s="19" t="str">
        <f>IF(C119="","",IFERROR(VLOOKUP(C119,PO_Workflow!$A:$Q,7,0),""))</f>
        <v/>
      </c>
      <c r="P119" s="19"/>
      <c r="Q119" s="16" t="str">
        <f>IF(C119="","",IFERROR(VLOOKUP(C119,PO_Workflow!$A:$Q,14,0),""))</f>
        <v/>
      </c>
      <c r="R119" s="20" t="str">
        <f>IF(C119="","",IFERROR(VLOOKUP(C119,PO_Workflow!$A:$Q,15,0),""))</f>
        <v/>
      </c>
      <c r="T119" s="16" t="str">
        <f>IF(C119="","",IFERROR(VLOOKUP(C119,PO_Workflow!$A:$Q,8,0),""))</f>
        <v/>
      </c>
      <c r="U119" s="21" t="str">
        <f t="shared" si="4"/>
        <v/>
      </c>
      <c r="V119" t="str">
        <f t="shared" si="5"/>
        <v/>
      </c>
    </row>
    <row r="120" spans="1:22" ht="15" customHeight="1" x14ac:dyDescent="0.35">
      <c r="A120" s="22"/>
      <c r="B120" s="22"/>
      <c r="C120" s="23"/>
      <c r="D120" t="str">
        <f>IF(C120&lt;&gt;"",IFERROR(VLOOKUP(C120,PO_Workflow!$A:$Q,10,0),""),IF(E120="","","PO-"&amp;TEXT(ROW()-2,"0000")))</f>
        <v/>
      </c>
      <c r="E120" s="16" t="str">
        <f>IF(C120="","",IFERROR(VLOOKUP(C120,PO_Workflow!$A:$Q,3,0),""))</f>
        <v/>
      </c>
      <c r="F120" s="16" t="str">
        <f>IF(C120="","",IFERROR(VLOOKUP(C120,PO_Workflow!$A:$Q,3,0),""))</f>
        <v/>
      </c>
      <c r="G120" s="16" t="str">
        <f>IF(C120="","",IFERROR(VLOOKUP(C120,PO_Workflow!$A:$Q,16,0),""))</f>
        <v/>
      </c>
      <c r="H120" s="16" t="str">
        <f>IF(C120="","",IFERROR(VLOOKUP(C120,PO_Workflow!$A:$Q,5,0),""))</f>
        <v/>
      </c>
      <c r="I120" s="16" t="str">
        <f>IF(C120="","",IFERROR(VLOOKUP(C120,PO_Workflow!$A:$Q,6,0),""))</f>
        <v/>
      </c>
      <c r="J120" s="17" t="str">
        <f>IF(C120="","",IFERROR(VLOOKUP(C120,PO_Workflow!$A:$Q,11,0),""))</f>
        <v/>
      </c>
      <c r="K120" s="17" t="str">
        <f>IF(C120="","",IFERROR(VLOOKUP(C120,PO_Workflow!$A:$Q,12,0),""))</f>
        <v/>
      </c>
      <c r="L120" s="17" t="str">
        <f>IF(C120="","",IFERROR(VLOOKUP(C120,PO_Workflow!$A:$Q,13,0),""))</f>
        <v/>
      </c>
      <c r="M120" s="18" t="str">
        <f t="shared" si="3"/>
        <v/>
      </c>
      <c r="O120" s="19" t="str">
        <f>IF(C120="","",IFERROR(VLOOKUP(C120,PO_Workflow!$A:$Q,7,0),""))</f>
        <v/>
      </c>
      <c r="P120" s="19"/>
      <c r="Q120" s="16" t="str">
        <f>IF(C120="","",IFERROR(VLOOKUP(C120,PO_Workflow!$A:$Q,14,0),""))</f>
        <v/>
      </c>
      <c r="R120" s="20" t="str">
        <f>IF(C120="","",IFERROR(VLOOKUP(C120,PO_Workflow!$A:$Q,15,0),""))</f>
        <v/>
      </c>
      <c r="T120" s="16" t="str">
        <f>IF(C120="","",IFERROR(VLOOKUP(C120,PO_Workflow!$A:$Q,8,0),""))</f>
        <v/>
      </c>
      <c r="U120" s="21" t="str">
        <f t="shared" si="4"/>
        <v/>
      </c>
      <c r="V120" t="str">
        <f t="shared" si="5"/>
        <v/>
      </c>
    </row>
    <row r="121" spans="1:22" ht="15" customHeight="1" x14ac:dyDescent="0.35">
      <c r="A121" s="22"/>
      <c r="B121" s="22"/>
      <c r="C121" s="23"/>
      <c r="D121" t="str">
        <f>IF(C121&lt;&gt;"",IFERROR(VLOOKUP(C121,PO_Workflow!$A:$Q,10,0),""),IF(E121="","","PO-"&amp;TEXT(ROW()-2,"0000")))</f>
        <v/>
      </c>
      <c r="E121" s="16" t="str">
        <f>IF(C121="","",IFERROR(VLOOKUP(C121,PO_Workflow!$A:$Q,3,0),""))</f>
        <v/>
      </c>
      <c r="F121" s="16" t="str">
        <f>IF(C121="","",IFERROR(VLOOKUP(C121,PO_Workflow!$A:$Q,3,0),""))</f>
        <v/>
      </c>
      <c r="G121" s="16" t="str">
        <f>IF(C121="","",IFERROR(VLOOKUP(C121,PO_Workflow!$A:$Q,16,0),""))</f>
        <v/>
      </c>
      <c r="H121" s="16" t="str">
        <f>IF(C121="","",IFERROR(VLOOKUP(C121,PO_Workflow!$A:$Q,5,0),""))</f>
        <v/>
      </c>
      <c r="I121" s="16" t="str">
        <f>IF(C121="","",IFERROR(VLOOKUP(C121,PO_Workflow!$A:$Q,6,0),""))</f>
        <v/>
      </c>
      <c r="J121" s="17" t="str">
        <f>IF(C121="","",IFERROR(VLOOKUP(C121,PO_Workflow!$A:$Q,11,0),""))</f>
        <v/>
      </c>
      <c r="K121" s="17" t="str">
        <f>IF(C121="","",IFERROR(VLOOKUP(C121,PO_Workflow!$A:$Q,12,0),""))</f>
        <v/>
      </c>
      <c r="L121" s="17" t="str">
        <f>IF(C121="","",IFERROR(VLOOKUP(C121,PO_Workflow!$A:$Q,13,0),""))</f>
        <v/>
      </c>
      <c r="M121" s="18" t="str">
        <f t="shared" si="3"/>
        <v/>
      </c>
      <c r="O121" s="19" t="str">
        <f>IF(C121="","",IFERROR(VLOOKUP(C121,PO_Workflow!$A:$Q,7,0),""))</f>
        <v/>
      </c>
      <c r="P121" s="19"/>
      <c r="Q121" s="16" t="str">
        <f>IF(C121="","",IFERROR(VLOOKUP(C121,PO_Workflow!$A:$Q,14,0),""))</f>
        <v/>
      </c>
      <c r="R121" s="20" t="str">
        <f>IF(C121="","",IFERROR(VLOOKUP(C121,PO_Workflow!$A:$Q,15,0),""))</f>
        <v/>
      </c>
      <c r="T121" s="16" t="str">
        <f>IF(C121="","",IFERROR(VLOOKUP(C121,PO_Workflow!$A:$Q,8,0),""))</f>
        <v/>
      </c>
      <c r="U121" s="21" t="str">
        <f t="shared" si="4"/>
        <v/>
      </c>
      <c r="V121" t="str">
        <f t="shared" si="5"/>
        <v/>
      </c>
    </row>
    <row r="122" spans="1:22" ht="15" customHeight="1" x14ac:dyDescent="0.35">
      <c r="A122" s="22"/>
      <c r="B122" s="22"/>
      <c r="C122" s="23"/>
      <c r="D122" t="str">
        <f>IF(C122&lt;&gt;"",IFERROR(VLOOKUP(C122,PO_Workflow!$A:$Q,10,0),""),IF(E122="","","PO-"&amp;TEXT(ROW()-2,"0000")))</f>
        <v/>
      </c>
      <c r="E122" s="16" t="str">
        <f>IF(C122="","",IFERROR(VLOOKUP(C122,PO_Workflow!$A:$Q,3,0),""))</f>
        <v/>
      </c>
      <c r="F122" s="16" t="str">
        <f>IF(C122="","",IFERROR(VLOOKUP(C122,PO_Workflow!$A:$Q,3,0),""))</f>
        <v/>
      </c>
      <c r="G122" s="16" t="str">
        <f>IF(C122="","",IFERROR(VLOOKUP(C122,PO_Workflow!$A:$Q,16,0),""))</f>
        <v/>
      </c>
      <c r="H122" s="16" t="str">
        <f>IF(C122="","",IFERROR(VLOOKUP(C122,PO_Workflow!$A:$Q,5,0),""))</f>
        <v/>
      </c>
      <c r="I122" s="16" t="str">
        <f>IF(C122="","",IFERROR(VLOOKUP(C122,PO_Workflow!$A:$Q,6,0),""))</f>
        <v/>
      </c>
      <c r="J122" s="17" t="str">
        <f>IF(C122="","",IFERROR(VLOOKUP(C122,PO_Workflow!$A:$Q,11,0),""))</f>
        <v/>
      </c>
      <c r="K122" s="17" t="str">
        <f>IF(C122="","",IFERROR(VLOOKUP(C122,PO_Workflow!$A:$Q,12,0),""))</f>
        <v/>
      </c>
      <c r="L122" s="17" t="str">
        <f>IF(C122="","",IFERROR(VLOOKUP(C122,PO_Workflow!$A:$Q,13,0),""))</f>
        <v/>
      </c>
      <c r="M122" s="18" t="str">
        <f t="shared" si="3"/>
        <v/>
      </c>
      <c r="O122" s="19" t="str">
        <f>IF(C122="","",IFERROR(VLOOKUP(C122,PO_Workflow!$A:$Q,7,0),""))</f>
        <v/>
      </c>
      <c r="P122" s="19"/>
      <c r="Q122" s="16" t="str">
        <f>IF(C122="","",IFERROR(VLOOKUP(C122,PO_Workflow!$A:$Q,14,0),""))</f>
        <v/>
      </c>
      <c r="R122" s="20" t="str">
        <f>IF(C122="","",IFERROR(VLOOKUP(C122,PO_Workflow!$A:$Q,15,0),""))</f>
        <v/>
      </c>
      <c r="T122" s="16" t="str">
        <f>IF(C122="","",IFERROR(VLOOKUP(C122,PO_Workflow!$A:$Q,8,0),""))</f>
        <v/>
      </c>
      <c r="U122" s="21" t="str">
        <f t="shared" si="4"/>
        <v/>
      </c>
      <c r="V122" t="str">
        <f t="shared" si="5"/>
        <v/>
      </c>
    </row>
    <row r="123" spans="1:22" ht="15" customHeight="1" x14ac:dyDescent="0.35">
      <c r="A123" s="22"/>
      <c r="B123" s="22"/>
      <c r="C123" s="23"/>
      <c r="D123" t="str">
        <f>IF(C123&lt;&gt;"",IFERROR(VLOOKUP(C123,PO_Workflow!$A:$Q,10,0),""),IF(E123="","","PO-"&amp;TEXT(ROW()-2,"0000")))</f>
        <v/>
      </c>
      <c r="E123" s="16" t="str">
        <f>IF(C123="","",IFERROR(VLOOKUP(C123,PO_Workflow!$A:$Q,3,0),""))</f>
        <v/>
      </c>
      <c r="F123" s="16" t="str">
        <f>IF(C123="","",IFERROR(VLOOKUP(C123,PO_Workflow!$A:$Q,3,0),""))</f>
        <v/>
      </c>
      <c r="G123" s="16" t="str">
        <f>IF(C123="","",IFERROR(VLOOKUP(C123,PO_Workflow!$A:$Q,16,0),""))</f>
        <v/>
      </c>
      <c r="H123" s="16" t="str">
        <f>IF(C123="","",IFERROR(VLOOKUP(C123,PO_Workflow!$A:$Q,5,0),""))</f>
        <v/>
      </c>
      <c r="I123" s="16" t="str">
        <f>IF(C123="","",IFERROR(VLOOKUP(C123,PO_Workflow!$A:$Q,6,0),""))</f>
        <v/>
      </c>
      <c r="J123" s="17" t="str">
        <f>IF(C123="","",IFERROR(VLOOKUP(C123,PO_Workflow!$A:$Q,11,0),""))</f>
        <v/>
      </c>
      <c r="K123" s="17" t="str">
        <f>IF(C123="","",IFERROR(VLOOKUP(C123,PO_Workflow!$A:$Q,12,0),""))</f>
        <v/>
      </c>
      <c r="L123" s="17" t="str">
        <f>IF(C123="","",IFERROR(VLOOKUP(C123,PO_Workflow!$A:$Q,13,0),""))</f>
        <v/>
      </c>
      <c r="M123" s="18" t="str">
        <f t="shared" si="3"/>
        <v/>
      </c>
      <c r="O123" s="19" t="str">
        <f>IF(C123="","",IFERROR(VLOOKUP(C123,PO_Workflow!$A:$Q,7,0),""))</f>
        <v/>
      </c>
      <c r="P123" s="19"/>
      <c r="Q123" s="16" t="str">
        <f>IF(C123="","",IFERROR(VLOOKUP(C123,PO_Workflow!$A:$Q,14,0),""))</f>
        <v/>
      </c>
      <c r="R123" s="20" t="str">
        <f>IF(C123="","",IFERROR(VLOOKUP(C123,PO_Workflow!$A:$Q,15,0),""))</f>
        <v/>
      </c>
      <c r="T123" s="16" t="str">
        <f>IF(C123="","",IFERROR(VLOOKUP(C123,PO_Workflow!$A:$Q,8,0),""))</f>
        <v/>
      </c>
      <c r="U123" s="21" t="str">
        <f t="shared" si="4"/>
        <v/>
      </c>
      <c r="V123" t="str">
        <f t="shared" si="5"/>
        <v/>
      </c>
    </row>
    <row r="124" spans="1:22" ht="15" customHeight="1" x14ac:dyDescent="0.35">
      <c r="A124" s="22"/>
      <c r="B124" s="22"/>
      <c r="C124" s="23"/>
      <c r="D124" t="str">
        <f>IF(C124&lt;&gt;"",IFERROR(VLOOKUP(C124,PO_Workflow!$A:$Q,10,0),""),IF(E124="","","PO-"&amp;TEXT(ROW()-2,"0000")))</f>
        <v/>
      </c>
      <c r="E124" s="16" t="str">
        <f>IF(C124="","",IFERROR(VLOOKUP(C124,PO_Workflow!$A:$Q,3,0),""))</f>
        <v/>
      </c>
      <c r="F124" s="16" t="str">
        <f>IF(C124="","",IFERROR(VLOOKUP(C124,PO_Workflow!$A:$Q,3,0),""))</f>
        <v/>
      </c>
      <c r="G124" s="16" t="str">
        <f>IF(C124="","",IFERROR(VLOOKUP(C124,PO_Workflow!$A:$Q,16,0),""))</f>
        <v/>
      </c>
      <c r="H124" s="16" t="str">
        <f>IF(C124="","",IFERROR(VLOOKUP(C124,PO_Workflow!$A:$Q,5,0),""))</f>
        <v/>
      </c>
      <c r="I124" s="16" t="str">
        <f>IF(C124="","",IFERROR(VLOOKUP(C124,PO_Workflow!$A:$Q,6,0),""))</f>
        <v/>
      </c>
      <c r="J124" s="17" t="str">
        <f>IF(C124="","",IFERROR(VLOOKUP(C124,PO_Workflow!$A:$Q,11,0),""))</f>
        <v/>
      </c>
      <c r="K124" s="17" t="str">
        <f>IF(C124="","",IFERROR(VLOOKUP(C124,PO_Workflow!$A:$Q,12,0),""))</f>
        <v/>
      </c>
      <c r="L124" s="17" t="str">
        <f>IF(C124="","",IFERROR(VLOOKUP(C124,PO_Workflow!$A:$Q,13,0),""))</f>
        <v/>
      </c>
      <c r="M124" s="18" t="str">
        <f t="shared" si="3"/>
        <v/>
      </c>
      <c r="O124" s="19" t="str">
        <f>IF(C124="","",IFERROR(VLOOKUP(C124,PO_Workflow!$A:$Q,7,0),""))</f>
        <v/>
      </c>
      <c r="P124" s="19"/>
      <c r="Q124" s="16" t="str">
        <f>IF(C124="","",IFERROR(VLOOKUP(C124,PO_Workflow!$A:$Q,14,0),""))</f>
        <v/>
      </c>
      <c r="R124" s="20" t="str">
        <f>IF(C124="","",IFERROR(VLOOKUP(C124,PO_Workflow!$A:$Q,15,0),""))</f>
        <v/>
      </c>
      <c r="T124" s="16" t="str">
        <f>IF(C124="","",IFERROR(VLOOKUP(C124,PO_Workflow!$A:$Q,8,0),""))</f>
        <v/>
      </c>
      <c r="U124" s="21" t="str">
        <f t="shared" si="4"/>
        <v/>
      </c>
      <c r="V124" t="str">
        <f t="shared" si="5"/>
        <v/>
      </c>
    </row>
    <row r="125" spans="1:22" ht="15" customHeight="1" x14ac:dyDescent="0.35">
      <c r="A125" s="22"/>
      <c r="B125" s="22"/>
      <c r="C125" s="23"/>
      <c r="D125" t="str">
        <f>IF(C125&lt;&gt;"",IFERROR(VLOOKUP(C125,PO_Workflow!$A:$Q,10,0),""),IF(E125="","","PO-"&amp;TEXT(ROW()-2,"0000")))</f>
        <v/>
      </c>
      <c r="E125" s="16" t="str">
        <f>IF(C125="","",IFERROR(VLOOKUP(C125,PO_Workflow!$A:$Q,3,0),""))</f>
        <v/>
      </c>
      <c r="F125" s="16" t="str">
        <f>IF(C125="","",IFERROR(VLOOKUP(C125,PO_Workflow!$A:$Q,3,0),""))</f>
        <v/>
      </c>
      <c r="G125" s="16" t="str">
        <f>IF(C125="","",IFERROR(VLOOKUP(C125,PO_Workflow!$A:$Q,16,0),""))</f>
        <v/>
      </c>
      <c r="H125" s="16" t="str">
        <f>IF(C125="","",IFERROR(VLOOKUP(C125,PO_Workflow!$A:$Q,5,0),""))</f>
        <v/>
      </c>
      <c r="I125" s="16" t="str">
        <f>IF(C125="","",IFERROR(VLOOKUP(C125,PO_Workflow!$A:$Q,6,0),""))</f>
        <v/>
      </c>
      <c r="J125" s="17" t="str">
        <f>IF(C125="","",IFERROR(VLOOKUP(C125,PO_Workflow!$A:$Q,11,0),""))</f>
        <v/>
      </c>
      <c r="K125" s="17" t="str">
        <f>IF(C125="","",IFERROR(VLOOKUP(C125,PO_Workflow!$A:$Q,12,0),""))</f>
        <v/>
      </c>
      <c r="L125" s="17" t="str">
        <f>IF(C125="","",IFERROR(VLOOKUP(C125,PO_Workflow!$A:$Q,13,0),""))</f>
        <v/>
      </c>
      <c r="M125" s="18" t="str">
        <f t="shared" si="3"/>
        <v/>
      </c>
      <c r="O125" s="19" t="str">
        <f>IF(C125="","",IFERROR(VLOOKUP(C125,PO_Workflow!$A:$Q,7,0),""))</f>
        <v/>
      </c>
      <c r="P125" s="19"/>
      <c r="Q125" s="16" t="str">
        <f>IF(C125="","",IFERROR(VLOOKUP(C125,PO_Workflow!$A:$Q,14,0),""))</f>
        <v/>
      </c>
      <c r="R125" s="20" t="str">
        <f>IF(C125="","",IFERROR(VLOOKUP(C125,PO_Workflow!$A:$Q,15,0),""))</f>
        <v/>
      </c>
      <c r="T125" s="16" t="str">
        <f>IF(C125="","",IFERROR(VLOOKUP(C125,PO_Workflow!$A:$Q,8,0),""))</f>
        <v/>
      </c>
      <c r="U125" s="21" t="str">
        <f t="shared" si="4"/>
        <v/>
      </c>
      <c r="V125" t="str">
        <f t="shared" si="5"/>
        <v/>
      </c>
    </row>
    <row r="126" spans="1:22" ht="15" customHeight="1" x14ac:dyDescent="0.35">
      <c r="A126" s="22"/>
      <c r="B126" s="22"/>
      <c r="C126" s="23"/>
      <c r="D126" t="str">
        <f>IF(C126&lt;&gt;"",IFERROR(VLOOKUP(C126,PO_Workflow!$A:$Q,10,0),""),IF(E126="","","PO-"&amp;TEXT(ROW()-2,"0000")))</f>
        <v/>
      </c>
      <c r="E126" s="16" t="str">
        <f>IF(C126="","",IFERROR(VLOOKUP(C126,PO_Workflow!$A:$Q,3,0),""))</f>
        <v/>
      </c>
      <c r="F126" s="16" t="str">
        <f>IF(C126="","",IFERROR(VLOOKUP(C126,PO_Workflow!$A:$Q,3,0),""))</f>
        <v/>
      </c>
      <c r="G126" s="16" t="str">
        <f>IF(C126="","",IFERROR(VLOOKUP(C126,PO_Workflow!$A:$Q,16,0),""))</f>
        <v/>
      </c>
      <c r="H126" s="16" t="str">
        <f>IF(C126="","",IFERROR(VLOOKUP(C126,PO_Workflow!$A:$Q,5,0),""))</f>
        <v/>
      </c>
      <c r="I126" s="16" t="str">
        <f>IF(C126="","",IFERROR(VLOOKUP(C126,PO_Workflow!$A:$Q,6,0),""))</f>
        <v/>
      </c>
      <c r="J126" s="17" t="str">
        <f>IF(C126="","",IFERROR(VLOOKUP(C126,PO_Workflow!$A:$Q,11,0),""))</f>
        <v/>
      </c>
      <c r="K126" s="17" t="str">
        <f>IF(C126="","",IFERROR(VLOOKUP(C126,PO_Workflow!$A:$Q,12,0),""))</f>
        <v/>
      </c>
      <c r="L126" s="17" t="str">
        <f>IF(C126="","",IFERROR(VLOOKUP(C126,PO_Workflow!$A:$Q,13,0),""))</f>
        <v/>
      </c>
      <c r="M126" s="18" t="str">
        <f t="shared" si="3"/>
        <v/>
      </c>
      <c r="O126" s="19" t="str">
        <f>IF(C126="","",IFERROR(VLOOKUP(C126,PO_Workflow!$A:$Q,7,0),""))</f>
        <v/>
      </c>
      <c r="P126" s="19"/>
      <c r="Q126" s="16" t="str">
        <f>IF(C126="","",IFERROR(VLOOKUP(C126,PO_Workflow!$A:$Q,14,0),""))</f>
        <v/>
      </c>
      <c r="R126" s="20" t="str">
        <f>IF(C126="","",IFERROR(VLOOKUP(C126,PO_Workflow!$A:$Q,15,0),""))</f>
        <v/>
      </c>
      <c r="T126" s="16" t="str">
        <f>IF(C126="","",IFERROR(VLOOKUP(C126,PO_Workflow!$A:$Q,8,0),""))</f>
        <v/>
      </c>
      <c r="U126" s="21" t="str">
        <f t="shared" si="4"/>
        <v/>
      </c>
      <c r="V126" t="str">
        <f t="shared" si="5"/>
        <v/>
      </c>
    </row>
    <row r="127" spans="1:22" ht="15" customHeight="1" x14ac:dyDescent="0.35">
      <c r="A127" s="22"/>
      <c r="B127" s="22"/>
      <c r="C127" s="23"/>
      <c r="D127" t="str">
        <f>IF(C127&lt;&gt;"",IFERROR(VLOOKUP(C127,PO_Workflow!$A:$Q,10,0),""),IF(E127="","","PO-"&amp;TEXT(ROW()-2,"0000")))</f>
        <v/>
      </c>
      <c r="E127" s="16" t="str">
        <f>IF(C127="","",IFERROR(VLOOKUP(C127,PO_Workflow!$A:$Q,3,0),""))</f>
        <v/>
      </c>
      <c r="F127" s="16" t="str">
        <f>IF(C127="","",IFERROR(VLOOKUP(C127,PO_Workflow!$A:$Q,3,0),""))</f>
        <v/>
      </c>
      <c r="G127" s="16" t="str">
        <f>IF(C127="","",IFERROR(VLOOKUP(C127,PO_Workflow!$A:$Q,16,0),""))</f>
        <v/>
      </c>
      <c r="H127" s="16" t="str">
        <f>IF(C127="","",IFERROR(VLOOKUP(C127,PO_Workflow!$A:$Q,5,0),""))</f>
        <v/>
      </c>
      <c r="I127" s="16" t="str">
        <f>IF(C127="","",IFERROR(VLOOKUP(C127,PO_Workflow!$A:$Q,6,0),""))</f>
        <v/>
      </c>
      <c r="J127" s="17" t="str">
        <f>IF(C127="","",IFERROR(VLOOKUP(C127,PO_Workflow!$A:$Q,11,0),""))</f>
        <v/>
      </c>
      <c r="K127" s="17" t="str">
        <f>IF(C127="","",IFERROR(VLOOKUP(C127,PO_Workflow!$A:$Q,12,0),""))</f>
        <v/>
      </c>
      <c r="L127" s="17" t="str">
        <f>IF(C127="","",IFERROR(VLOOKUP(C127,PO_Workflow!$A:$Q,13,0),""))</f>
        <v/>
      </c>
      <c r="M127" s="18" t="str">
        <f t="shared" si="3"/>
        <v/>
      </c>
      <c r="O127" s="19" t="str">
        <f>IF(C127="","",IFERROR(VLOOKUP(C127,PO_Workflow!$A:$Q,7,0),""))</f>
        <v/>
      </c>
      <c r="P127" s="19"/>
      <c r="Q127" s="16" t="str">
        <f>IF(C127="","",IFERROR(VLOOKUP(C127,PO_Workflow!$A:$Q,14,0),""))</f>
        <v/>
      </c>
      <c r="R127" s="20" t="str">
        <f>IF(C127="","",IFERROR(VLOOKUP(C127,PO_Workflow!$A:$Q,15,0),""))</f>
        <v/>
      </c>
      <c r="T127" s="16" t="str">
        <f>IF(C127="","",IFERROR(VLOOKUP(C127,PO_Workflow!$A:$Q,8,0),""))</f>
        <v/>
      </c>
      <c r="U127" s="21" t="str">
        <f t="shared" si="4"/>
        <v/>
      </c>
      <c r="V127" t="str">
        <f t="shared" si="5"/>
        <v/>
      </c>
    </row>
    <row r="128" spans="1:22" ht="15" customHeight="1" x14ac:dyDescent="0.35">
      <c r="A128" s="22"/>
      <c r="B128" s="22"/>
      <c r="C128" s="23"/>
      <c r="D128" t="str">
        <f>IF(C128&lt;&gt;"",IFERROR(VLOOKUP(C128,PO_Workflow!$A:$Q,10,0),""),IF(E128="","","PO-"&amp;TEXT(ROW()-2,"0000")))</f>
        <v/>
      </c>
      <c r="E128" s="16" t="str">
        <f>IF(C128="","",IFERROR(VLOOKUP(C128,PO_Workflow!$A:$Q,3,0),""))</f>
        <v/>
      </c>
      <c r="F128" s="16" t="str">
        <f>IF(C128="","",IFERROR(VLOOKUP(C128,PO_Workflow!$A:$Q,3,0),""))</f>
        <v/>
      </c>
      <c r="G128" s="16" t="str">
        <f>IF(C128="","",IFERROR(VLOOKUP(C128,PO_Workflow!$A:$Q,16,0),""))</f>
        <v/>
      </c>
      <c r="H128" s="16" t="str">
        <f>IF(C128="","",IFERROR(VLOOKUP(C128,PO_Workflow!$A:$Q,5,0),""))</f>
        <v/>
      </c>
      <c r="I128" s="16" t="str">
        <f>IF(C128="","",IFERROR(VLOOKUP(C128,PO_Workflow!$A:$Q,6,0),""))</f>
        <v/>
      </c>
      <c r="J128" s="17" t="str">
        <f>IF(C128="","",IFERROR(VLOOKUP(C128,PO_Workflow!$A:$Q,11,0),""))</f>
        <v/>
      </c>
      <c r="K128" s="17" t="str">
        <f>IF(C128="","",IFERROR(VLOOKUP(C128,PO_Workflow!$A:$Q,12,0),""))</f>
        <v/>
      </c>
      <c r="L128" s="17" t="str">
        <f>IF(C128="","",IFERROR(VLOOKUP(C128,PO_Workflow!$A:$Q,13,0),""))</f>
        <v/>
      </c>
      <c r="M128" s="18" t="str">
        <f t="shared" si="3"/>
        <v/>
      </c>
      <c r="O128" s="19" t="str">
        <f>IF(C128="","",IFERROR(VLOOKUP(C128,PO_Workflow!$A:$Q,7,0),""))</f>
        <v/>
      </c>
      <c r="P128" s="19"/>
      <c r="Q128" s="16" t="str">
        <f>IF(C128="","",IFERROR(VLOOKUP(C128,PO_Workflow!$A:$Q,14,0),""))</f>
        <v/>
      </c>
      <c r="R128" s="20" t="str">
        <f>IF(C128="","",IFERROR(VLOOKUP(C128,PO_Workflow!$A:$Q,15,0),""))</f>
        <v/>
      </c>
      <c r="T128" s="16" t="str">
        <f>IF(C128="","",IFERROR(VLOOKUP(C128,PO_Workflow!$A:$Q,8,0),""))</f>
        <v/>
      </c>
      <c r="U128" s="21" t="str">
        <f t="shared" si="4"/>
        <v/>
      </c>
      <c r="V128" t="str">
        <f t="shared" si="5"/>
        <v/>
      </c>
    </row>
    <row r="129" spans="1:22" ht="15" customHeight="1" x14ac:dyDescent="0.35">
      <c r="A129" s="22"/>
      <c r="B129" s="22"/>
      <c r="C129" s="23"/>
      <c r="D129" t="str">
        <f>IF(C129&lt;&gt;"",IFERROR(VLOOKUP(C129,PO_Workflow!$A:$Q,10,0),""),IF(E129="","","PO-"&amp;TEXT(ROW()-2,"0000")))</f>
        <v/>
      </c>
      <c r="E129" s="16" t="str">
        <f>IF(C129="","",IFERROR(VLOOKUP(C129,PO_Workflow!$A:$Q,3,0),""))</f>
        <v/>
      </c>
      <c r="F129" s="16" t="str">
        <f>IF(C129="","",IFERROR(VLOOKUP(C129,PO_Workflow!$A:$Q,3,0),""))</f>
        <v/>
      </c>
      <c r="G129" s="16" t="str">
        <f>IF(C129="","",IFERROR(VLOOKUP(C129,PO_Workflow!$A:$Q,16,0),""))</f>
        <v/>
      </c>
      <c r="H129" s="16" t="str">
        <f>IF(C129="","",IFERROR(VLOOKUP(C129,PO_Workflow!$A:$Q,5,0),""))</f>
        <v/>
      </c>
      <c r="I129" s="16" t="str">
        <f>IF(C129="","",IFERROR(VLOOKUP(C129,PO_Workflow!$A:$Q,6,0),""))</f>
        <v/>
      </c>
      <c r="J129" s="17" t="str">
        <f>IF(C129="","",IFERROR(VLOOKUP(C129,PO_Workflow!$A:$Q,11,0),""))</f>
        <v/>
      </c>
      <c r="K129" s="17" t="str">
        <f>IF(C129="","",IFERROR(VLOOKUP(C129,PO_Workflow!$A:$Q,12,0),""))</f>
        <v/>
      </c>
      <c r="L129" s="17" t="str">
        <f>IF(C129="","",IFERROR(VLOOKUP(C129,PO_Workflow!$A:$Q,13,0),""))</f>
        <v/>
      </c>
      <c r="M129" s="18" t="str">
        <f t="shared" si="3"/>
        <v/>
      </c>
      <c r="O129" s="19" t="str">
        <f>IF(C129="","",IFERROR(VLOOKUP(C129,PO_Workflow!$A:$Q,7,0),""))</f>
        <v/>
      </c>
      <c r="P129" s="19"/>
      <c r="Q129" s="16" t="str">
        <f>IF(C129="","",IFERROR(VLOOKUP(C129,PO_Workflow!$A:$Q,14,0),""))</f>
        <v/>
      </c>
      <c r="R129" s="20" t="str">
        <f>IF(C129="","",IFERROR(VLOOKUP(C129,PO_Workflow!$A:$Q,15,0),""))</f>
        <v/>
      </c>
      <c r="T129" s="16" t="str">
        <f>IF(C129="","",IFERROR(VLOOKUP(C129,PO_Workflow!$A:$Q,8,0),""))</f>
        <v/>
      </c>
      <c r="U129" s="21" t="str">
        <f t="shared" si="4"/>
        <v/>
      </c>
      <c r="V129" t="str">
        <f t="shared" si="5"/>
        <v/>
      </c>
    </row>
    <row r="130" spans="1:22" ht="15" customHeight="1" x14ac:dyDescent="0.35">
      <c r="A130" s="22"/>
      <c r="B130" s="22"/>
      <c r="C130" s="23"/>
      <c r="D130" t="str">
        <f>IF(C130&lt;&gt;"",IFERROR(VLOOKUP(C130,PO_Workflow!$A:$Q,10,0),""),IF(E130="","","PO-"&amp;TEXT(ROW()-2,"0000")))</f>
        <v/>
      </c>
      <c r="E130" s="16" t="str">
        <f>IF(C130="","",IFERROR(VLOOKUP(C130,PO_Workflow!$A:$Q,3,0),""))</f>
        <v/>
      </c>
      <c r="F130" s="16" t="str">
        <f>IF(C130="","",IFERROR(VLOOKUP(C130,PO_Workflow!$A:$Q,3,0),""))</f>
        <v/>
      </c>
      <c r="G130" s="16" t="str">
        <f>IF(C130="","",IFERROR(VLOOKUP(C130,PO_Workflow!$A:$Q,16,0),""))</f>
        <v/>
      </c>
      <c r="H130" s="16" t="str">
        <f>IF(C130="","",IFERROR(VLOOKUP(C130,PO_Workflow!$A:$Q,5,0),""))</f>
        <v/>
      </c>
      <c r="I130" s="16" t="str">
        <f>IF(C130="","",IFERROR(VLOOKUP(C130,PO_Workflow!$A:$Q,6,0),""))</f>
        <v/>
      </c>
      <c r="J130" s="17" t="str">
        <f>IF(C130="","",IFERROR(VLOOKUP(C130,PO_Workflow!$A:$Q,11,0),""))</f>
        <v/>
      </c>
      <c r="K130" s="17" t="str">
        <f>IF(C130="","",IFERROR(VLOOKUP(C130,PO_Workflow!$A:$Q,12,0),""))</f>
        <v/>
      </c>
      <c r="L130" s="17" t="str">
        <f>IF(C130="","",IFERROR(VLOOKUP(C130,PO_Workflow!$A:$Q,13,0),""))</f>
        <v/>
      </c>
      <c r="M130" s="18" t="str">
        <f t="shared" si="3"/>
        <v/>
      </c>
      <c r="O130" s="19" t="str">
        <f>IF(C130="","",IFERROR(VLOOKUP(C130,PO_Workflow!$A:$Q,7,0),""))</f>
        <v/>
      </c>
      <c r="P130" s="19"/>
      <c r="Q130" s="16" t="str">
        <f>IF(C130="","",IFERROR(VLOOKUP(C130,PO_Workflow!$A:$Q,14,0),""))</f>
        <v/>
      </c>
      <c r="R130" s="20" t="str">
        <f>IF(C130="","",IFERROR(VLOOKUP(C130,PO_Workflow!$A:$Q,15,0),""))</f>
        <v/>
      </c>
      <c r="T130" s="16" t="str">
        <f>IF(C130="","",IFERROR(VLOOKUP(C130,PO_Workflow!$A:$Q,8,0),""))</f>
        <v/>
      </c>
      <c r="U130" s="21" t="str">
        <f t="shared" si="4"/>
        <v/>
      </c>
      <c r="V130" t="str">
        <f t="shared" si="5"/>
        <v/>
      </c>
    </row>
    <row r="131" spans="1:22" ht="15" customHeight="1" x14ac:dyDescent="0.35">
      <c r="A131" s="22"/>
      <c r="B131" s="22"/>
      <c r="C131" s="23"/>
      <c r="D131" t="str">
        <f>IF(C131&lt;&gt;"",IFERROR(VLOOKUP(C131,PO_Workflow!$A:$Q,10,0),""),IF(E131="","","PO-"&amp;TEXT(ROW()-2,"0000")))</f>
        <v/>
      </c>
      <c r="E131" s="16" t="str">
        <f>IF(C131="","",IFERROR(VLOOKUP(C131,PO_Workflow!$A:$Q,3,0),""))</f>
        <v/>
      </c>
      <c r="F131" s="16" t="str">
        <f>IF(C131="","",IFERROR(VLOOKUP(C131,PO_Workflow!$A:$Q,3,0),""))</f>
        <v/>
      </c>
      <c r="G131" s="16" t="str">
        <f>IF(C131="","",IFERROR(VLOOKUP(C131,PO_Workflow!$A:$Q,16,0),""))</f>
        <v/>
      </c>
      <c r="H131" s="16" t="str">
        <f>IF(C131="","",IFERROR(VLOOKUP(C131,PO_Workflow!$A:$Q,5,0),""))</f>
        <v/>
      </c>
      <c r="I131" s="16" t="str">
        <f>IF(C131="","",IFERROR(VLOOKUP(C131,PO_Workflow!$A:$Q,6,0),""))</f>
        <v/>
      </c>
      <c r="J131" s="17" t="str">
        <f>IF(C131="","",IFERROR(VLOOKUP(C131,PO_Workflow!$A:$Q,11,0),""))</f>
        <v/>
      </c>
      <c r="K131" s="17" t="str">
        <f>IF(C131="","",IFERROR(VLOOKUP(C131,PO_Workflow!$A:$Q,12,0),""))</f>
        <v/>
      </c>
      <c r="L131" s="17" t="str">
        <f>IF(C131="","",IFERROR(VLOOKUP(C131,PO_Workflow!$A:$Q,13,0),""))</f>
        <v/>
      </c>
      <c r="M131" s="18" t="str">
        <f t="shared" si="3"/>
        <v/>
      </c>
      <c r="O131" s="19" t="str">
        <f>IF(C131="","",IFERROR(VLOOKUP(C131,PO_Workflow!$A:$Q,7,0),""))</f>
        <v/>
      </c>
      <c r="P131" s="19"/>
      <c r="Q131" s="16" t="str">
        <f>IF(C131="","",IFERROR(VLOOKUP(C131,PO_Workflow!$A:$Q,14,0),""))</f>
        <v/>
      </c>
      <c r="R131" s="20" t="str">
        <f>IF(C131="","",IFERROR(VLOOKUP(C131,PO_Workflow!$A:$Q,15,0),""))</f>
        <v/>
      </c>
      <c r="T131" s="16" t="str">
        <f>IF(C131="","",IFERROR(VLOOKUP(C131,PO_Workflow!$A:$Q,8,0),""))</f>
        <v/>
      </c>
      <c r="U131" s="21" t="str">
        <f t="shared" si="4"/>
        <v/>
      </c>
      <c r="V131" t="str">
        <f t="shared" si="5"/>
        <v/>
      </c>
    </row>
    <row r="132" spans="1:22" ht="15" customHeight="1" x14ac:dyDescent="0.35">
      <c r="A132" s="22"/>
      <c r="B132" s="22"/>
      <c r="C132" s="23"/>
      <c r="D132" t="str">
        <f>IF(C132&lt;&gt;"",IFERROR(VLOOKUP(C132,PO_Workflow!$A:$Q,10,0),""),IF(E132="","","PO-"&amp;TEXT(ROW()-2,"0000")))</f>
        <v/>
      </c>
      <c r="E132" s="16" t="str">
        <f>IF(C132="","",IFERROR(VLOOKUP(C132,PO_Workflow!$A:$Q,3,0),""))</f>
        <v/>
      </c>
      <c r="F132" s="16" t="str">
        <f>IF(C132="","",IFERROR(VLOOKUP(C132,PO_Workflow!$A:$Q,3,0),""))</f>
        <v/>
      </c>
      <c r="G132" s="16" t="str">
        <f>IF(C132="","",IFERROR(VLOOKUP(C132,PO_Workflow!$A:$Q,16,0),""))</f>
        <v/>
      </c>
      <c r="H132" s="16" t="str">
        <f>IF(C132="","",IFERROR(VLOOKUP(C132,PO_Workflow!$A:$Q,5,0),""))</f>
        <v/>
      </c>
      <c r="I132" s="16" t="str">
        <f>IF(C132="","",IFERROR(VLOOKUP(C132,PO_Workflow!$A:$Q,6,0),""))</f>
        <v/>
      </c>
      <c r="J132" s="17" t="str">
        <f>IF(C132="","",IFERROR(VLOOKUP(C132,PO_Workflow!$A:$Q,11,0),""))</f>
        <v/>
      </c>
      <c r="K132" s="17" t="str">
        <f>IF(C132="","",IFERROR(VLOOKUP(C132,PO_Workflow!$A:$Q,12,0),""))</f>
        <v/>
      </c>
      <c r="L132" s="17" t="str">
        <f>IF(C132="","",IFERROR(VLOOKUP(C132,PO_Workflow!$A:$Q,13,0),""))</f>
        <v/>
      </c>
      <c r="M132" s="18" t="str">
        <f t="shared" si="3"/>
        <v/>
      </c>
      <c r="O132" s="19" t="str">
        <f>IF(C132="","",IFERROR(VLOOKUP(C132,PO_Workflow!$A:$Q,7,0),""))</f>
        <v/>
      </c>
      <c r="P132" s="19"/>
      <c r="Q132" s="16" t="str">
        <f>IF(C132="","",IFERROR(VLOOKUP(C132,PO_Workflow!$A:$Q,14,0),""))</f>
        <v/>
      </c>
      <c r="R132" s="20" t="str">
        <f>IF(C132="","",IFERROR(VLOOKUP(C132,PO_Workflow!$A:$Q,15,0),""))</f>
        <v/>
      </c>
      <c r="T132" s="16" t="str">
        <f>IF(C132="","",IFERROR(VLOOKUP(C132,PO_Workflow!$A:$Q,8,0),""))</f>
        <v/>
      </c>
      <c r="U132" s="21" t="str">
        <f t="shared" si="4"/>
        <v/>
      </c>
      <c r="V132" t="str">
        <f t="shared" si="5"/>
        <v/>
      </c>
    </row>
    <row r="133" spans="1:22" ht="15" customHeight="1" x14ac:dyDescent="0.35">
      <c r="A133" s="22"/>
      <c r="B133" s="22"/>
      <c r="C133" s="23"/>
      <c r="D133" t="str">
        <f>IF(C133&lt;&gt;"",IFERROR(VLOOKUP(C133,PO_Workflow!$A:$Q,10,0),""),IF(E133="","","PO-"&amp;TEXT(ROW()-2,"0000")))</f>
        <v/>
      </c>
      <c r="E133" s="16" t="str">
        <f>IF(C133="","",IFERROR(VLOOKUP(C133,PO_Workflow!$A:$Q,3,0),""))</f>
        <v/>
      </c>
      <c r="F133" s="16" t="str">
        <f>IF(C133="","",IFERROR(VLOOKUP(C133,PO_Workflow!$A:$Q,3,0),""))</f>
        <v/>
      </c>
      <c r="G133" s="16" t="str">
        <f>IF(C133="","",IFERROR(VLOOKUP(C133,PO_Workflow!$A:$Q,16,0),""))</f>
        <v/>
      </c>
      <c r="H133" s="16" t="str">
        <f>IF(C133="","",IFERROR(VLOOKUP(C133,PO_Workflow!$A:$Q,5,0),""))</f>
        <v/>
      </c>
      <c r="I133" s="16" t="str">
        <f>IF(C133="","",IFERROR(VLOOKUP(C133,PO_Workflow!$A:$Q,6,0),""))</f>
        <v/>
      </c>
      <c r="J133" s="17" t="str">
        <f>IF(C133="","",IFERROR(VLOOKUP(C133,PO_Workflow!$A:$Q,11,0),""))</f>
        <v/>
      </c>
      <c r="K133" s="17" t="str">
        <f>IF(C133="","",IFERROR(VLOOKUP(C133,PO_Workflow!$A:$Q,12,0),""))</f>
        <v/>
      </c>
      <c r="L133" s="17" t="str">
        <f>IF(C133="","",IFERROR(VLOOKUP(C133,PO_Workflow!$A:$Q,13,0),""))</f>
        <v/>
      </c>
      <c r="M133" s="18" t="str">
        <f t="shared" si="3"/>
        <v/>
      </c>
      <c r="O133" s="19" t="str">
        <f>IF(C133="","",IFERROR(VLOOKUP(C133,PO_Workflow!$A:$Q,7,0),""))</f>
        <v/>
      </c>
      <c r="P133" s="19"/>
      <c r="Q133" s="16" t="str">
        <f>IF(C133="","",IFERROR(VLOOKUP(C133,PO_Workflow!$A:$Q,14,0),""))</f>
        <v/>
      </c>
      <c r="R133" s="20" t="str">
        <f>IF(C133="","",IFERROR(VLOOKUP(C133,PO_Workflow!$A:$Q,15,0),""))</f>
        <v/>
      </c>
      <c r="T133" s="16" t="str">
        <f>IF(C133="","",IFERROR(VLOOKUP(C133,PO_Workflow!$A:$Q,8,0),""))</f>
        <v/>
      </c>
      <c r="U133" s="21" t="str">
        <f t="shared" si="4"/>
        <v/>
      </c>
      <c r="V133" t="str">
        <f t="shared" si="5"/>
        <v/>
      </c>
    </row>
    <row r="134" spans="1:22" ht="15" customHeight="1" x14ac:dyDescent="0.35">
      <c r="A134" s="22"/>
      <c r="B134" s="22"/>
      <c r="C134" s="23"/>
      <c r="D134" t="str">
        <f>IF(C134&lt;&gt;"",IFERROR(VLOOKUP(C134,PO_Workflow!$A:$Q,10,0),""),IF(E134="","","PO-"&amp;TEXT(ROW()-2,"0000")))</f>
        <v/>
      </c>
      <c r="E134" s="16" t="str">
        <f>IF(C134="","",IFERROR(VLOOKUP(C134,PO_Workflow!$A:$Q,3,0),""))</f>
        <v/>
      </c>
      <c r="F134" s="16" t="str">
        <f>IF(C134="","",IFERROR(VLOOKUP(C134,PO_Workflow!$A:$Q,3,0),""))</f>
        <v/>
      </c>
      <c r="G134" s="16" t="str">
        <f>IF(C134="","",IFERROR(VLOOKUP(C134,PO_Workflow!$A:$Q,16,0),""))</f>
        <v/>
      </c>
      <c r="H134" s="16" t="str">
        <f>IF(C134="","",IFERROR(VLOOKUP(C134,PO_Workflow!$A:$Q,5,0),""))</f>
        <v/>
      </c>
      <c r="I134" s="16" t="str">
        <f>IF(C134="","",IFERROR(VLOOKUP(C134,PO_Workflow!$A:$Q,6,0),""))</f>
        <v/>
      </c>
      <c r="J134" s="17" t="str">
        <f>IF(C134="","",IFERROR(VLOOKUP(C134,PO_Workflow!$A:$Q,11,0),""))</f>
        <v/>
      </c>
      <c r="K134" s="17" t="str">
        <f>IF(C134="","",IFERROR(VLOOKUP(C134,PO_Workflow!$A:$Q,12,0),""))</f>
        <v/>
      </c>
      <c r="L134" s="17" t="str">
        <f>IF(C134="","",IFERROR(VLOOKUP(C134,PO_Workflow!$A:$Q,13,0),""))</f>
        <v/>
      </c>
      <c r="M134" s="18" t="str">
        <f t="shared" si="3"/>
        <v/>
      </c>
      <c r="O134" s="19" t="str">
        <f>IF(C134="","",IFERROR(VLOOKUP(C134,PO_Workflow!$A:$Q,7,0),""))</f>
        <v/>
      </c>
      <c r="P134" s="19"/>
      <c r="Q134" s="16" t="str">
        <f>IF(C134="","",IFERROR(VLOOKUP(C134,PO_Workflow!$A:$Q,14,0),""))</f>
        <v/>
      </c>
      <c r="R134" s="20" t="str">
        <f>IF(C134="","",IFERROR(VLOOKUP(C134,PO_Workflow!$A:$Q,15,0),""))</f>
        <v/>
      </c>
      <c r="T134" s="16" t="str">
        <f>IF(C134="","",IFERROR(VLOOKUP(C134,PO_Workflow!$A:$Q,8,0),""))</f>
        <v/>
      </c>
      <c r="U134" s="21" t="str">
        <f t="shared" si="4"/>
        <v/>
      </c>
      <c r="V134" t="str">
        <f t="shared" si="5"/>
        <v/>
      </c>
    </row>
    <row r="135" spans="1:22" ht="15" customHeight="1" x14ac:dyDescent="0.35">
      <c r="A135" s="22"/>
      <c r="B135" s="22"/>
      <c r="C135" s="23"/>
      <c r="D135" t="str">
        <f>IF(C135&lt;&gt;"",IFERROR(VLOOKUP(C135,PO_Workflow!$A:$Q,10,0),""),IF(E135="","","PO-"&amp;TEXT(ROW()-2,"0000")))</f>
        <v/>
      </c>
      <c r="E135" s="16" t="str">
        <f>IF(C135="","",IFERROR(VLOOKUP(C135,PO_Workflow!$A:$Q,3,0),""))</f>
        <v/>
      </c>
      <c r="F135" s="16" t="str">
        <f>IF(C135="","",IFERROR(VLOOKUP(C135,PO_Workflow!$A:$Q,3,0),""))</f>
        <v/>
      </c>
      <c r="G135" s="16" t="str">
        <f>IF(C135="","",IFERROR(VLOOKUP(C135,PO_Workflow!$A:$Q,16,0),""))</f>
        <v/>
      </c>
      <c r="H135" s="16" t="str">
        <f>IF(C135="","",IFERROR(VLOOKUP(C135,PO_Workflow!$A:$Q,5,0),""))</f>
        <v/>
      </c>
      <c r="I135" s="16" t="str">
        <f>IF(C135="","",IFERROR(VLOOKUP(C135,PO_Workflow!$A:$Q,6,0),""))</f>
        <v/>
      </c>
      <c r="J135" s="17" t="str">
        <f>IF(C135="","",IFERROR(VLOOKUP(C135,PO_Workflow!$A:$Q,11,0),""))</f>
        <v/>
      </c>
      <c r="K135" s="17" t="str">
        <f>IF(C135="","",IFERROR(VLOOKUP(C135,PO_Workflow!$A:$Q,12,0),""))</f>
        <v/>
      </c>
      <c r="L135" s="17" t="str">
        <f>IF(C135="","",IFERROR(VLOOKUP(C135,PO_Workflow!$A:$Q,13,0),""))</f>
        <v/>
      </c>
      <c r="M135" s="18" t="str">
        <f t="shared" si="3"/>
        <v/>
      </c>
      <c r="O135" s="19" t="str">
        <f>IF(C135="","",IFERROR(VLOOKUP(C135,PO_Workflow!$A:$Q,7,0),""))</f>
        <v/>
      </c>
      <c r="P135" s="19"/>
      <c r="Q135" s="16" t="str">
        <f>IF(C135="","",IFERROR(VLOOKUP(C135,PO_Workflow!$A:$Q,14,0),""))</f>
        <v/>
      </c>
      <c r="R135" s="20" t="str">
        <f>IF(C135="","",IFERROR(VLOOKUP(C135,PO_Workflow!$A:$Q,15,0),""))</f>
        <v/>
      </c>
      <c r="T135" s="16" t="str">
        <f>IF(C135="","",IFERROR(VLOOKUP(C135,PO_Workflow!$A:$Q,8,0),""))</f>
        <v/>
      </c>
      <c r="U135" s="21" t="str">
        <f t="shared" si="4"/>
        <v/>
      </c>
      <c r="V135" t="str">
        <f t="shared" si="5"/>
        <v/>
      </c>
    </row>
    <row r="136" spans="1:22" ht="15" customHeight="1" x14ac:dyDescent="0.35">
      <c r="A136" s="22"/>
      <c r="B136" s="22"/>
      <c r="C136" s="23"/>
      <c r="D136" t="str">
        <f>IF(C136&lt;&gt;"",IFERROR(VLOOKUP(C136,PO_Workflow!$A:$Q,10,0),""),IF(E136="","","PO-"&amp;TEXT(ROW()-2,"0000")))</f>
        <v/>
      </c>
      <c r="E136" s="16" t="str">
        <f>IF(C136="","",IFERROR(VLOOKUP(C136,PO_Workflow!$A:$Q,3,0),""))</f>
        <v/>
      </c>
      <c r="F136" s="16" t="str">
        <f>IF(C136="","",IFERROR(VLOOKUP(C136,PO_Workflow!$A:$Q,3,0),""))</f>
        <v/>
      </c>
      <c r="G136" s="16" t="str">
        <f>IF(C136="","",IFERROR(VLOOKUP(C136,PO_Workflow!$A:$Q,16,0),""))</f>
        <v/>
      </c>
      <c r="H136" s="16" t="str">
        <f>IF(C136="","",IFERROR(VLOOKUP(C136,PO_Workflow!$A:$Q,5,0),""))</f>
        <v/>
      </c>
      <c r="I136" s="16" t="str">
        <f>IF(C136="","",IFERROR(VLOOKUP(C136,PO_Workflow!$A:$Q,6,0),""))</f>
        <v/>
      </c>
      <c r="J136" s="17" t="str">
        <f>IF(C136="","",IFERROR(VLOOKUP(C136,PO_Workflow!$A:$Q,11,0),""))</f>
        <v/>
      </c>
      <c r="K136" s="17" t="str">
        <f>IF(C136="","",IFERROR(VLOOKUP(C136,PO_Workflow!$A:$Q,12,0),""))</f>
        <v/>
      </c>
      <c r="L136" s="17" t="str">
        <f>IF(C136="","",IFERROR(VLOOKUP(C136,PO_Workflow!$A:$Q,13,0),""))</f>
        <v/>
      </c>
      <c r="M136" s="18" t="str">
        <f t="shared" si="3"/>
        <v/>
      </c>
      <c r="O136" s="19" t="str">
        <f>IF(C136="","",IFERROR(VLOOKUP(C136,PO_Workflow!$A:$Q,7,0),""))</f>
        <v/>
      </c>
      <c r="P136" s="19"/>
      <c r="Q136" s="16" t="str">
        <f>IF(C136="","",IFERROR(VLOOKUP(C136,PO_Workflow!$A:$Q,14,0),""))</f>
        <v/>
      </c>
      <c r="R136" s="20" t="str">
        <f>IF(C136="","",IFERROR(VLOOKUP(C136,PO_Workflow!$A:$Q,15,0),""))</f>
        <v/>
      </c>
      <c r="T136" s="16" t="str">
        <f>IF(C136="","",IFERROR(VLOOKUP(C136,PO_Workflow!$A:$Q,8,0),""))</f>
        <v/>
      </c>
      <c r="U136" s="21" t="str">
        <f t="shared" si="4"/>
        <v/>
      </c>
      <c r="V136" t="str">
        <f t="shared" si="5"/>
        <v/>
      </c>
    </row>
    <row r="137" spans="1:22" ht="15" customHeight="1" x14ac:dyDescent="0.35">
      <c r="A137" s="22"/>
      <c r="B137" s="22"/>
      <c r="C137" s="23"/>
      <c r="D137" t="str">
        <f>IF(C137&lt;&gt;"",IFERROR(VLOOKUP(C137,PO_Workflow!$A:$Q,10,0),""),IF(E137="","","PO-"&amp;TEXT(ROW()-2,"0000")))</f>
        <v/>
      </c>
      <c r="E137" s="16" t="str">
        <f>IF(C137="","",IFERROR(VLOOKUP(C137,PO_Workflow!$A:$Q,3,0),""))</f>
        <v/>
      </c>
      <c r="F137" s="16" t="str">
        <f>IF(C137="","",IFERROR(VLOOKUP(C137,PO_Workflow!$A:$Q,3,0),""))</f>
        <v/>
      </c>
      <c r="G137" s="16" t="str">
        <f>IF(C137="","",IFERROR(VLOOKUP(C137,PO_Workflow!$A:$Q,16,0),""))</f>
        <v/>
      </c>
      <c r="H137" s="16" t="str">
        <f>IF(C137="","",IFERROR(VLOOKUP(C137,PO_Workflow!$A:$Q,5,0),""))</f>
        <v/>
      </c>
      <c r="I137" s="16" t="str">
        <f>IF(C137="","",IFERROR(VLOOKUP(C137,PO_Workflow!$A:$Q,6,0),""))</f>
        <v/>
      </c>
      <c r="J137" s="17" t="str">
        <f>IF(C137="","",IFERROR(VLOOKUP(C137,PO_Workflow!$A:$Q,11,0),""))</f>
        <v/>
      </c>
      <c r="K137" s="17" t="str">
        <f>IF(C137="","",IFERROR(VLOOKUP(C137,PO_Workflow!$A:$Q,12,0),""))</f>
        <v/>
      </c>
      <c r="L137" s="17" t="str">
        <f>IF(C137="","",IFERROR(VLOOKUP(C137,PO_Workflow!$A:$Q,13,0),""))</f>
        <v/>
      </c>
      <c r="M137" s="18" t="str">
        <f t="shared" si="3"/>
        <v/>
      </c>
      <c r="O137" s="19" t="str">
        <f>IF(C137="","",IFERROR(VLOOKUP(C137,PO_Workflow!$A:$Q,7,0),""))</f>
        <v/>
      </c>
      <c r="P137" s="19"/>
      <c r="Q137" s="16" t="str">
        <f>IF(C137="","",IFERROR(VLOOKUP(C137,PO_Workflow!$A:$Q,14,0),""))</f>
        <v/>
      </c>
      <c r="R137" s="20" t="str">
        <f>IF(C137="","",IFERROR(VLOOKUP(C137,PO_Workflow!$A:$Q,15,0),""))</f>
        <v/>
      </c>
      <c r="T137" s="16" t="str">
        <f>IF(C137="","",IFERROR(VLOOKUP(C137,PO_Workflow!$A:$Q,8,0),""))</f>
        <v/>
      </c>
      <c r="U137" s="21" t="str">
        <f t="shared" si="4"/>
        <v/>
      </c>
      <c r="V137" t="str">
        <f t="shared" si="5"/>
        <v/>
      </c>
    </row>
    <row r="138" spans="1:22" ht="15" customHeight="1" x14ac:dyDescent="0.35">
      <c r="A138" s="22"/>
      <c r="B138" s="22"/>
      <c r="C138" s="23"/>
      <c r="D138" t="str">
        <f>IF(C138&lt;&gt;"",IFERROR(VLOOKUP(C138,PO_Workflow!$A:$Q,10,0),""),IF(E138="","","PO-"&amp;TEXT(ROW()-2,"0000")))</f>
        <v/>
      </c>
      <c r="E138" s="16" t="str">
        <f>IF(C138="","",IFERROR(VLOOKUP(C138,PO_Workflow!$A:$Q,3,0),""))</f>
        <v/>
      </c>
      <c r="F138" s="16" t="str">
        <f>IF(C138="","",IFERROR(VLOOKUP(C138,PO_Workflow!$A:$Q,3,0),""))</f>
        <v/>
      </c>
      <c r="G138" s="16" t="str">
        <f>IF(C138="","",IFERROR(VLOOKUP(C138,PO_Workflow!$A:$Q,16,0),""))</f>
        <v/>
      </c>
      <c r="H138" s="16" t="str">
        <f>IF(C138="","",IFERROR(VLOOKUP(C138,PO_Workflow!$A:$Q,5,0),""))</f>
        <v/>
      </c>
      <c r="I138" s="16" t="str">
        <f>IF(C138="","",IFERROR(VLOOKUP(C138,PO_Workflow!$A:$Q,6,0),""))</f>
        <v/>
      </c>
      <c r="J138" s="17" t="str">
        <f>IF(C138="","",IFERROR(VLOOKUP(C138,PO_Workflow!$A:$Q,11,0),""))</f>
        <v/>
      </c>
      <c r="K138" s="17" t="str">
        <f>IF(C138="","",IFERROR(VLOOKUP(C138,PO_Workflow!$A:$Q,12,0),""))</f>
        <v/>
      </c>
      <c r="L138" s="17" t="str">
        <f>IF(C138="","",IFERROR(VLOOKUP(C138,PO_Workflow!$A:$Q,13,0),""))</f>
        <v/>
      </c>
      <c r="M138" s="18" t="str">
        <f t="shared" si="3"/>
        <v/>
      </c>
      <c r="O138" s="19" t="str">
        <f>IF(C138="","",IFERROR(VLOOKUP(C138,PO_Workflow!$A:$Q,7,0),""))</f>
        <v/>
      </c>
      <c r="P138" s="19"/>
      <c r="Q138" s="16" t="str">
        <f>IF(C138="","",IFERROR(VLOOKUP(C138,PO_Workflow!$A:$Q,14,0),""))</f>
        <v/>
      </c>
      <c r="R138" s="20" t="str">
        <f>IF(C138="","",IFERROR(VLOOKUP(C138,PO_Workflow!$A:$Q,15,0),""))</f>
        <v/>
      </c>
      <c r="T138" s="16" t="str">
        <f>IF(C138="","",IFERROR(VLOOKUP(C138,PO_Workflow!$A:$Q,8,0),""))</f>
        <v/>
      </c>
      <c r="U138" s="21" t="str">
        <f t="shared" si="4"/>
        <v/>
      </c>
      <c r="V138" t="str">
        <f t="shared" si="5"/>
        <v/>
      </c>
    </row>
    <row r="139" spans="1:22" ht="15" customHeight="1" x14ac:dyDescent="0.35">
      <c r="A139" s="22"/>
      <c r="B139" s="22"/>
      <c r="C139" s="23"/>
      <c r="D139" t="str">
        <f>IF(C139&lt;&gt;"",IFERROR(VLOOKUP(C139,PO_Workflow!$A:$Q,10,0),""),IF(E139="","","PO-"&amp;TEXT(ROW()-2,"0000")))</f>
        <v/>
      </c>
      <c r="E139" s="16" t="str">
        <f>IF(C139="","",IFERROR(VLOOKUP(C139,PO_Workflow!$A:$Q,3,0),""))</f>
        <v/>
      </c>
      <c r="F139" s="16" t="str">
        <f>IF(C139="","",IFERROR(VLOOKUP(C139,PO_Workflow!$A:$Q,3,0),""))</f>
        <v/>
      </c>
      <c r="G139" s="16" t="str">
        <f>IF(C139="","",IFERROR(VLOOKUP(C139,PO_Workflow!$A:$Q,16,0),""))</f>
        <v/>
      </c>
      <c r="H139" s="16" t="str">
        <f>IF(C139="","",IFERROR(VLOOKUP(C139,PO_Workflow!$A:$Q,5,0),""))</f>
        <v/>
      </c>
      <c r="I139" s="16" t="str">
        <f>IF(C139="","",IFERROR(VLOOKUP(C139,PO_Workflow!$A:$Q,6,0),""))</f>
        <v/>
      </c>
      <c r="J139" s="17" t="str">
        <f>IF(C139="","",IFERROR(VLOOKUP(C139,PO_Workflow!$A:$Q,11,0),""))</f>
        <v/>
      </c>
      <c r="K139" s="17" t="str">
        <f>IF(C139="","",IFERROR(VLOOKUP(C139,PO_Workflow!$A:$Q,12,0),""))</f>
        <v/>
      </c>
      <c r="L139" s="17" t="str">
        <f>IF(C139="","",IFERROR(VLOOKUP(C139,PO_Workflow!$A:$Q,13,0),""))</f>
        <v/>
      </c>
      <c r="M139" s="18" t="str">
        <f t="shared" si="3"/>
        <v/>
      </c>
      <c r="O139" s="19" t="str">
        <f>IF(C139="","",IFERROR(VLOOKUP(C139,PO_Workflow!$A:$Q,7,0),""))</f>
        <v/>
      </c>
      <c r="P139" s="19"/>
      <c r="Q139" s="16" t="str">
        <f>IF(C139="","",IFERROR(VLOOKUP(C139,PO_Workflow!$A:$Q,14,0),""))</f>
        <v/>
      </c>
      <c r="R139" s="20" t="str">
        <f>IF(C139="","",IFERROR(VLOOKUP(C139,PO_Workflow!$A:$Q,15,0),""))</f>
        <v/>
      </c>
      <c r="T139" s="16" t="str">
        <f>IF(C139="","",IFERROR(VLOOKUP(C139,PO_Workflow!$A:$Q,8,0),""))</f>
        <v/>
      </c>
      <c r="U139" s="21" t="str">
        <f t="shared" si="4"/>
        <v/>
      </c>
      <c r="V139" t="str">
        <f t="shared" si="5"/>
        <v/>
      </c>
    </row>
    <row r="140" spans="1:22" ht="15" customHeight="1" x14ac:dyDescent="0.35">
      <c r="A140" s="22"/>
      <c r="B140" s="22"/>
      <c r="C140" s="23"/>
      <c r="D140" t="str">
        <f>IF(C140&lt;&gt;"",IFERROR(VLOOKUP(C140,PO_Workflow!$A:$Q,10,0),""),IF(E140="","","PO-"&amp;TEXT(ROW()-2,"0000")))</f>
        <v/>
      </c>
      <c r="E140" s="16" t="str">
        <f>IF(C140="","",IFERROR(VLOOKUP(C140,PO_Workflow!$A:$Q,3,0),""))</f>
        <v/>
      </c>
      <c r="F140" s="16" t="str">
        <f>IF(C140="","",IFERROR(VLOOKUP(C140,PO_Workflow!$A:$Q,3,0),""))</f>
        <v/>
      </c>
      <c r="G140" s="16" t="str">
        <f>IF(C140="","",IFERROR(VLOOKUP(C140,PO_Workflow!$A:$Q,16,0),""))</f>
        <v/>
      </c>
      <c r="H140" s="16" t="str">
        <f>IF(C140="","",IFERROR(VLOOKUP(C140,PO_Workflow!$A:$Q,5,0),""))</f>
        <v/>
      </c>
      <c r="I140" s="16" t="str">
        <f>IF(C140="","",IFERROR(VLOOKUP(C140,PO_Workflow!$A:$Q,6,0),""))</f>
        <v/>
      </c>
      <c r="J140" s="17" t="str">
        <f>IF(C140="","",IFERROR(VLOOKUP(C140,PO_Workflow!$A:$Q,11,0),""))</f>
        <v/>
      </c>
      <c r="K140" s="17" t="str">
        <f>IF(C140="","",IFERROR(VLOOKUP(C140,PO_Workflow!$A:$Q,12,0),""))</f>
        <v/>
      </c>
      <c r="L140" s="17" t="str">
        <f>IF(C140="","",IFERROR(VLOOKUP(C140,PO_Workflow!$A:$Q,13,0),""))</f>
        <v/>
      </c>
      <c r="M140" s="18" t="str">
        <f t="shared" si="3"/>
        <v/>
      </c>
      <c r="O140" s="19" t="str">
        <f>IF(C140="","",IFERROR(VLOOKUP(C140,PO_Workflow!$A:$Q,7,0),""))</f>
        <v/>
      </c>
      <c r="P140" s="19"/>
      <c r="Q140" s="16" t="str">
        <f>IF(C140="","",IFERROR(VLOOKUP(C140,PO_Workflow!$A:$Q,14,0),""))</f>
        <v/>
      </c>
      <c r="R140" s="20" t="str">
        <f>IF(C140="","",IFERROR(VLOOKUP(C140,PO_Workflow!$A:$Q,15,0),""))</f>
        <v/>
      </c>
      <c r="T140" s="16" t="str">
        <f>IF(C140="","",IFERROR(VLOOKUP(C140,PO_Workflow!$A:$Q,8,0),""))</f>
        <v/>
      </c>
      <c r="U140" s="21" t="str">
        <f t="shared" si="4"/>
        <v/>
      </c>
      <c r="V140" t="str">
        <f t="shared" si="5"/>
        <v/>
      </c>
    </row>
    <row r="141" spans="1:22" ht="15" customHeight="1" x14ac:dyDescent="0.35">
      <c r="A141" s="22"/>
      <c r="B141" s="22"/>
      <c r="C141" s="23"/>
      <c r="D141" t="str">
        <f>IF(C141&lt;&gt;"",IFERROR(VLOOKUP(C141,PO_Workflow!$A:$Q,10,0),""),IF(E141="","","PO-"&amp;TEXT(ROW()-2,"0000")))</f>
        <v/>
      </c>
      <c r="E141" s="16" t="str">
        <f>IF(C141="","",IFERROR(VLOOKUP(C141,PO_Workflow!$A:$Q,3,0),""))</f>
        <v/>
      </c>
      <c r="F141" s="16" t="str">
        <f>IF(C141="","",IFERROR(VLOOKUP(C141,PO_Workflow!$A:$Q,3,0),""))</f>
        <v/>
      </c>
      <c r="G141" s="16" t="str">
        <f>IF(C141="","",IFERROR(VLOOKUP(C141,PO_Workflow!$A:$Q,16,0),""))</f>
        <v/>
      </c>
      <c r="H141" s="16" t="str">
        <f>IF(C141="","",IFERROR(VLOOKUP(C141,PO_Workflow!$A:$Q,5,0),""))</f>
        <v/>
      </c>
      <c r="I141" s="16" t="str">
        <f>IF(C141="","",IFERROR(VLOOKUP(C141,PO_Workflow!$A:$Q,6,0),""))</f>
        <v/>
      </c>
      <c r="J141" s="17" t="str">
        <f>IF(C141="","",IFERROR(VLOOKUP(C141,PO_Workflow!$A:$Q,11,0),""))</f>
        <v/>
      </c>
      <c r="K141" s="17" t="str">
        <f>IF(C141="","",IFERROR(VLOOKUP(C141,PO_Workflow!$A:$Q,12,0),""))</f>
        <v/>
      </c>
      <c r="L141" s="17" t="str">
        <f>IF(C141="","",IFERROR(VLOOKUP(C141,PO_Workflow!$A:$Q,13,0),""))</f>
        <v/>
      </c>
      <c r="M141" s="18" t="str">
        <f t="shared" si="3"/>
        <v/>
      </c>
      <c r="O141" s="19" t="str">
        <f>IF(C141="","",IFERROR(VLOOKUP(C141,PO_Workflow!$A:$Q,7,0),""))</f>
        <v/>
      </c>
      <c r="P141" s="19"/>
      <c r="Q141" s="16" t="str">
        <f>IF(C141="","",IFERROR(VLOOKUP(C141,PO_Workflow!$A:$Q,14,0),""))</f>
        <v/>
      </c>
      <c r="R141" s="20" t="str">
        <f>IF(C141="","",IFERROR(VLOOKUP(C141,PO_Workflow!$A:$Q,15,0),""))</f>
        <v/>
      </c>
      <c r="T141" s="16" t="str">
        <f>IF(C141="","",IFERROR(VLOOKUP(C141,PO_Workflow!$A:$Q,8,0),""))</f>
        <v/>
      </c>
      <c r="U141" s="21" t="str">
        <f t="shared" si="4"/>
        <v/>
      </c>
      <c r="V141" t="str">
        <f t="shared" si="5"/>
        <v/>
      </c>
    </row>
    <row r="142" spans="1:22" ht="15" customHeight="1" x14ac:dyDescent="0.35">
      <c r="A142" s="22"/>
      <c r="B142" s="22"/>
      <c r="C142" s="23"/>
      <c r="D142" t="str">
        <f>IF(C142&lt;&gt;"",IFERROR(VLOOKUP(C142,PO_Workflow!$A:$Q,10,0),""),IF(E142="","","PO-"&amp;TEXT(ROW()-2,"0000")))</f>
        <v/>
      </c>
      <c r="E142" s="16" t="str">
        <f>IF(C142="","",IFERROR(VLOOKUP(C142,PO_Workflow!$A:$Q,3,0),""))</f>
        <v/>
      </c>
      <c r="F142" s="16" t="str">
        <f>IF(C142="","",IFERROR(VLOOKUP(C142,PO_Workflow!$A:$Q,3,0),""))</f>
        <v/>
      </c>
      <c r="G142" s="16" t="str">
        <f>IF(C142="","",IFERROR(VLOOKUP(C142,PO_Workflow!$A:$Q,16,0),""))</f>
        <v/>
      </c>
      <c r="H142" s="16" t="str">
        <f>IF(C142="","",IFERROR(VLOOKUP(C142,PO_Workflow!$A:$Q,5,0),""))</f>
        <v/>
      </c>
      <c r="I142" s="16" t="str">
        <f>IF(C142="","",IFERROR(VLOOKUP(C142,PO_Workflow!$A:$Q,6,0),""))</f>
        <v/>
      </c>
      <c r="J142" s="17" t="str">
        <f>IF(C142="","",IFERROR(VLOOKUP(C142,PO_Workflow!$A:$Q,11,0),""))</f>
        <v/>
      </c>
      <c r="K142" s="17" t="str">
        <f>IF(C142="","",IFERROR(VLOOKUP(C142,PO_Workflow!$A:$Q,12,0),""))</f>
        <v/>
      </c>
      <c r="L142" s="17" t="str">
        <f>IF(C142="","",IFERROR(VLOOKUP(C142,PO_Workflow!$A:$Q,13,0),""))</f>
        <v/>
      </c>
      <c r="M142" s="18" t="str">
        <f t="shared" si="3"/>
        <v/>
      </c>
      <c r="O142" s="19" t="str">
        <f>IF(C142="","",IFERROR(VLOOKUP(C142,PO_Workflow!$A:$Q,7,0),""))</f>
        <v/>
      </c>
      <c r="P142" s="19"/>
      <c r="Q142" s="16" t="str">
        <f>IF(C142="","",IFERROR(VLOOKUP(C142,PO_Workflow!$A:$Q,14,0),""))</f>
        <v/>
      </c>
      <c r="R142" s="20" t="str">
        <f>IF(C142="","",IFERROR(VLOOKUP(C142,PO_Workflow!$A:$Q,15,0),""))</f>
        <v/>
      </c>
      <c r="T142" s="16" t="str">
        <f>IF(C142="","",IFERROR(VLOOKUP(C142,PO_Workflow!$A:$Q,8,0),""))</f>
        <v/>
      </c>
      <c r="U142" s="21" t="str">
        <f t="shared" si="4"/>
        <v/>
      </c>
      <c r="V142" t="str">
        <f t="shared" si="5"/>
        <v/>
      </c>
    </row>
    <row r="143" spans="1:22" ht="15" customHeight="1" x14ac:dyDescent="0.35">
      <c r="A143" s="22"/>
      <c r="B143" s="22"/>
      <c r="C143" s="23"/>
      <c r="D143" t="str">
        <f>IF(C143&lt;&gt;"",IFERROR(VLOOKUP(C143,PO_Workflow!$A:$Q,10,0),""),IF(E143="","","PO-"&amp;TEXT(ROW()-2,"0000")))</f>
        <v/>
      </c>
      <c r="E143" s="16" t="str">
        <f>IF(C143="","",IFERROR(VLOOKUP(C143,PO_Workflow!$A:$Q,3,0),""))</f>
        <v/>
      </c>
      <c r="F143" s="16" t="str">
        <f>IF(C143="","",IFERROR(VLOOKUP(C143,PO_Workflow!$A:$Q,3,0),""))</f>
        <v/>
      </c>
      <c r="G143" s="16" t="str">
        <f>IF(C143="","",IFERROR(VLOOKUP(C143,PO_Workflow!$A:$Q,16,0),""))</f>
        <v/>
      </c>
      <c r="H143" s="16" t="str">
        <f>IF(C143="","",IFERROR(VLOOKUP(C143,PO_Workflow!$A:$Q,5,0),""))</f>
        <v/>
      </c>
      <c r="I143" s="16" t="str">
        <f>IF(C143="","",IFERROR(VLOOKUP(C143,PO_Workflow!$A:$Q,6,0),""))</f>
        <v/>
      </c>
      <c r="J143" s="17" t="str">
        <f>IF(C143="","",IFERROR(VLOOKUP(C143,PO_Workflow!$A:$Q,11,0),""))</f>
        <v/>
      </c>
      <c r="K143" s="17" t="str">
        <f>IF(C143="","",IFERROR(VLOOKUP(C143,PO_Workflow!$A:$Q,12,0),""))</f>
        <v/>
      </c>
      <c r="L143" s="17" t="str">
        <f>IF(C143="","",IFERROR(VLOOKUP(C143,PO_Workflow!$A:$Q,13,0),""))</f>
        <v/>
      </c>
      <c r="M143" s="18" t="str">
        <f t="shared" si="3"/>
        <v/>
      </c>
      <c r="O143" s="19" t="str">
        <f>IF(C143="","",IFERROR(VLOOKUP(C143,PO_Workflow!$A:$Q,7,0),""))</f>
        <v/>
      </c>
      <c r="P143" s="19"/>
      <c r="Q143" s="16" t="str">
        <f>IF(C143="","",IFERROR(VLOOKUP(C143,PO_Workflow!$A:$Q,14,0),""))</f>
        <v/>
      </c>
      <c r="R143" s="20" t="str">
        <f>IF(C143="","",IFERROR(VLOOKUP(C143,PO_Workflow!$A:$Q,15,0),""))</f>
        <v/>
      </c>
      <c r="T143" s="16" t="str">
        <f>IF(C143="","",IFERROR(VLOOKUP(C143,PO_Workflow!$A:$Q,8,0),""))</f>
        <v/>
      </c>
      <c r="U143" s="21" t="str">
        <f t="shared" si="4"/>
        <v/>
      </c>
      <c r="V143" t="str">
        <f t="shared" si="5"/>
        <v/>
      </c>
    </row>
    <row r="144" spans="1:22" ht="15" customHeight="1" x14ac:dyDescent="0.35">
      <c r="A144" s="22"/>
      <c r="B144" s="22"/>
      <c r="C144" s="23"/>
      <c r="D144" t="str">
        <f>IF(C144&lt;&gt;"",IFERROR(VLOOKUP(C144,PO_Workflow!$A:$Q,10,0),""),IF(E144="","","PO-"&amp;TEXT(ROW()-2,"0000")))</f>
        <v/>
      </c>
      <c r="E144" s="16" t="str">
        <f>IF(C144="","",IFERROR(VLOOKUP(C144,PO_Workflow!$A:$Q,3,0),""))</f>
        <v/>
      </c>
      <c r="F144" s="16" t="str">
        <f>IF(C144="","",IFERROR(VLOOKUP(C144,PO_Workflow!$A:$Q,3,0),""))</f>
        <v/>
      </c>
      <c r="G144" s="16" t="str">
        <f>IF(C144="","",IFERROR(VLOOKUP(C144,PO_Workflow!$A:$Q,16,0),""))</f>
        <v/>
      </c>
      <c r="H144" s="16" t="str">
        <f>IF(C144="","",IFERROR(VLOOKUP(C144,PO_Workflow!$A:$Q,5,0),""))</f>
        <v/>
      </c>
      <c r="I144" s="16" t="str">
        <f>IF(C144="","",IFERROR(VLOOKUP(C144,PO_Workflow!$A:$Q,6,0),""))</f>
        <v/>
      </c>
      <c r="J144" s="17" t="str">
        <f>IF(C144="","",IFERROR(VLOOKUP(C144,PO_Workflow!$A:$Q,11,0),""))</f>
        <v/>
      </c>
      <c r="K144" s="17" t="str">
        <f>IF(C144="","",IFERROR(VLOOKUP(C144,PO_Workflow!$A:$Q,12,0),""))</f>
        <v/>
      </c>
      <c r="L144" s="17" t="str">
        <f>IF(C144="","",IFERROR(VLOOKUP(C144,PO_Workflow!$A:$Q,13,0),""))</f>
        <v/>
      </c>
      <c r="M144" s="18" t="str">
        <f t="shared" si="3"/>
        <v/>
      </c>
      <c r="O144" s="19" t="str">
        <f>IF(C144="","",IFERROR(VLOOKUP(C144,PO_Workflow!$A:$Q,7,0),""))</f>
        <v/>
      </c>
      <c r="P144" s="19"/>
      <c r="Q144" s="16" t="str">
        <f>IF(C144="","",IFERROR(VLOOKUP(C144,PO_Workflow!$A:$Q,14,0),""))</f>
        <v/>
      </c>
      <c r="R144" s="20" t="str">
        <f>IF(C144="","",IFERROR(VLOOKUP(C144,PO_Workflow!$A:$Q,15,0),""))</f>
        <v/>
      </c>
      <c r="T144" s="16" t="str">
        <f>IF(C144="","",IFERROR(VLOOKUP(C144,PO_Workflow!$A:$Q,8,0),""))</f>
        <v/>
      </c>
      <c r="U144" s="21" t="str">
        <f t="shared" si="4"/>
        <v/>
      </c>
      <c r="V144" t="str">
        <f t="shared" si="5"/>
        <v/>
      </c>
    </row>
    <row r="145" spans="1:22" ht="15" customHeight="1" x14ac:dyDescent="0.35">
      <c r="A145" s="22"/>
      <c r="B145" s="22"/>
      <c r="C145" s="23"/>
      <c r="D145" t="str">
        <f>IF(C145&lt;&gt;"",IFERROR(VLOOKUP(C145,PO_Workflow!$A:$Q,10,0),""),IF(E145="","","PO-"&amp;TEXT(ROW()-2,"0000")))</f>
        <v/>
      </c>
      <c r="E145" s="16" t="str">
        <f>IF(C145="","",IFERROR(VLOOKUP(C145,PO_Workflow!$A:$Q,3,0),""))</f>
        <v/>
      </c>
      <c r="F145" s="16" t="str">
        <f>IF(C145="","",IFERROR(VLOOKUP(C145,PO_Workflow!$A:$Q,3,0),""))</f>
        <v/>
      </c>
      <c r="G145" s="16" t="str">
        <f>IF(C145="","",IFERROR(VLOOKUP(C145,PO_Workflow!$A:$Q,16,0),""))</f>
        <v/>
      </c>
      <c r="H145" s="16" t="str">
        <f>IF(C145="","",IFERROR(VLOOKUP(C145,PO_Workflow!$A:$Q,5,0),""))</f>
        <v/>
      </c>
      <c r="I145" s="16" t="str">
        <f>IF(C145="","",IFERROR(VLOOKUP(C145,PO_Workflow!$A:$Q,6,0),""))</f>
        <v/>
      </c>
      <c r="J145" s="17" t="str">
        <f>IF(C145="","",IFERROR(VLOOKUP(C145,PO_Workflow!$A:$Q,11,0),""))</f>
        <v/>
      </c>
      <c r="K145" s="17" t="str">
        <f>IF(C145="","",IFERROR(VLOOKUP(C145,PO_Workflow!$A:$Q,12,0),""))</f>
        <v/>
      </c>
      <c r="L145" s="17" t="str">
        <f>IF(C145="","",IFERROR(VLOOKUP(C145,PO_Workflow!$A:$Q,13,0),""))</f>
        <v/>
      </c>
      <c r="M145" s="18" t="str">
        <f t="shared" si="3"/>
        <v/>
      </c>
      <c r="O145" s="19" t="str">
        <f>IF(C145="","",IFERROR(VLOOKUP(C145,PO_Workflow!$A:$Q,7,0),""))</f>
        <v/>
      </c>
      <c r="P145" s="19"/>
      <c r="Q145" s="16" t="str">
        <f>IF(C145="","",IFERROR(VLOOKUP(C145,PO_Workflow!$A:$Q,14,0),""))</f>
        <v/>
      </c>
      <c r="R145" s="20" t="str">
        <f>IF(C145="","",IFERROR(VLOOKUP(C145,PO_Workflow!$A:$Q,15,0),""))</f>
        <v/>
      </c>
      <c r="T145" s="16" t="str">
        <f>IF(C145="","",IFERROR(VLOOKUP(C145,PO_Workflow!$A:$Q,8,0),""))</f>
        <v/>
      </c>
      <c r="U145" s="21" t="str">
        <f t="shared" si="4"/>
        <v/>
      </c>
      <c r="V145" t="str">
        <f t="shared" si="5"/>
        <v/>
      </c>
    </row>
    <row r="146" spans="1:22" ht="15" customHeight="1" x14ac:dyDescent="0.35">
      <c r="A146" s="22"/>
      <c r="B146" s="22"/>
      <c r="C146" s="23"/>
      <c r="D146" t="str">
        <f>IF(C146&lt;&gt;"",IFERROR(VLOOKUP(C146,PO_Workflow!$A:$Q,10,0),""),IF(E146="","","PO-"&amp;TEXT(ROW()-2,"0000")))</f>
        <v/>
      </c>
      <c r="E146" s="16" t="str">
        <f>IF(C146="","",IFERROR(VLOOKUP(C146,PO_Workflow!$A:$Q,3,0),""))</f>
        <v/>
      </c>
      <c r="F146" s="16" t="str">
        <f>IF(C146="","",IFERROR(VLOOKUP(C146,PO_Workflow!$A:$Q,3,0),""))</f>
        <v/>
      </c>
      <c r="G146" s="16" t="str">
        <f>IF(C146="","",IFERROR(VLOOKUP(C146,PO_Workflow!$A:$Q,16,0),""))</f>
        <v/>
      </c>
      <c r="H146" s="16" t="str">
        <f>IF(C146="","",IFERROR(VLOOKUP(C146,PO_Workflow!$A:$Q,5,0),""))</f>
        <v/>
      </c>
      <c r="I146" s="16" t="str">
        <f>IF(C146="","",IFERROR(VLOOKUP(C146,PO_Workflow!$A:$Q,6,0),""))</f>
        <v/>
      </c>
      <c r="J146" s="17" t="str">
        <f>IF(C146="","",IFERROR(VLOOKUP(C146,PO_Workflow!$A:$Q,11,0),""))</f>
        <v/>
      </c>
      <c r="K146" s="17" t="str">
        <f>IF(C146="","",IFERROR(VLOOKUP(C146,PO_Workflow!$A:$Q,12,0),""))</f>
        <v/>
      </c>
      <c r="L146" s="17" t="str">
        <f>IF(C146="","",IFERROR(VLOOKUP(C146,PO_Workflow!$A:$Q,13,0),""))</f>
        <v/>
      </c>
      <c r="M146" s="18" t="str">
        <f t="shared" si="3"/>
        <v/>
      </c>
      <c r="O146" s="19" t="str">
        <f>IF(C146="","",IFERROR(VLOOKUP(C146,PO_Workflow!$A:$Q,7,0),""))</f>
        <v/>
      </c>
      <c r="P146" s="19"/>
      <c r="Q146" s="16" t="str">
        <f>IF(C146="","",IFERROR(VLOOKUP(C146,PO_Workflow!$A:$Q,14,0),""))</f>
        <v/>
      </c>
      <c r="R146" s="20" t="str">
        <f>IF(C146="","",IFERROR(VLOOKUP(C146,PO_Workflow!$A:$Q,15,0),""))</f>
        <v/>
      </c>
      <c r="T146" s="16" t="str">
        <f>IF(C146="","",IFERROR(VLOOKUP(C146,PO_Workflow!$A:$Q,8,0),""))</f>
        <v/>
      </c>
      <c r="U146" s="21" t="str">
        <f t="shared" si="4"/>
        <v/>
      </c>
      <c r="V146" t="str">
        <f t="shared" si="5"/>
        <v/>
      </c>
    </row>
    <row r="147" spans="1:22" ht="15" customHeight="1" x14ac:dyDescent="0.35">
      <c r="A147" s="22"/>
      <c r="B147" s="22"/>
      <c r="C147" s="23"/>
      <c r="D147" t="str">
        <f>IF(C147&lt;&gt;"",IFERROR(VLOOKUP(C147,PO_Workflow!$A:$Q,10,0),""),IF(E147="","","PO-"&amp;TEXT(ROW()-2,"0000")))</f>
        <v/>
      </c>
      <c r="E147" s="16" t="str">
        <f>IF(C147="","",IFERROR(VLOOKUP(C147,PO_Workflow!$A:$Q,3,0),""))</f>
        <v/>
      </c>
      <c r="F147" s="16" t="str">
        <f>IF(C147="","",IFERROR(VLOOKUP(C147,PO_Workflow!$A:$Q,3,0),""))</f>
        <v/>
      </c>
      <c r="G147" s="16" t="str">
        <f>IF(C147="","",IFERROR(VLOOKUP(C147,PO_Workflow!$A:$Q,16,0),""))</f>
        <v/>
      </c>
      <c r="H147" s="16" t="str">
        <f>IF(C147="","",IFERROR(VLOOKUP(C147,PO_Workflow!$A:$Q,5,0),""))</f>
        <v/>
      </c>
      <c r="I147" s="16" t="str">
        <f>IF(C147="","",IFERROR(VLOOKUP(C147,PO_Workflow!$A:$Q,6,0),""))</f>
        <v/>
      </c>
      <c r="J147" s="17" t="str">
        <f>IF(C147="","",IFERROR(VLOOKUP(C147,PO_Workflow!$A:$Q,11,0),""))</f>
        <v/>
      </c>
      <c r="K147" s="17" t="str">
        <f>IF(C147="","",IFERROR(VLOOKUP(C147,PO_Workflow!$A:$Q,12,0),""))</f>
        <v/>
      </c>
      <c r="L147" s="17" t="str">
        <f>IF(C147="","",IFERROR(VLOOKUP(C147,PO_Workflow!$A:$Q,13,0),""))</f>
        <v/>
      </c>
      <c r="M147" s="18" t="str">
        <f t="shared" si="3"/>
        <v/>
      </c>
      <c r="O147" s="19" t="str">
        <f>IF(C147="","",IFERROR(VLOOKUP(C147,PO_Workflow!$A:$Q,7,0),""))</f>
        <v/>
      </c>
      <c r="P147" s="19"/>
      <c r="Q147" s="16" t="str">
        <f>IF(C147="","",IFERROR(VLOOKUP(C147,PO_Workflow!$A:$Q,14,0),""))</f>
        <v/>
      </c>
      <c r="R147" s="20" t="str">
        <f>IF(C147="","",IFERROR(VLOOKUP(C147,PO_Workflow!$A:$Q,15,0),""))</f>
        <v/>
      </c>
      <c r="T147" s="16" t="str">
        <f>IF(C147="","",IFERROR(VLOOKUP(C147,PO_Workflow!$A:$Q,8,0),""))</f>
        <v/>
      </c>
      <c r="U147" s="21" t="str">
        <f t="shared" si="4"/>
        <v/>
      </c>
      <c r="V147" t="str">
        <f t="shared" si="5"/>
        <v/>
      </c>
    </row>
    <row r="148" spans="1:22" ht="15" customHeight="1" x14ac:dyDescent="0.35">
      <c r="A148" s="22"/>
      <c r="B148" s="22"/>
      <c r="C148" s="23"/>
      <c r="D148" t="str">
        <f>IF(C148&lt;&gt;"",IFERROR(VLOOKUP(C148,PO_Workflow!$A:$Q,10,0),""),IF(E148="","","PO-"&amp;TEXT(ROW()-2,"0000")))</f>
        <v/>
      </c>
      <c r="E148" s="16" t="str">
        <f>IF(C148="","",IFERROR(VLOOKUP(C148,PO_Workflow!$A:$Q,3,0),""))</f>
        <v/>
      </c>
      <c r="F148" s="16" t="str">
        <f>IF(C148="","",IFERROR(VLOOKUP(C148,PO_Workflow!$A:$Q,3,0),""))</f>
        <v/>
      </c>
      <c r="G148" s="16" t="str">
        <f>IF(C148="","",IFERROR(VLOOKUP(C148,PO_Workflow!$A:$Q,16,0),""))</f>
        <v/>
      </c>
      <c r="H148" s="16" t="str">
        <f>IF(C148="","",IFERROR(VLOOKUP(C148,PO_Workflow!$A:$Q,5,0),""))</f>
        <v/>
      </c>
      <c r="I148" s="16" t="str">
        <f>IF(C148="","",IFERROR(VLOOKUP(C148,PO_Workflow!$A:$Q,6,0),""))</f>
        <v/>
      </c>
      <c r="J148" s="17" t="str">
        <f>IF(C148="","",IFERROR(VLOOKUP(C148,PO_Workflow!$A:$Q,11,0),""))</f>
        <v/>
      </c>
      <c r="K148" s="17" t="str">
        <f>IF(C148="","",IFERROR(VLOOKUP(C148,PO_Workflow!$A:$Q,12,0),""))</f>
        <v/>
      </c>
      <c r="L148" s="17" t="str">
        <f>IF(C148="","",IFERROR(VLOOKUP(C148,PO_Workflow!$A:$Q,13,0),""))</f>
        <v/>
      </c>
      <c r="M148" s="18" t="str">
        <f t="shared" si="3"/>
        <v/>
      </c>
      <c r="O148" s="19" t="str">
        <f>IF(C148="","",IFERROR(VLOOKUP(C148,PO_Workflow!$A:$Q,7,0),""))</f>
        <v/>
      </c>
      <c r="P148" s="19"/>
      <c r="Q148" s="16" t="str">
        <f>IF(C148="","",IFERROR(VLOOKUP(C148,PO_Workflow!$A:$Q,14,0),""))</f>
        <v/>
      </c>
      <c r="R148" s="20" t="str">
        <f>IF(C148="","",IFERROR(VLOOKUP(C148,PO_Workflow!$A:$Q,15,0),""))</f>
        <v/>
      </c>
      <c r="T148" s="16" t="str">
        <f>IF(C148="","",IFERROR(VLOOKUP(C148,PO_Workflow!$A:$Q,8,0),""))</f>
        <v/>
      </c>
      <c r="U148" s="21" t="str">
        <f t="shared" si="4"/>
        <v/>
      </c>
      <c r="V148" t="str">
        <f t="shared" si="5"/>
        <v/>
      </c>
    </row>
    <row r="149" spans="1:22" ht="15" customHeight="1" x14ac:dyDescent="0.35">
      <c r="A149" s="22"/>
      <c r="B149" s="22"/>
      <c r="C149" s="23"/>
      <c r="D149" t="str">
        <f>IF(C149&lt;&gt;"",IFERROR(VLOOKUP(C149,PO_Workflow!$A:$Q,10,0),""),IF(E149="","","PO-"&amp;TEXT(ROW()-2,"0000")))</f>
        <v/>
      </c>
      <c r="E149" s="16" t="str">
        <f>IF(C149="","",IFERROR(VLOOKUP(C149,PO_Workflow!$A:$Q,3,0),""))</f>
        <v/>
      </c>
      <c r="F149" s="16" t="str">
        <f>IF(C149="","",IFERROR(VLOOKUP(C149,PO_Workflow!$A:$Q,3,0),""))</f>
        <v/>
      </c>
      <c r="G149" s="16" t="str">
        <f>IF(C149="","",IFERROR(VLOOKUP(C149,PO_Workflow!$A:$Q,16,0),""))</f>
        <v/>
      </c>
      <c r="H149" s="16" t="str">
        <f>IF(C149="","",IFERROR(VLOOKUP(C149,PO_Workflow!$A:$Q,5,0),""))</f>
        <v/>
      </c>
      <c r="I149" s="16" t="str">
        <f>IF(C149="","",IFERROR(VLOOKUP(C149,PO_Workflow!$A:$Q,6,0),""))</f>
        <v/>
      </c>
      <c r="J149" s="17" t="str">
        <f>IF(C149="","",IFERROR(VLOOKUP(C149,PO_Workflow!$A:$Q,11,0),""))</f>
        <v/>
      </c>
      <c r="K149" s="17" t="str">
        <f>IF(C149="","",IFERROR(VLOOKUP(C149,PO_Workflow!$A:$Q,12,0),""))</f>
        <v/>
      </c>
      <c r="L149" s="17" t="str">
        <f>IF(C149="","",IFERROR(VLOOKUP(C149,PO_Workflow!$A:$Q,13,0),""))</f>
        <v/>
      </c>
      <c r="M149" s="18" t="str">
        <f t="shared" si="3"/>
        <v/>
      </c>
      <c r="O149" s="19" t="str">
        <f>IF(C149="","",IFERROR(VLOOKUP(C149,PO_Workflow!$A:$Q,7,0),""))</f>
        <v/>
      </c>
      <c r="P149" s="19"/>
      <c r="Q149" s="16" t="str">
        <f>IF(C149="","",IFERROR(VLOOKUP(C149,PO_Workflow!$A:$Q,14,0),""))</f>
        <v/>
      </c>
      <c r="R149" s="20" t="str">
        <f>IF(C149="","",IFERROR(VLOOKUP(C149,PO_Workflow!$A:$Q,15,0),""))</f>
        <v/>
      </c>
      <c r="T149" s="16" t="str">
        <f>IF(C149="","",IFERROR(VLOOKUP(C149,PO_Workflow!$A:$Q,8,0),""))</f>
        <v/>
      </c>
      <c r="U149" s="21" t="str">
        <f t="shared" si="4"/>
        <v/>
      </c>
      <c r="V149" t="str">
        <f t="shared" si="5"/>
        <v/>
      </c>
    </row>
    <row r="150" spans="1:22" ht="15" customHeight="1" x14ac:dyDescent="0.35">
      <c r="A150" s="22"/>
      <c r="B150" s="22"/>
      <c r="C150" s="23"/>
      <c r="D150" t="str">
        <f>IF(C150&lt;&gt;"",IFERROR(VLOOKUP(C150,PO_Workflow!$A:$Q,10,0),""),IF(E150="","","PO-"&amp;TEXT(ROW()-2,"0000")))</f>
        <v/>
      </c>
      <c r="E150" s="16" t="str">
        <f>IF(C150="","",IFERROR(VLOOKUP(C150,PO_Workflow!$A:$Q,3,0),""))</f>
        <v/>
      </c>
      <c r="F150" s="16" t="str">
        <f>IF(C150="","",IFERROR(VLOOKUP(C150,PO_Workflow!$A:$Q,3,0),""))</f>
        <v/>
      </c>
      <c r="G150" s="16" t="str">
        <f>IF(C150="","",IFERROR(VLOOKUP(C150,PO_Workflow!$A:$Q,16,0),""))</f>
        <v/>
      </c>
      <c r="H150" s="16" t="str">
        <f>IF(C150="","",IFERROR(VLOOKUP(C150,PO_Workflow!$A:$Q,5,0),""))</f>
        <v/>
      </c>
      <c r="I150" s="16" t="str">
        <f>IF(C150="","",IFERROR(VLOOKUP(C150,PO_Workflow!$A:$Q,6,0),""))</f>
        <v/>
      </c>
      <c r="J150" s="17" t="str">
        <f>IF(C150="","",IFERROR(VLOOKUP(C150,PO_Workflow!$A:$Q,11,0),""))</f>
        <v/>
      </c>
      <c r="K150" s="17" t="str">
        <f>IF(C150="","",IFERROR(VLOOKUP(C150,PO_Workflow!$A:$Q,12,0),""))</f>
        <v/>
      </c>
      <c r="L150" s="17" t="str">
        <f>IF(C150="","",IFERROR(VLOOKUP(C150,PO_Workflow!$A:$Q,13,0),""))</f>
        <v/>
      </c>
      <c r="M150" s="18" t="str">
        <f t="shared" si="3"/>
        <v/>
      </c>
      <c r="O150" s="19" t="str">
        <f>IF(C150="","",IFERROR(VLOOKUP(C150,PO_Workflow!$A:$Q,7,0),""))</f>
        <v/>
      </c>
      <c r="P150" s="19"/>
      <c r="Q150" s="16" t="str">
        <f>IF(C150="","",IFERROR(VLOOKUP(C150,PO_Workflow!$A:$Q,14,0),""))</f>
        <v/>
      </c>
      <c r="R150" s="20" t="str">
        <f>IF(C150="","",IFERROR(VLOOKUP(C150,PO_Workflow!$A:$Q,15,0),""))</f>
        <v/>
      </c>
      <c r="T150" s="16" t="str">
        <f>IF(C150="","",IFERROR(VLOOKUP(C150,PO_Workflow!$A:$Q,8,0),""))</f>
        <v/>
      </c>
      <c r="U150" s="21" t="str">
        <f t="shared" si="4"/>
        <v/>
      </c>
      <c r="V150" t="str">
        <f t="shared" si="5"/>
        <v/>
      </c>
    </row>
    <row r="151" spans="1:22" ht="15" customHeight="1" x14ac:dyDescent="0.35">
      <c r="A151" s="22"/>
      <c r="B151" s="22"/>
      <c r="C151" s="23"/>
      <c r="D151" t="str">
        <f>IF(C151&lt;&gt;"",IFERROR(VLOOKUP(C151,PO_Workflow!$A:$Q,10,0),""),IF(E151="","","PO-"&amp;TEXT(ROW()-2,"0000")))</f>
        <v/>
      </c>
      <c r="E151" s="16" t="str">
        <f>IF(C151="","",IFERROR(VLOOKUP(C151,PO_Workflow!$A:$Q,3,0),""))</f>
        <v/>
      </c>
      <c r="F151" s="16" t="str">
        <f>IF(C151="","",IFERROR(VLOOKUP(C151,PO_Workflow!$A:$Q,3,0),""))</f>
        <v/>
      </c>
      <c r="G151" s="16" t="str">
        <f>IF(C151="","",IFERROR(VLOOKUP(C151,PO_Workflow!$A:$Q,16,0),""))</f>
        <v/>
      </c>
      <c r="H151" s="16" t="str">
        <f>IF(C151="","",IFERROR(VLOOKUP(C151,PO_Workflow!$A:$Q,5,0),""))</f>
        <v/>
      </c>
      <c r="I151" s="16" t="str">
        <f>IF(C151="","",IFERROR(VLOOKUP(C151,PO_Workflow!$A:$Q,6,0),""))</f>
        <v/>
      </c>
      <c r="J151" s="17" t="str">
        <f>IF(C151="","",IFERROR(VLOOKUP(C151,PO_Workflow!$A:$Q,11,0),""))</f>
        <v/>
      </c>
      <c r="K151" s="17" t="str">
        <f>IF(C151="","",IFERROR(VLOOKUP(C151,PO_Workflow!$A:$Q,12,0),""))</f>
        <v/>
      </c>
      <c r="L151" s="17" t="str">
        <f>IF(C151="","",IFERROR(VLOOKUP(C151,PO_Workflow!$A:$Q,13,0),""))</f>
        <v/>
      </c>
      <c r="M151" s="18" t="str">
        <f t="shared" si="3"/>
        <v/>
      </c>
      <c r="O151" s="19" t="str">
        <f>IF(C151="","",IFERROR(VLOOKUP(C151,PO_Workflow!$A:$Q,7,0),""))</f>
        <v/>
      </c>
      <c r="P151" s="19"/>
      <c r="Q151" s="16" t="str">
        <f>IF(C151="","",IFERROR(VLOOKUP(C151,PO_Workflow!$A:$Q,14,0),""))</f>
        <v/>
      </c>
      <c r="R151" s="20" t="str">
        <f>IF(C151="","",IFERROR(VLOOKUP(C151,PO_Workflow!$A:$Q,15,0),""))</f>
        <v/>
      </c>
      <c r="T151" s="16" t="str">
        <f>IF(C151="","",IFERROR(VLOOKUP(C151,PO_Workflow!$A:$Q,8,0),""))</f>
        <v/>
      </c>
      <c r="U151" s="21" t="str">
        <f t="shared" si="4"/>
        <v/>
      </c>
      <c r="V151" t="str">
        <f t="shared" si="5"/>
        <v/>
      </c>
    </row>
    <row r="152" spans="1:22" ht="15" customHeight="1" x14ac:dyDescent="0.35">
      <c r="A152" s="22"/>
      <c r="B152" s="22"/>
      <c r="C152" s="23"/>
      <c r="D152" t="str">
        <f>IF(C152&lt;&gt;"",IFERROR(VLOOKUP(C152,PO_Workflow!$A:$Q,10,0),""),IF(E152="","","PO-"&amp;TEXT(ROW()-2,"0000")))</f>
        <v/>
      </c>
      <c r="E152" s="16" t="str">
        <f>IF(C152="","",IFERROR(VLOOKUP(C152,PO_Workflow!$A:$Q,3,0),""))</f>
        <v/>
      </c>
      <c r="F152" s="16" t="str">
        <f>IF(C152="","",IFERROR(VLOOKUP(C152,PO_Workflow!$A:$Q,3,0),""))</f>
        <v/>
      </c>
      <c r="G152" s="16" t="str">
        <f>IF(C152="","",IFERROR(VLOOKUP(C152,PO_Workflow!$A:$Q,16,0),""))</f>
        <v/>
      </c>
      <c r="H152" s="16" t="str">
        <f>IF(C152="","",IFERROR(VLOOKUP(C152,PO_Workflow!$A:$Q,5,0),""))</f>
        <v/>
      </c>
      <c r="I152" s="16" t="str">
        <f>IF(C152="","",IFERROR(VLOOKUP(C152,PO_Workflow!$A:$Q,6,0),""))</f>
        <v/>
      </c>
      <c r="J152" s="17" t="str">
        <f>IF(C152="","",IFERROR(VLOOKUP(C152,PO_Workflow!$A:$Q,11,0),""))</f>
        <v/>
      </c>
      <c r="K152" s="17" t="str">
        <f>IF(C152="","",IFERROR(VLOOKUP(C152,PO_Workflow!$A:$Q,12,0),""))</f>
        <v/>
      </c>
      <c r="L152" s="17" t="str">
        <f>IF(C152="","",IFERROR(VLOOKUP(C152,PO_Workflow!$A:$Q,13,0),""))</f>
        <v/>
      </c>
      <c r="M152" s="18" t="str">
        <f t="shared" si="3"/>
        <v/>
      </c>
      <c r="O152" s="19" t="str">
        <f>IF(C152="","",IFERROR(VLOOKUP(C152,PO_Workflow!$A:$Q,7,0),""))</f>
        <v/>
      </c>
      <c r="P152" s="19"/>
      <c r="Q152" s="16" t="str">
        <f>IF(C152="","",IFERROR(VLOOKUP(C152,PO_Workflow!$A:$Q,14,0),""))</f>
        <v/>
      </c>
      <c r="R152" s="20" t="str">
        <f>IF(C152="","",IFERROR(VLOOKUP(C152,PO_Workflow!$A:$Q,15,0),""))</f>
        <v/>
      </c>
      <c r="T152" s="16" t="str">
        <f>IF(C152="","",IFERROR(VLOOKUP(C152,PO_Workflow!$A:$Q,8,0),""))</f>
        <v/>
      </c>
      <c r="U152" s="21" t="str">
        <f t="shared" si="4"/>
        <v/>
      </c>
      <c r="V152" t="str">
        <f t="shared" si="5"/>
        <v/>
      </c>
    </row>
    <row r="153" spans="1:22" ht="15" customHeight="1" x14ac:dyDescent="0.35">
      <c r="A153" s="22"/>
      <c r="B153" s="22"/>
      <c r="C153" s="23"/>
      <c r="D153" t="str">
        <f>IF(C153&lt;&gt;"",IFERROR(VLOOKUP(C153,PO_Workflow!$A:$Q,10,0),""),IF(E153="","","PO-"&amp;TEXT(ROW()-2,"0000")))</f>
        <v/>
      </c>
      <c r="E153" s="16" t="str">
        <f>IF(C153="","",IFERROR(VLOOKUP(C153,PO_Workflow!$A:$Q,3,0),""))</f>
        <v/>
      </c>
      <c r="F153" s="16" t="str">
        <f>IF(C153="","",IFERROR(VLOOKUP(C153,PO_Workflow!$A:$Q,3,0),""))</f>
        <v/>
      </c>
      <c r="G153" s="16" t="str">
        <f>IF(C153="","",IFERROR(VLOOKUP(C153,PO_Workflow!$A:$Q,16,0),""))</f>
        <v/>
      </c>
      <c r="H153" s="16" t="str">
        <f>IF(C153="","",IFERROR(VLOOKUP(C153,PO_Workflow!$A:$Q,5,0),""))</f>
        <v/>
      </c>
      <c r="I153" s="16" t="str">
        <f>IF(C153="","",IFERROR(VLOOKUP(C153,PO_Workflow!$A:$Q,6,0),""))</f>
        <v/>
      </c>
      <c r="J153" s="17" t="str">
        <f>IF(C153="","",IFERROR(VLOOKUP(C153,PO_Workflow!$A:$Q,11,0),""))</f>
        <v/>
      </c>
      <c r="K153" s="17" t="str">
        <f>IF(C153="","",IFERROR(VLOOKUP(C153,PO_Workflow!$A:$Q,12,0),""))</f>
        <v/>
      </c>
      <c r="L153" s="17" t="str">
        <f>IF(C153="","",IFERROR(VLOOKUP(C153,PO_Workflow!$A:$Q,13,0),""))</f>
        <v/>
      </c>
      <c r="M153" s="18" t="str">
        <f t="shared" ref="M153:M216" si="6">IF(OR(K153="",L153=""),"",((YEAR(L153)-YEAR(K153))*12)+MONTH(L153)-MONTH(K153)+1)</f>
        <v/>
      </c>
      <c r="O153" s="19" t="str">
        <f>IF(C153="","",IFERROR(VLOOKUP(C153,PO_Workflow!$A:$Q,7,0),""))</f>
        <v/>
      </c>
      <c r="P153" s="19"/>
      <c r="Q153" s="16" t="str">
        <f>IF(C153="","",IFERROR(VLOOKUP(C153,PO_Workflow!$A:$Q,14,0),""))</f>
        <v/>
      </c>
      <c r="R153" s="20" t="str">
        <f>IF(C153="","",IFERROR(VLOOKUP(C153,PO_Workflow!$A:$Q,15,0),""))</f>
        <v/>
      </c>
      <c r="T153" s="16" t="str">
        <f>IF(C153="","",IFERROR(VLOOKUP(C153,PO_Workflow!$A:$Q,8,0),""))</f>
        <v/>
      </c>
      <c r="U153" s="21" t="str">
        <f t="shared" ref="U153:U216" si="7">IF(C153="","","Ref: "&amp;C153)</f>
        <v/>
      </c>
      <c r="V153" t="str">
        <f t="shared" ref="V153:V216" si="8">IF(AND(C153="",E153=""),"",IF(OR(F153="",G153="",H153="",O153="",Q153=""),"Pending Validation",IF(AND(F153&lt;&gt;"",G153&lt;&gt;"",O153&gt;0),"Validated","Mismatch")))</f>
        <v/>
      </c>
    </row>
    <row r="154" spans="1:22" ht="15" customHeight="1" x14ac:dyDescent="0.35">
      <c r="A154" s="22"/>
      <c r="B154" s="22"/>
      <c r="C154" s="23"/>
      <c r="D154" t="str">
        <f>IF(C154&lt;&gt;"",IFERROR(VLOOKUP(C154,PO_Workflow!$A:$Q,10,0),""),IF(E154="","","PO-"&amp;TEXT(ROW()-2,"0000")))</f>
        <v/>
      </c>
      <c r="E154" s="16" t="str">
        <f>IF(C154="","",IFERROR(VLOOKUP(C154,PO_Workflow!$A:$Q,3,0),""))</f>
        <v/>
      </c>
      <c r="F154" s="16" t="str">
        <f>IF(C154="","",IFERROR(VLOOKUP(C154,PO_Workflow!$A:$Q,3,0),""))</f>
        <v/>
      </c>
      <c r="G154" s="16" t="str">
        <f>IF(C154="","",IFERROR(VLOOKUP(C154,PO_Workflow!$A:$Q,16,0),""))</f>
        <v/>
      </c>
      <c r="H154" s="16" t="str">
        <f>IF(C154="","",IFERROR(VLOOKUP(C154,PO_Workflow!$A:$Q,5,0),""))</f>
        <v/>
      </c>
      <c r="I154" s="16" t="str">
        <f>IF(C154="","",IFERROR(VLOOKUP(C154,PO_Workflow!$A:$Q,6,0),""))</f>
        <v/>
      </c>
      <c r="J154" s="17" t="str">
        <f>IF(C154="","",IFERROR(VLOOKUP(C154,PO_Workflow!$A:$Q,11,0),""))</f>
        <v/>
      </c>
      <c r="K154" s="17" t="str">
        <f>IF(C154="","",IFERROR(VLOOKUP(C154,PO_Workflow!$A:$Q,12,0),""))</f>
        <v/>
      </c>
      <c r="L154" s="17" t="str">
        <f>IF(C154="","",IFERROR(VLOOKUP(C154,PO_Workflow!$A:$Q,13,0),""))</f>
        <v/>
      </c>
      <c r="M154" s="18" t="str">
        <f t="shared" si="6"/>
        <v/>
      </c>
      <c r="O154" s="19" t="str">
        <f>IF(C154="","",IFERROR(VLOOKUP(C154,PO_Workflow!$A:$Q,7,0),""))</f>
        <v/>
      </c>
      <c r="P154" s="19"/>
      <c r="Q154" s="16" t="str">
        <f>IF(C154="","",IFERROR(VLOOKUP(C154,PO_Workflow!$A:$Q,14,0),""))</f>
        <v/>
      </c>
      <c r="R154" s="20" t="str">
        <f>IF(C154="","",IFERROR(VLOOKUP(C154,PO_Workflow!$A:$Q,15,0),""))</f>
        <v/>
      </c>
      <c r="T154" s="16" t="str">
        <f>IF(C154="","",IFERROR(VLOOKUP(C154,PO_Workflow!$A:$Q,8,0),""))</f>
        <v/>
      </c>
      <c r="U154" s="21" t="str">
        <f t="shared" si="7"/>
        <v/>
      </c>
      <c r="V154" t="str">
        <f t="shared" si="8"/>
        <v/>
      </c>
    </row>
    <row r="155" spans="1:22" ht="15" customHeight="1" x14ac:dyDescent="0.35">
      <c r="A155" s="22"/>
      <c r="B155" s="22"/>
      <c r="C155" s="23"/>
      <c r="D155" t="str">
        <f>IF(C155&lt;&gt;"",IFERROR(VLOOKUP(C155,PO_Workflow!$A:$Q,10,0),""),IF(E155="","","PO-"&amp;TEXT(ROW()-2,"0000")))</f>
        <v/>
      </c>
      <c r="E155" s="16" t="str">
        <f>IF(C155="","",IFERROR(VLOOKUP(C155,PO_Workflow!$A:$Q,3,0),""))</f>
        <v/>
      </c>
      <c r="F155" s="16" t="str">
        <f>IF(C155="","",IFERROR(VLOOKUP(C155,PO_Workflow!$A:$Q,3,0),""))</f>
        <v/>
      </c>
      <c r="G155" s="16" t="str">
        <f>IF(C155="","",IFERROR(VLOOKUP(C155,PO_Workflow!$A:$Q,16,0),""))</f>
        <v/>
      </c>
      <c r="H155" s="16" t="str">
        <f>IF(C155="","",IFERROR(VLOOKUP(C155,PO_Workflow!$A:$Q,5,0),""))</f>
        <v/>
      </c>
      <c r="I155" s="16" t="str">
        <f>IF(C155="","",IFERROR(VLOOKUP(C155,PO_Workflow!$A:$Q,6,0),""))</f>
        <v/>
      </c>
      <c r="J155" s="17" t="str">
        <f>IF(C155="","",IFERROR(VLOOKUP(C155,PO_Workflow!$A:$Q,11,0),""))</f>
        <v/>
      </c>
      <c r="K155" s="17" t="str">
        <f>IF(C155="","",IFERROR(VLOOKUP(C155,PO_Workflow!$A:$Q,12,0),""))</f>
        <v/>
      </c>
      <c r="L155" s="17" t="str">
        <f>IF(C155="","",IFERROR(VLOOKUP(C155,PO_Workflow!$A:$Q,13,0),""))</f>
        <v/>
      </c>
      <c r="M155" s="18" t="str">
        <f t="shared" si="6"/>
        <v/>
      </c>
      <c r="O155" s="19" t="str">
        <f>IF(C155="","",IFERROR(VLOOKUP(C155,PO_Workflow!$A:$Q,7,0),""))</f>
        <v/>
      </c>
      <c r="P155" s="19"/>
      <c r="Q155" s="16" t="str">
        <f>IF(C155="","",IFERROR(VLOOKUP(C155,PO_Workflow!$A:$Q,14,0),""))</f>
        <v/>
      </c>
      <c r="R155" s="20" t="str">
        <f>IF(C155="","",IFERROR(VLOOKUP(C155,PO_Workflow!$A:$Q,15,0),""))</f>
        <v/>
      </c>
      <c r="T155" s="16" t="str">
        <f>IF(C155="","",IFERROR(VLOOKUP(C155,PO_Workflow!$A:$Q,8,0),""))</f>
        <v/>
      </c>
      <c r="U155" s="21" t="str">
        <f t="shared" si="7"/>
        <v/>
      </c>
      <c r="V155" t="str">
        <f t="shared" si="8"/>
        <v/>
      </c>
    </row>
    <row r="156" spans="1:22" ht="15" customHeight="1" x14ac:dyDescent="0.35">
      <c r="A156" s="22"/>
      <c r="B156" s="22"/>
      <c r="C156" s="23"/>
      <c r="D156" t="str">
        <f>IF(C156&lt;&gt;"",IFERROR(VLOOKUP(C156,PO_Workflow!$A:$Q,10,0),""),IF(E156="","","PO-"&amp;TEXT(ROW()-2,"0000")))</f>
        <v/>
      </c>
      <c r="E156" s="16" t="str">
        <f>IF(C156="","",IFERROR(VLOOKUP(C156,PO_Workflow!$A:$Q,3,0),""))</f>
        <v/>
      </c>
      <c r="F156" s="16" t="str">
        <f>IF(C156="","",IFERROR(VLOOKUP(C156,PO_Workflow!$A:$Q,3,0),""))</f>
        <v/>
      </c>
      <c r="G156" s="16" t="str">
        <f>IF(C156="","",IFERROR(VLOOKUP(C156,PO_Workflow!$A:$Q,16,0),""))</f>
        <v/>
      </c>
      <c r="H156" s="16" t="str">
        <f>IF(C156="","",IFERROR(VLOOKUP(C156,PO_Workflow!$A:$Q,5,0),""))</f>
        <v/>
      </c>
      <c r="I156" s="16" t="str">
        <f>IF(C156="","",IFERROR(VLOOKUP(C156,PO_Workflow!$A:$Q,6,0),""))</f>
        <v/>
      </c>
      <c r="J156" s="17" t="str">
        <f>IF(C156="","",IFERROR(VLOOKUP(C156,PO_Workflow!$A:$Q,11,0),""))</f>
        <v/>
      </c>
      <c r="K156" s="17" t="str">
        <f>IF(C156="","",IFERROR(VLOOKUP(C156,PO_Workflow!$A:$Q,12,0),""))</f>
        <v/>
      </c>
      <c r="L156" s="17" t="str">
        <f>IF(C156="","",IFERROR(VLOOKUP(C156,PO_Workflow!$A:$Q,13,0),""))</f>
        <v/>
      </c>
      <c r="M156" s="18" t="str">
        <f t="shared" si="6"/>
        <v/>
      </c>
      <c r="O156" s="19" t="str">
        <f>IF(C156="","",IFERROR(VLOOKUP(C156,PO_Workflow!$A:$Q,7,0),""))</f>
        <v/>
      </c>
      <c r="P156" s="19"/>
      <c r="Q156" s="16" t="str">
        <f>IF(C156="","",IFERROR(VLOOKUP(C156,PO_Workflow!$A:$Q,14,0),""))</f>
        <v/>
      </c>
      <c r="R156" s="20" t="str">
        <f>IF(C156="","",IFERROR(VLOOKUP(C156,PO_Workflow!$A:$Q,15,0),""))</f>
        <v/>
      </c>
      <c r="T156" s="16" t="str">
        <f>IF(C156="","",IFERROR(VLOOKUP(C156,PO_Workflow!$A:$Q,8,0),""))</f>
        <v/>
      </c>
      <c r="U156" s="21" t="str">
        <f t="shared" si="7"/>
        <v/>
      </c>
      <c r="V156" t="str">
        <f t="shared" si="8"/>
        <v/>
      </c>
    </row>
    <row r="157" spans="1:22" ht="15" customHeight="1" x14ac:dyDescent="0.35">
      <c r="A157" s="22"/>
      <c r="B157" s="22"/>
      <c r="C157" s="23"/>
      <c r="D157" t="str">
        <f>IF(C157&lt;&gt;"",IFERROR(VLOOKUP(C157,PO_Workflow!$A:$Q,10,0),""),IF(E157="","","PO-"&amp;TEXT(ROW()-2,"0000")))</f>
        <v/>
      </c>
      <c r="E157" s="16" t="str">
        <f>IF(C157="","",IFERROR(VLOOKUP(C157,PO_Workflow!$A:$Q,3,0),""))</f>
        <v/>
      </c>
      <c r="F157" s="16" t="str">
        <f>IF(C157="","",IFERROR(VLOOKUP(C157,PO_Workflow!$A:$Q,3,0),""))</f>
        <v/>
      </c>
      <c r="G157" s="16" t="str">
        <f>IF(C157="","",IFERROR(VLOOKUP(C157,PO_Workflow!$A:$Q,16,0),""))</f>
        <v/>
      </c>
      <c r="H157" s="16" t="str">
        <f>IF(C157="","",IFERROR(VLOOKUP(C157,PO_Workflow!$A:$Q,5,0),""))</f>
        <v/>
      </c>
      <c r="I157" s="16" t="str">
        <f>IF(C157="","",IFERROR(VLOOKUP(C157,PO_Workflow!$A:$Q,6,0),""))</f>
        <v/>
      </c>
      <c r="J157" s="17" t="str">
        <f>IF(C157="","",IFERROR(VLOOKUP(C157,PO_Workflow!$A:$Q,11,0),""))</f>
        <v/>
      </c>
      <c r="K157" s="17" t="str">
        <f>IF(C157="","",IFERROR(VLOOKUP(C157,PO_Workflow!$A:$Q,12,0),""))</f>
        <v/>
      </c>
      <c r="L157" s="17" t="str">
        <f>IF(C157="","",IFERROR(VLOOKUP(C157,PO_Workflow!$A:$Q,13,0),""))</f>
        <v/>
      </c>
      <c r="M157" s="18" t="str">
        <f t="shared" si="6"/>
        <v/>
      </c>
      <c r="O157" s="19" t="str">
        <f>IF(C157="","",IFERROR(VLOOKUP(C157,PO_Workflow!$A:$Q,7,0),""))</f>
        <v/>
      </c>
      <c r="P157" s="19"/>
      <c r="Q157" s="16" t="str">
        <f>IF(C157="","",IFERROR(VLOOKUP(C157,PO_Workflow!$A:$Q,14,0),""))</f>
        <v/>
      </c>
      <c r="R157" s="20" t="str">
        <f>IF(C157="","",IFERROR(VLOOKUP(C157,PO_Workflow!$A:$Q,15,0),""))</f>
        <v/>
      </c>
      <c r="T157" s="16" t="str">
        <f>IF(C157="","",IFERROR(VLOOKUP(C157,PO_Workflow!$A:$Q,8,0),""))</f>
        <v/>
      </c>
      <c r="U157" s="21" t="str">
        <f t="shared" si="7"/>
        <v/>
      </c>
      <c r="V157" t="str">
        <f t="shared" si="8"/>
        <v/>
      </c>
    </row>
    <row r="158" spans="1:22" ht="15" customHeight="1" x14ac:dyDescent="0.35">
      <c r="A158" s="22"/>
      <c r="B158" s="22"/>
      <c r="C158" s="23"/>
      <c r="D158" t="str">
        <f>IF(C158&lt;&gt;"",IFERROR(VLOOKUP(C158,PO_Workflow!$A:$Q,10,0),""),IF(E158="","","PO-"&amp;TEXT(ROW()-2,"0000")))</f>
        <v/>
      </c>
      <c r="E158" s="16" t="str">
        <f>IF(C158="","",IFERROR(VLOOKUP(C158,PO_Workflow!$A:$Q,3,0),""))</f>
        <v/>
      </c>
      <c r="F158" s="16" t="str">
        <f>IF(C158="","",IFERROR(VLOOKUP(C158,PO_Workflow!$A:$Q,3,0),""))</f>
        <v/>
      </c>
      <c r="G158" s="16" t="str">
        <f>IF(C158="","",IFERROR(VLOOKUP(C158,PO_Workflow!$A:$Q,16,0),""))</f>
        <v/>
      </c>
      <c r="H158" s="16" t="str">
        <f>IF(C158="","",IFERROR(VLOOKUP(C158,PO_Workflow!$A:$Q,5,0),""))</f>
        <v/>
      </c>
      <c r="I158" s="16" t="str">
        <f>IF(C158="","",IFERROR(VLOOKUP(C158,PO_Workflow!$A:$Q,6,0),""))</f>
        <v/>
      </c>
      <c r="J158" s="17" t="str">
        <f>IF(C158="","",IFERROR(VLOOKUP(C158,PO_Workflow!$A:$Q,11,0),""))</f>
        <v/>
      </c>
      <c r="K158" s="17" t="str">
        <f>IF(C158="","",IFERROR(VLOOKUP(C158,PO_Workflow!$A:$Q,12,0),""))</f>
        <v/>
      </c>
      <c r="L158" s="17" t="str">
        <f>IF(C158="","",IFERROR(VLOOKUP(C158,PO_Workflow!$A:$Q,13,0),""))</f>
        <v/>
      </c>
      <c r="M158" s="18" t="str">
        <f t="shared" si="6"/>
        <v/>
      </c>
      <c r="O158" s="19" t="str">
        <f>IF(C158="","",IFERROR(VLOOKUP(C158,PO_Workflow!$A:$Q,7,0),""))</f>
        <v/>
      </c>
      <c r="P158" s="19"/>
      <c r="Q158" s="16" t="str">
        <f>IF(C158="","",IFERROR(VLOOKUP(C158,PO_Workflow!$A:$Q,14,0),""))</f>
        <v/>
      </c>
      <c r="R158" s="20" t="str">
        <f>IF(C158="","",IFERROR(VLOOKUP(C158,PO_Workflow!$A:$Q,15,0),""))</f>
        <v/>
      </c>
      <c r="T158" s="16" t="str">
        <f>IF(C158="","",IFERROR(VLOOKUP(C158,PO_Workflow!$A:$Q,8,0),""))</f>
        <v/>
      </c>
      <c r="U158" s="21" t="str">
        <f t="shared" si="7"/>
        <v/>
      </c>
      <c r="V158" t="str">
        <f t="shared" si="8"/>
        <v/>
      </c>
    </row>
    <row r="159" spans="1:22" ht="15" customHeight="1" x14ac:dyDescent="0.35">
      <c r="A159" s="22"/>
      <c r="B159" s="22"/>
      <c r="C159" s="23"/>
      <c r="D159" t="str">
        <f>IF(C159&lt;&gt;"",IFERROR(VLOOKUP(C159,PO_Workflow!$A:$Q,10,0),""),IF(E159="","","PO-"&amp;TEXT(ROW()-2,"0000")))</f>
        <v/>
      </c>
      <c r="E159" s="16" t="str">
        <f>IF(C159="","",IFERROR(VLOOKUP(C159,PO_Workflow!$A:$Q,3,0),""))</f>
        <v/>
      </c>
      <c r="F159" s="16" t="str">
        <f>IF(C159="","",IFERROR(VLOOKUP(C159,PO_Workflow!$A:$Q,3,0),""))</f>
        <v/>
      </c>
      <c r="G159" s="16" t="str">
        <f>IF(C159="","",IFERROR(VLOOKUP(C159,PO_Workflow!$A:$Q,16,0),""))</f>
        <v/>
      </c>
      <c r="H159" s="16" t="str">
        <f>IF(C159="","",IFERROR(VLOOKUP(C159,PO_Workflow!$A:$Q,5,0),""))</f>
        <v/>
      </c>
      <c r="I159" s="16" t="str">
        <f>IF(C159="","",IFERROR(VLOOKUP(C159,PO_Workflow!$A:$Q,6,0),""))</f>
        <v/>
      </c>
      <c r="J159" s="17" t="str">
        <f>IF(C159="","",IFERROR(VLOOKUP(C159,PO_Workflow!$A:$Q,11,0),""))</f>
        <v/>
      </c>
      <c r="K159" s="17" t="str">
        <f>IF(C159="","",IFERROR(VLOOKUP(C159,PO_Workflow!$A:$Q,12,0),""))</f>
        <v/>
      </c>
      <c r="L159" s="17" t="str">
        <f>IF(C159="","",IFERROR(VLOOKUP(C159,PO_Workflow!$A:$Q,13,0),""))</f>
        <v/>
      </c>
      <c r="M159" s="18" t="str">
        <f t="shared" si="6"/>
        <v/>
      </c>
      <c r="O159" s="19" t="str">
        <f>IF(C159="","",IFERROR(VLOOKUP(C159,PO_Workflow!$A:$Q,7,0),""))</f>
        <v/>
      </c>
      <c r="P159" s="19"/>
      <c r="Q159" s="16" t="str">
        <f>IF(C159="","",IFERROR(VLOOKUP(C159,PO_Workflow!$A:$Q,14,0),""))</f>
        <v/>
      </c>
      <c r="R159" s="20" t="str">
        <f>IF(C159="","",IFERROR(VLOOKUP(C159,PO_Workflow!$A:$Q,15,0),""))</f>
        <v/>
      </c>
      <c r="T159" s="16" t="str">
        <f>IF(C159="","",IFERROR(VLOOKUP(C159,PO_Workflow!$A:$Q,8,0),""))</f>
        <v/>
      </c>
      <c r="U159" s="21" t="str">
        <f t="shared" si="7"/>
        <v/>
      </c>
      <c r="V159" t="str">
        <f t="shared" si="8"/>
        <v/>
      </c>
    </row>
    <row r="160" spans="1:22" ht="15" customHeight="1" x14ac:dyDescent="0.35">
      <c r="A160" s="22"/>
      <c r="B160" s="22"/>
      <c r="C160" s="23"/>
      <c r="D160" t="str">
        <f>IF(C160&lt;&gt;"",IFERROR(VLOOKUP(C160,PO_Workflow!$A:$Q,10,0),""),IF(E160="","","PO-"&amp;TEXT(ROW()-2,"0000")))</f>
        <v/>
      </c>
      <c r="E160" s="16" t="str">
        <f>IF(C160="","",IFERROR(VLOOKUP(C160,PO_Workflow!$A:$Q,3,0),""))</f>
        <v/>
      </c>
      <c r="F160" s="16" t="str">
        <f>IF(C160="","",IFERROR(VLOOKUP(C160,PO_Workflow!$A:$Q,3,0),""))</f>
        <v/>
      </c>
      <c r="G160" s="16" t="str">
        <f>IF(C160="","",IFERROR(VLOOKUP(C160,PO_Workflow!$A:$Q,16,0),""))</f>
        <v/>
      </c>
      <c r="H160" s="16" t="str">
        <f>IF(C160="","",IFERROR(VLOOKUP(C160,PO_Workflow!$A:$Q,5,0),""))</f>
        <v/>
      </c>
      <c r="I160" s="16" t="str">
        <f>IF(C160="","",IFERROR(VLOOKUP(C160,PO_Workflow!$A:$Q,6,0),""))</f>
        <v/>
      </c>
      <c r="J160" s="17" t="str">
        <f>IF(C160="","",IFERROR(VLOOKUP(C160,PO_Workflow!$A:$Q,11,0),""))</f>
        <v/>
      </c>
      <c r="K160" s="17" t="str">
        <f>IF(C160="","",IFERROR(VLOOKUP(C160,PO_Workflow!$A:$Q,12,0),""))</f>
        <v/>
      </c>
      <c r="L160" s="17" t="str">
        <f>IF(C160="","",IFERROR(VLOOKUP(C160,PO_Workflow!$A:$Q,13,0),""))</f>
        <v/>
      </c>
      <c r="M160" s="18" t="str">
        <f t="shared" si="6"/>
        <v/>
      </c>
      <c r="O160" s="19" t="str">
        <f>IF(C160="","",IFERROR(VLOOKUP(C160,PO_Workflow!$A:$Q,7,0),""))</f>
        <v/>
      </c>
      <c r="P160" s="19"/>
      <c r="Q160" s="16" t="str">
        <f>IF(C160="","",IFERROR(VLOOKUP(C160,PO_Workflow!$A:$Q,14,0),""))</f>
        <v/>
      </c>
      <c r="R160" s="20" t="str">
        <f>IF(C160="","",IFERROR(VLOOKUP(C160,PO_Workflow!$A:$Q,15,0),""))</f>
        <v/>
      </c>
      <c r="T160" s="16" t="str">
        <f>IF(C160="","",IFERROR(VLOOKUP(C160,PO_Workflow!$A:$Q,8,0),""))</f>
        <v/>
      </c>
      <c r="U160" s="21" t="str">
        <f t="shared" si="7"/>
        <v/>
      </c>
      <c r="V160" t="str">
        <f t="shared" si="8"/>
        <v/>
      </c>
    </row>
    <row r="161" spans="1:22" ht="15" customHeight="1" x14ac:dyDescent="0.35">
      <c r="A161" s="22"/>
      <c r="B161" s="22"/>
      <c r="C161" s="23"/>
      <c r="D161" t="str">
        <f>IF(C161&lt;&gt;"",IFERROR(VLOOKUP(C161,PO_Workflow!$A:$Q,10,0),""),IF(E161="","","PO-"&amp;TEXT(ROW()-2,"0000")))</f>
        <v/>
      </c>
      <c r="E161" s="16" t="str">
        <f>IF(C161="","",IFERROR(VLOOKUP(C161,PO_Workflow!$A:$Q,3,0),""))</f>
        <v/>
      </c>
      <c r="F161" s="16" t="str">
        <f>IF(C161="","",IFERROR(VLOOKUP(C161,PO_Workflow!$A:$Q,3,0),""))</f>
        <v/>
      </c>
      <c r="G161" s="16" t="str">
        <f>IF(C161="","",IFERROR(VLOOKUP(C161,PO_Workflow!$A:$Q,16,0),""))</f>
        <v/>
      </c>
      <c r="H161" s="16" t="str">
        <f>IF(C161="","",IFERROR(VLOOKUP(C161,PO_Workflow!$A:$Q,5,0),""))</f>
        <v/>
      </c>
      <c r="I161" s="16" t="str">
        <f>IF(C161="","",IFERROR(VLOOKUP(C161,PO_Workflow!$A:$Q,6,0),""))</f>
        <v/>
      </c>
      <c r="J161" s="17" t="str">
        <f>IF(C161="","",IFERROR(VLOOKUP(C161,PO_Workflow!$A:$Q,11,0),""))</f>
        <v/>
      </c>
      <c r="K161" s="17" t="str">
        <f>IF(C161="","",IFERROR(VLOOKUP(C161,PO_Workflow!$A:$Q,12,0),""))</f>
        <v/>
      </c>
      <c r="L161" s="17" t="str">
        <f>IF(C161="","",IFERROR(VLOOKUP(C161,PO_Workflow!$A:$Q,13,0),""))</f>
        <v/>
      </c>
      <c r="M161" s="18" t="str">
        <f t="shared" si="6"/>
        <v/>
      </c>
      <c r="O161" s="19" t="str">
        <f>IF(C161="","",IFERROR(VLOOKUP(C161,PO_Workflow!$A:$Q,7,0),""))</f>
        <v/>
      </c>
      <c r="P161" s="19"/>
      <c r="Q161" s="16" t="str">
        <f>IF(C161="","",IFERROR(VLOOKUP(C161,PO_Workflow!$A:$Q,14,0),""))</f>
        <v/>
      </c>
      <c r="R161" s="20" t="str">
        <f>IF(C161="","",IFERROR(VLOOKUP(C161,PO_Workflow!$A:$Q,15,0),""))</f>
        <v/>
      </c>
      <c r="T161" s="16" t="str">
        <f>IF(C161="","",IFERROR(VLOOKUP(C161,PO_Workflow!$A:$Q,8,0),""))</f>
        <v/>
      </c>
      <c r="U161" s="21" t="str">
        <f t="shared" si="7"/>
        <v/>
      </c>
      <c r="V161" t="str">
        <f t="shared" si="8"/>
        <v/>
      </c>
    </row>
    <row r="162" spans="1:22" ht="15" customHeight="1" x14ac:dyDescent="0.35">
      <c r="A162" s="22"/>
      <c r="B162" s="22"/>
      <c r="C162" s="23"/>
      <c r="D162" t="str">
        <f>IF(C162&lt;&gt;"",IFERROR(VLOOKUP(C162,PO_Workflow!$A:$Q,10,0),""),IF(E162="","","PO-"&amp;TEXT(ROW()-2,"0000")))</f>
        <v/>
      </c>
      <c r="E162" s="16" t="str">
        <f>IF(C162="","",IFERROR(VLOOKUP(C162,PO_Workflow!$A:$Q,3,0),""))</f>
        <v/>
      </c>
      <c r="F162" s="16" t="str">
        <f>IF(C162="","",IFERROR(VLOOKUP(C162,PO_Workflow!$A:$Q,3,0),""))</f>
        <v/>
      </c>
      <c r="G162" s="16" t="str">
        <f>IF(C162="","",IFERROR(VLOOKUP(C162,PO_Workflow!$A:$Q,16,0),""))</f>
        <v/>
      </c>
      <c r="H162" s="16" t="str">
        <f>IF(C162="","",IFERROR(VLOOKUP(C162,PO_Workflow!$A:$Q,5,0),""))</f>
        <v/>
      </c>
      <c r="I162" s="16" t="str">
        <f>IF(C162="","",IFERROR(VLOOKUP(C162,PO_Workflow!$A:$Q,6,0),""))</f>
        <v/>
      </c>
      <c r="J162" s="17" t="str">
        <f>IF(C162="","",IFERROR(VLOOKUP(C162,PO_Workflow!$A:$Q,11,0),""))</f>
        <v/>
      </c>
      <c r="K162" s="17" t="str">
        <f>IF(C162="","",IFERROR(VLOOKUP(C162,PO_Workflow!$A:$Q,12,0),""))</f>
        <v/>
      </c>
      <c r="L162" s="17" t="str">
        <f>IF(C162="","",IFERROR(VLOOKUP(C162,PO_Workflow!$A:$Q,13,0),""))</f>
        <v/>
      </c>
      <c r="M162" s="18" t="str">
        <f t="shared" si="6"/>
        <v/>
      </c>
      <c r="O162" s="19" t="str">
        <f>IF(C162="","",IFERROR(VLOOKUP(C162,PO_Workflow!$A:$Q,7,0),""))</f>
        <v/>
      </c>
      <c r="P162" s="19"/>
      <c r="Q162" s="16" t="str">
        <f>IF(C162="","",IFERROR(VLOOKUP(C162,PO_Workflow!$A:$Q,14,0),""))</f>
        <v/>
      </c>
      <c r="R162" s="20" t="str">
        <f>IF(C162="","",IFERROR(VLOOKUP(C162,PO_Workflow!$A:$Q,15,0),""))</f>
        <v/>
      </c>
      <c r="T162" s="16" t="str">
        <f>IF(C162="","",IFERROR(VLOOKUP(C162,PO_Workflow!$A:$Q,8,0),""))</f>
        <v/>
      </c>
      <c r="U162" s="21" t="str">
        <f t="shared" si="7"/>
        <v/>
      </c>
      <c r="V162" t="str">
        <f t="shared" si="8"/>
        <v/>
      </c>
    </row>
    <row r="163" spans="1:22" ht="15" customHeight="1" x14ac:dyDescent="0.35">
      <c r="A163" s="22"/>
      <c r="B163" s="22"/>
      <c r="C163" s="23"/>
      <c r="D163" t="str">
        <f>IF(C163&lt;&gt;"",IFERROR(VLOOKUP(C163,PO_Workflow!$A:$Q,10,0),""),IF(E163="","","PO-"&amp;TEXT(ROW()-2,"0000")))</f>
        <v/>
      </c>
      <c r="E163" s="16" t="str">
        <f>IF(C163="","",IFERROR(VLOOKUP(C163,PO_Workflow!$A:$Q,3,0),""))</f>
        <v/>
      </c>
      <c r="F163" s="16" t="str">
        <f>IF(C163="","",IFERROR(VLOOKUP(C163,PO_Workflow!$A:$Q,3,0),""))</f>
        <v/>
      </c>
      <c r="G163" s="16" t="str">
        <f>IF(C163="","",IFERROR(VLOOKUP(C163,PO_Workflow!$A:$Q,16,0),""))</f>
        <v/>
      </c>
      <c r="H163" s="16" t="str">
        <f>IF(C163="","",IFERROR(VLOOKUP(C163,PO_Workflow!$A:$Q,5,0),""))</f>
        <v/>
      </c>
      <c r="I163" s="16" t="str">
        <f>IF(C163="","",IFERROR(VLOOKUP(C163,PO_Workflow!$A:$Q,6,0),""))</f>
        <v/>
      </c>
      <c r="J163" s="17" t="str">
        <f>IF(C163="","",IFERROR(VLOOKUP(C163,PO_Workflow!$A:$Q,11,0),""))</f>
        <v/>
      </c>
      <c r="K163" s="17" t="str">
        <f>IF(C163="","",IFERROR(VLOOKUP(C163,PO_Workflow!$A:$Q,12,0),""))</f>
        <v/>
      </c>
      <c r="L163" s="17" t="str">
        <f>IF(C163="","",IFERROR(VLOOKUP(C163,PO_Workflow!$A:$Q,13,0),""))</f>
        <v/>
      </c>
      <c r="M163" s="18" t="str">
        <f t="shared" si="6"/>
        <v/>
      </c>
      <c r="O163" s="19" t="str">
        <f>IF(C163="","",IFERROR(VLOOKUP(C163,PO_Workflow!$A:$Q,7,0),""))</f>
        <v/>
      </c>
      <c r="P163" s="19"/>
      <c r="Q163" s="16" t="str">
        <f>IF(C163="","",IFERROR(VLOOKUP(C163,PO_Workflow!$A:$Q,14,0),""))</f>
        <v/>
      </c>
      <c r="R163" s="20" t="str">
        <f>IF(C163="","",IFERROR(VLOOKUP(C163,PO_Workflow!$A:$Q,15,0),""))</f>
        <v/>
      </c>
      <c r="T163" s="16" t="str">
        <f>IF(C163="","",IFERROR(VLOOKUP(C163,PO_Workflow!$A:$Q,8,0),""))</f>
        <v/>
      </c>
      <c r="U163" s="21" t="str">
        <f t="shared" si="7"/>
        <v/>
      </c>
      <c r="V163" t="str">
        <f t="shared" si="8"/>
        <v/>
      </c>
    </row>
    <row r="164" spans="1:22" ht="15" customHeight="1" x14ac:dyDescent="0.35">
      <c r="A164" s="22"/>
      <c r="B164" s="22"/>
      <c r="C164" s="23"/>
      <c r="D164" t="str">
        <f>IF(C164&lt;&gt;"",IFERROR(VLOOKUP(C164,PO_Workflow!$A:$Q,10,0),""),IF(E164="","","PO-"&amp;TEXT(ROW()-2,"0000")))</f>
        <v/>
      </c>
      <c r="E164" s="16" t="str">
        <f>IF(C164="","",IFERROR(VLOOKUP(C164,PO_Workflow!$A:$Q,3,0),""))</f>
        <v/>
      </c>
      <c r="F164" s="16" t="str">
        <f>IF(C164="","",IFERROR(VLOOKUP(C164,PO_Workflow!$A:$Q,3,0),""))</f>
        <v/>
      </c>
      <c r="G164" s="16" t="str">
        <f>IF(C164="","",IFERROR(VLOOKUP(C164,PO_Workflow!$A:$Q,16,0),""))</f>
        <v/>
      </c>
      <c r="H164" s="16" t="str">
        <f>IF(C164="","",IFERROR(VLOOKUP(C164,PO_Workflow!$A:$Q,5,0),""))</f>
        <v/>
      </c>
      <c r="I164" s="16" t="str">
        <f>IF(C164="","",IFERROR(VLOOKUP(C164,PO_Workflow!$A:$Q,6,0),""))</f>
        <v/>
      </c>
      <c r="J164" s="17" t="str">
        <f>IF(C164="","",IFERROR(VLOOKUP(C164,PO_Workflow!$A:$Q,11,0),""))</f>
        <v/>
      </c>
      <c r="K164" s="17" t="str">
        <f>IF(C164="","",IFERROR(VLOOKUP(C164,PO_Workflow!$A:$Q,12,0),""))</f>
        <v/>
      </c>
      <c r="L164" s="17" t="str">
        <f>IF(C164="","",IFERROR(VLOOKUP(C164,PO_Workflow!$A:$Q,13,0),""))</f>
        <v/>
      </c>
      <c r="M164" s="18" t="str">
        <f t="shared" si="6"/>
        <v/>
      </c>
      <c r="O164" s="19" t="str">
        <f>IF(C164="","",IFERROR(VLOOKUP(C164,PO_Workflow!$A:$Q,7,0),""))</f>
        <v/>
      </c>
      <c r="P164" s="19"/>
      <c r="Q164" s="16" t="str">
        <f>IF(C164="","",IFERROR(VLOOKUP(C164,PO_Workflow!$A:$Q,14,0),""))</f>
        <v/>
      </c>
      <c r="R164" s="20" t="str">
        <f>IF(C164="","",IFERROR(VLOOKUP(C164,PO_Workflow!$A:$Q,15,0),""))</f>
        <v/>
      </c>
      <c r="T164" s="16" t="str">
        <f>IF(C164="","",IFERROR(VLOOKUP(C164,PO_Workflow!$A:$Q,8,0),""))</f>
        <v/>
      </c>
      <c r="U164" s="21" t="str">
        <f t="shared" si="7"/>
        <v/>
      </c>
      <c r="V164" t="str">
        <f t="shared" si="8"/>
        <v/>
      </c>
    </row>
    <row r="165" spans="1:22" ht="15" customHeight="1" x14ac:dyDescent="0.35">
      <c r="A165" s="22"/>
      <c r="B165" s="22"/>
      <c r="C165" s="23"/>
      <c r="D165" t="str">
        <f>IF(C165&lt;&gt;"",IFERROR(VLOOKUP(C165,PO_Workflow!$A:$Q,10,0),""),IF(E165="","","PO-"&amp;TEXT(ROW()-2,"0000")))</f>
        <v/>
      </c>
      <c r="E165" s="16" t="str">
        <f>IF(C165="","",IFERROR(VLOOKUP(C165,PO_Workflow!$A:$Q,3,0),""))</f>
        <v/>
      </c>
      <c r="F165" s="16" t="str">
        <f>IF(C165="","",IFERROR(VLOOKUP(C165,PO_Workflow!$A:$Q,3,0),""))</f>
        <v/>
      </c>
      <c r="G165" s="16" t="str">
        <f>IF(C165="","",IFERROR(VLOOKUP(C165,PO_Workflow!$A:$Q,16,0),""))</f>
        <v/>
      </c>
      <c r="H165" s="16" t="str">
        <f>IF(C165="","",IFERROR(VLOOKUP(C165,PO_Workflow!$A:$Q,5,0),""))</f>
        <v/>
      </c>
      <c r="I165" s="16" t="str">
        <f>IF(C165="","",IFERROR(VLOOKUP(C165,PO_Workflow!$A:$Q,6,0),""))</f>
        <v/>
      </c>
      <c r="J165" s="17" t="str">
        <f>IF(C165="","",IFERROR(VLOOKUP(C165,PO_Workflow!$A:$Q,11,0),""))</f>
        <v/>
      </c>
      <c r="K165" s="17" t="str">
        <f>IF(C165="","",IFERROR(VLOOKUP(C165,PO_Workflow!$A:$Q,12,0),""))</f>
        <v/>
      </c>
      <c r="L165" s="17" t="str">
        <f>IF(C165="","",IFERROR(VLOOKUP(C165,PO_Workflow!$A:$Q,13,0),""))</f>
        <v/>
      </c>
      <c r="M165" s="18" t="str">
        <f t="shared" si="6"/>
        <v/>
      </c>
      <c r="O165" s="19" t="str">
        <f>IF(C165="","",IFERROR(VLOOKUP(C165,PO_Workflow!$A:$Q,7,0),""))</f>
        <v/>
      </c>
      <c r="P165" s="19"/>
      <c r="Q165" s="16" t="str">
        <f>IF(C165="","",IFERROR(VLOOKUP(C165,PO_Workflow!$A:$Q,14,0),""))</f>
        <v/>
      </c>
      <c r="R165" s="20" t="str">
        <f>IF(C165="","",IFERROR(VLOOKUP(C165,PO_Workflow!$A:$Q,15,0),""))</f>
        <v/>
      </c>
      <c r="T165" s="16" t="str">
        <f>IF(C165="","",IFERROR(VLOOKUP(C165,PO_Workflow!$A:$Q,8,0),""))</f>
        <v/>
      </c>
      <c r="U165" s="21" t="str">
        <f t="shared" si="7"/>
        <v/>
      </c>
      <c r="V165" t="str">
        <f t="shared" si="8"/>
        <v/>
      </c>
    </row>
    <row r="166" spans="1:22" ht="15" customHeight="1" x14ac:dyDescent="0.35">
      <c r="A166" s="22"/>
      <c r="B166" s="22"/>
      <c r="C166" s="23"/>
      <c r="D166" t="str">
        <f>IF(C166&lt;&gt;"",IFERROR(VLOOKUP(C166,PO_Workflow!$A:$Q,10,0),""),IF(E166="","","PO-"&amp;TEXT(ROW()-2,"0000")))</f>
        <v/>
      </c>
      <c r="E166" s="16" t="str">
        <f>IF(C166="","",IFERROR(VLOOKUP(C166,PO_Workflow!$A:$Q,3,0),""))</f>
        <v/>
      </c>
      <c r="F166" s="16" t="str">
        <f>IF(C166="","",IFERROR(VLOOKUP(C166,PO_Workflow!$A:$Q,3,0),""))</f>
        <v/>
      </c>
      <c r="G166" s="16" t="str">
        <f>IF(C166="","",IFERROR(VLOOKUP(C166,PO_Workflow!$A:$Q,16,0),""))</f>
        <v/>
      </c>
      <c r="H166" s="16" t="str">
        <f>IF(C166="","",IFERROR(VLOOKUP(C166,PO_Workflow!$A:$Q,5,0),""))</f>
        <v/>
      </c>
      <c r="I166" s="16" t="str">
        <f>IF(C166="","",IFERROR(VLOOKUP(C166,PO_Workflow!$A:$Q,6,0),""))</f>
        <v/>
      </c>
      <c r="J166" s="17" t="str">
        <f>IF(C166="","",IFERROR(VLOOKUP(C166,PO_Workflow!$A:$Q,11,0),""))</f>
        <v/>
      </c>
      <c r="K166" s="17" t="str">
        <f>IF(C166="","",IFERROR(VLOOKUP(C166,PO_Workflow!$A:$Q,12,0),""))</f>
        <v/>
      </c>
      <c r="L166" s="17" t="str">
        <f>IF(C166="","",IFERROR(VLOOKUP(C166,PO_Workflow!$A:$Q,13,0),""))</f>
        <v/>
      </c>
      <c r="M166" s="18" t="str">
        <f t="shared" si="6"/>
        <v/>
      </c>
      <c r="O166" s="19" t="str">
        <f>IF(C166="","",IFERROR(VLOOKUP(C166,PO_Workflow!$A:$Q,7,0),""))</f>
        <v/>
      </c>
      <c r="P166" s="19"/>
      <c r="Q166" s="16" t="str">
        <f>IF(C166="","",IFERROR(VLOOKUP(C166,PO_Workflow!$A:$Q,14,0),""))</f>
        <v/>
      </c>
      <c r="R166" s="20" t="str">
        <f>IF(C166="","",IFERROR(VLOOKUP(C166,PO_Workflow!$A:$Q,15,0),""))</f>
        <v/>
      </c>
      <c r="T166" s="16" t="str">
        <f>IF(C166="","",IFERROR(VLOOKUP(C166,PO_Workflow!$A:$Q,8,0),""))</f>
        <v/>
      </c>
      <c r="U166" s="21" t="str">
        <f t="shared" si="7"/>
        <v/>
      </c>
      <c r="V166" t="str">
        <f t="shared" si="8"/>
        <v/>
      </c>
    </row>
    <row r="167" spans="1:22" ht="15" customHeight="1" x14ac:dyDescent="0.35">
      <c r="A167" s="22"/>
      <c r="B167" s="22"/>
      <c r="C167" s="23"/>
      <c r="D167" t="str">
        <f>IF(C167&lt;&gt;"",IFERROR(VLOOKUP(C167,PO_Workflow!$A:$Q,10,0),""),IF(E167="","","PO-"&amp;TEXT(ROW()-2,"0000")))</f>
        <v/>
      </c>
      <c r="E167" s="16" t="str">
        <f>IF(C167="","",IFERROR(VLOOKUP(C167,PO_Workflow!$A:$Q,3,0),""))</f>
        <v/>
      </c>
      <c r="F167" s="16" t="str">
        <f>IF(C167="","",IFERROR(VLOOKUP(C167,PO_Workflow!$A:$Q,3,0),""))</f>
        <v/>
      </c>
      <c r="G167" s="16" t="str">
        <f>IF(C167="","",IFERROR(VLOOKUP(C167,PO_Workflow!$A:$Q,16,0),""))</f>
        <v/>
      </c>
      <c r="H167" s="16" t="str">
        <f>IF(C167="","",IFERROR(VLOOKUP(C167,PO_Workflow!$A:$Q,5,0),""))</f>
        <v/>
      </c>
      <c r="I167" s="16" t="str">
        <f>IF(C167="","",IFERROR(VLOOKUP(C167,PO_Workflow!$A:$Q,6,0),""))</f>
        <v/>
      </c>
      <c r="J167" s="17" t="str">
        <f>IF(C167="","",IFERROR(VLOOKUP(C167,PO_Workflow!$A:$Q,11,0),""))</f>
        <v/>
      </c>
      <c r="K167" s="17" t="str">
        <f>IF(C167="","",IFERROR(VLOOKUP(C167,PO_Workflow!$A:$Q,12,0),""))</f>
        <v/>
      </c>
      <c r="L167" s="17" t="str">
        <f>IF(C167="","",IFERROR(VLOOKUP(C167,PO_Workflow!$A:$Q,13,0),""))</f>
        <v/>
      </c>
      <c r="M167" s="18" t="str">
        <f t="shared" si="6"/>
        <v/>
      </c>
      <c r="O167" s="19" t="str">
        <f>IF(C167="","",IFERROR(VLOOKUP(C167,PO_Workflow!$A:$Q,7,0),""))</f>
        <v/>
      </c>
      <c r="P167" s="19"/>
      <c r="Q167" s="16" t="str">
        <f>IF(C167="","",IFERROR(VLOOKUP(C167,PO_Workflow!$A:$Q,14,0),""))</f>
        <v/>
      </c>
      <c r="R167" s="20" t="str">
        <f>IF(C167="","",IFERROR(VLOOKUP(C167,PO_Workflow!$A:$Q,15,0),""))</f>
        <v/>
      </c>
      <c r="T167" s="16" t="str">
        <f>IF(C167="","",IFERROR(VLOOKUP(C167,PO_Workflow!$A:$Q,8,0),""))</f>
        <v/>
      </c>
      <c r="U167" s="21" t="str">
        <f t="shared" si="7"/>
        <v/>
      </c>
      <c r="V167" t="str">
        <f t="shared" si="8"/>
        <v/>
      </c>
    </row>
    <row r="168" spans="1:22" ht="15" customHeight="1" x14ac:dyDescent="0.35">
      <c r="A168" s="22"/>
      <c r="B168" s="22"/>
      <c r="C168" s="23"/>
      <c r="D168" t="str">
        <f>IF(C168&lt;&gt;"",IFERROR(VLOOKUP(C168,PO_Workflow!$A:$Q,10,0),""),IF(E168="","","PO-"&amp;TEXT(ROW()-2,"0000")))</f>
        <v/>
      </c>
      <c r="E168" s="16" t="str">
        <f>IF(C168="","",IFERROR(VLOOKUP(C168,PO_Workflow!$A:$Q,3,0),""))</f>
        <v/>
      </c>
      <c r="F168" s="16" t="str">
        <f>IF(C168="","",IFERROR(VLOOKUP(C168,PO_Workflow!$A:$Q,3,0),""))</f>
        <v/>
      </c>
      <c r="G168" s="16" t="str">
        <f>IF(C168="","",IFERROR(VLOOKUP(C168,PO_Workflow!$A:$Q,16,0),""))</f>
        <v/>
      </c>
      <c r="H168" s="16" t="str">
        <f>IF(C168="","",IFERROR(VLOOKUP(C168,PO_Workflow!$A:$Q,5,0),""))</f>
        <v/>
      </c>
      <c r="I168" s="16" t="str">
        <f>IF(C168="","",IFERROR(VLOOKUP(C168,PO_Workflow!$A:$Q,6,0),""))</f>
        <v/>
      </c>
      <c r="J168" s="17" t="str">
        <f>IF(C168="","",IFERROR(VLOOKUP(C168,PO_Workflow!$A:$Q,11,0),""))</f>
        <v/>
      </c>
      <c r="K168" s="17" t="str">
        <f>IF(C168="","",IFERROR(VLOOKUP(C168,PO_Workflow!$A:$Q,12,0),""))</f>
        <v/>
      </c>
      <c r="L168" s="17" t="str">
        <f>IF(C168="","",IFERROR(VLOOKUP(C168,PO_Workflow!$A:$Q,13,0),""))</f>
        <v/>
      </c>
      <c r="M168" s="18" t="str">
        <f t="shared" si="6"/>
        <v/>
      </c>
      <c r="O168" s="19" t="str">
        <f>IF(C168="","",IFERROR(VLOOKUP(C168,PO_Workflow!$A:$Q,7,0),""))</f>
        <v/>
      </c>
      <c r="P168" s="19"/>
      <c r="Q168" s="16" t="str">
        <f>IF(C168="","",IFERROR(VLOOKUP(C168,PO_Workflow!$A:$Q,14,0),""))</f>
        <v/>
      </c>
      <c r="R168" s="20" t="str">
        <f>IF(C168="","",IFERROR(VLOOKUP(C168,PO_Workflow!$A:$Q,15,0),""))</f>
        <v/>
      </c>
      <c r="T168" s="16" t="str">
        <f>IF(C168="","",IFERROR(VLOOKUP(C168,PO_Workflow!$A:$Q,8,0),""))</f>
        <v/>
      </c>
      <c r="U168" s="21" t="str">
        <f t="shared" si="7"/>
        <v/>
      </c>
      <c r="V168" t="str">
        <f t="shared" si="8"/>
        <v/>
      </c>
    </row>
    <row r="169" spans="1:22" ht="15" customHeight="1" x14ac:dyDescent="0.35">
      <c r="A169" s="22"/>
      <c r="B169" s="22"/>
      <c r="C169" s="23"/>
      <c r="D169" t="str">
        <f>IF(C169&lt;&gt;"",IFERROR(VLOOKUP(C169,PO_Workflow!$A:$Q,10,0),""),IF(E169="","","PO-"&amp;TEXT(ROW()-2,"0000")))</f>
        <v/>
      </c>
      <c r="E169" s="16" t="str">
        <f>IF(C169="","",IFERROR(VLOOKUP(C169,PO_Workflow!$A:$Q,3,0),""))</f>
        <v/>
      </c>
      <c r="F169" s="16" t="str">
        <f>IF(C169="","",IFERROR(VLOOKUP(C169,PO_Workflow!$A:$Q,3,0),""))</f>
        <v/>
      </c>
      <c r="G169" s="16" t="str">
        <f>IF(C169="","",IFERROR(VLOOKUP(C169,PO_Workflow!$A:$Q,16,0),""))</f>
        <v/>
      </c>
      <c r="H169" s="16" t="str">
        <f>IF(C169="","",IFERROR(VLOOKUP(C169,PO_Workflow!$A:$Q,5,0),""))</f>
        <v/>
      </c>
      <c r="I169" s="16" t="str">
        <f>IF(C169="","",IFERROR(VLOOKUP(C169,PO_Workflow!$A:$Q,6,0),""))</f>
        <v/>
      </c>
      <c r="J169" s="17" t="str">
        <f>IF(C169="","",IFERROR(VLOOKUP(C169,PO_Workflow!$A:$Q,11,0),""))</f>
        <v/>
      </c>
      <c r="K169" s="17" t="str">
        <f>IF(C169="","",IFERROR(VLOOKUP(C169,PO_Workflow!$A:$Q,12,0),""))</f>
        <v/>
      </c>
      <c r="L169" s="17" t="str">
        <f>IF(C169="","",IFERROR(VLOOKUP(C169,PO_Workflow!$A:$Q,13,0),""))</f>
        <v/>
      </c>
      <c r="M169" s="18" t="str">
        <f t="shared" si="6"/>
        <v/>
      </c>
      <c r="O169" s="19" t="str">
        <f>IF(C169="","",IFERROR(VLOOKUP(C169,PO_Workflow!$A:$Q,7,0),""))</f>
        <v/>
      </c>
      <c r="P169" s="19"/>
      <c r="Q169" s="16" t="str">
        <f>IF(C169="","",IFERROR(VLOOKUP(C169,PO_Workflow!$A:$Q,14,0),""))</f>
        <v/>
      </c>
      <c r="R169" s="20" t="str">
        <f>IF(C169="","",IFERROR(VLOOKUP(C169,PO_Workflow!$A:$Q,15,0),""))</f>
        <v/>
      </c>
      <c r="T169" s="16" t="str">
        <f>IF(C169="","",IFERROR(VLOOKUP(C169,PO_Workflow!$A:$Q,8,0),""))</f>
        <v/>
      </c>
      <c r="U169" s="21" t="str">
        <f t="shared" si="7"/>
        <v/>
      </c>
      <c r="V169" t="str">
        <f t="shared" si="8"/>
        <v/>
      </c>
    </row>
    <row r="170" spans="1:22" ht="15" customHeight="1" x14ac:dyDescent="0.35">
      <c r="A170" s="22"/>
      <c r="B170" s="22"/>
      <c r="C170" s="23"/>
      <c r="D170" t="str">
        <f>IF(C170&lt;&gt;"",IFERROR(VLOOKUP(C170,PO_Workflow!$A:$Q,10,0),""),IF(E170="","","PO-"&amp;TEXT(ROW()-2,"0000")))</f>
        <v/>
      </c>
      <c r="E170" s="16" t="str">
        <f>IF(C170="","",IFERROR(VLOOKUP(C170,PO_Workflow!$A:$Q,3,0),""))</f>
        <v/>
      </c>
      <c r="F170" s="16" t="str">
        <f>IF(C170="","",IFERROR(VLOOKUP(C170,PO_Workflow!$A:$Q,3,0),""))</f>
        <v/>
      </c>
      <c r="G170" s="16" t="str">
        <f>IF(C170="","",IFERROR(VLOOKUP(C170,PO_Workflow!$A:$Q,16,0),""))</f>
        <v/>
      </c>
      <c r="H170" s="16" t="str">
        <f>IF(C170="","",IFERROR(VLOOKUP(C170,PO_Workflow!$A:$Q,5,0),""))</f>
        <v/>
      </c>
      <c r="I170" s="16" t="str">
        <f>IF(C170="","",IFERROR(VLOOKUP(C170,PO_Workflow!$A:$Q,6,0),""))</f>
        <v/>
      </c>
      <c r="J170" s="17" t="str">
        <f>IF(C170="","",IFERROR(VLOOKUP(C170,PO_Workflow!$A:$Q,11,0),""))</f>
        <v/>
      </c>
      <c r="K170" s="17" t="str">
        <f>IF(C170="","",IFERROR(VLOOKUP(C170,PO_Workflow!$A:$Q,12,0),""))</f>
        <v/>
      </c>
      <c r="L170" s="17" t="str">
        <f>IF(C170="","",IFERROR(VLOOKUP(C170,PO_Workflow!$A:$Q,13,0),""))</f>
        <v/>
      </c>
      <c r="M170" s="18" t="str">
        <f t="shared" si="6"/>
        <v/>
      </c>
      <c r="O170" s="19" t="str">
        <f>IF(C170="","",IFERROR(VLOOKUP(C170,PO_Workflow!$A:$Q,7,0),""))</f>
        <v/>
      </c>
      <c r="P170" s="19"/>
      <c r="Q170" s="16" t="str">
        <f>IF(C170="","",IFERROR(VLOOKUP(C170,PO_Workflow!$A:$Q,14,0),""))</f>
        <v/>
      </c>
      <c r="R170" s="20" t="str">
        <f>IF(C170="","",IFERROR(VLOOKUP(C170,PO_Workflow!$A:$Q,15,0),""))</f>
        <v/>
      </c>
      <c r="T170" s="16" t="str">
        <f>IF(C170="","",IFERROR(VLOOKUP(C170,PO_Workflow!$A:$Q,8,0),""))</f>
        <v/>
      </c>
      <c r="U170" s="21" t="str">
        <f t="shared" si="7"/>
        <v/>
      </c>
      <c r="V170" t="str">
        <f t="shared" si="8"/>
        <v/>
      </c>
    </row>
    <row r="171" spans="1:22" ht="15" customHeight="1" x14ac:dyDescent="0.35">
      <c r="A171" s="22"/>
      <c r="B171" s="22"/>
      <c r="C171" s="23"/>
      <c r="D171" t="str">
        <f>IF(C171&lt;&gt;"",IFERROR(VLOOKUP(C171,PO_Workflow!$A:$Q,10,0),""),IF(E171="","","PO-"&amp;TEXT(ROW()-2,"0000")))</f>
        <v/>
      </c>
      <c r="E171" s="16" t="str">
        <f>IF(C171="","",IFERROR(VLOOKUP(C171,PO_Workflow!$A:$Q,3,0),""))</f>
        <v/>
      </c>
      <c r="F171" s="16" t="str">
        <f>IF(C171="","",IFERROR(VLOOKUP(C171,PO_Workflow!$A:$Q,3,0),""))</f>
        <v/>
      </c>
      <c r="G171" s="16" t="str">
        <f>IF(C171="","",IFERROR(VLOOKUP(C171,PO_Workflow!$A:$Q,16,0),""))</f>
        <v/>
      </c>
      <c r="H171" s="16" t="str">
        <f>IF(C171="","",IFERROR(VLOOKUP(C171,PO_Workflow!$A:$Q,5,0),""))</f>
        <v/>
      </c>
      <c r="I171" s="16" t="str">
        <f>IF(C171="","",IFERROR(VLOOKUP(C171,PO_Workflow!$A:$Q,6,0),""))</f>
        <v/>
      </c>
      <c r="J171" s="17" t="str">
        <f>IF(C171="","",IFERROR(VLOOKUP(C171,PO_Workflow!$A:$Q,11,0),""))</f>
        <v/>
      </c>
      <c r="K171" s="17" t="str">
        <f>IF(C171="","",IFERROR(VLOOKUP(C171,PO_Workflow!$A:$Q,12,0),""))</f>
        <v/>
      </c>
      <c r="L171" s="17" t="str">
        <f>IF(C171="","",IFERROR(VLOOKUP(C171,PO_Workflow!$A:$Q,13,0),""))</f>
        <v/>
      </c>
      <c r="M171" s="18" t="str">
        <f t="shared" si="6"/>
        <v/>
      </c>
      <c r="O171" s="19" t="str">
        <f>IF(C171="","",IFERROR(VLOOKUP(C171,PO_Workflow!$A:$Q,7,0),""))</f>
        <v/>
      </c>
      <c r="P171" s="19"/>
      <c r="Q171" s="16" t="str">
        <f>IF(C171="","",IFERROR(VLOOKUP(C171,PO_Workflow!$A:$Q,14,0),""))</f>
        <v/>
      </c>
      <c r="R171" s="20" t="str">
        <f>IF(C171="","",IFERROR(VLOOKUP(C171,PO_Workflow!$A:$Q,15,0),""))</f>
        <v/>
      </c>
      <c r="T171" s="16" t="str">
        <f>IF(C171="","",IFERROR(VLOOKUP(C171,PO_Workflow!$A:$Q,8,0),""))</f>
        <v/>
      </c>
      <c r="U171" s="21" t="str">
        <f t="shared" si="7"/>
        <v/>
      </c>
      <c r="V171" t="str">
        <f t="shared" si="8"/>
        <v/>
      </c>
    </row>
    <row r="172" spans="1:22" ht="15" customHeight="1" x14ac:dyDescent="0.35">
      <c r="A172" s="22"/>
      <c r="B172" s="22"/>
      <c r="C172" s="23"/>
      <c r="D172" t="str">
        <f>IF(C172&lt;&gt;"",IFERROR(VLOOKUP(C172,PO_Workflow!$A:$Q,10,0),""),IF(E172="","","PO-"&amp;TEXT(ROW()-2,"0000")))</f>
        <v/>
      </c>
      <c r="E172" s="16" t="str">
        <f>IF(C172="","",IFERROR(VLOOKUP(C172,PO_Workflow!$A:$Q,3,0),""))</f>
        <v/>
      </c>
      <c r="F172" s="16" t="str">
        <f>IF(C172="","",IFERROR(VLOOKUP(C172,PO_Workflow!$A:$Q,3,0),""))</f>
        <v/>
      </c>
      <c r="G172" s="16" t="str">
        <f>IF(C172="","",IFERROR(VLOOKUP(C172,PO_Workflow!$A:$Q,16,0),""))</f>
        <v/>
      </c>
      <c r="H172" s="16" t="str">
        <f>IF(C172="","",IFERROR(VLOOKUP(C172,PO_Workflow!$A:$Q,5,0),""))</f>
        <v/>
      </c>
      <c r="I172" s="16" t="str">
        <f>IF(C172="","",IFERROR(VLOOKUP(C172,PO_Workflow!$A:$Q,6,0),""))</f>
        <v/>
      </c>
      <c r="J172" s="17" t="str">
        <f>IF(C172="","",IFERROR(VLOOKUP(C172,PO_Workflow!$A:$Q,11,0),""))</f>
        <v/>
      </c>
      <c r="K172" s="17" t="str">
        <f>IF(C172="","",IFERROR(VLOOKUP(C172,PO_Workflow!$A:$Q,12,0),""))</f>
        <v/>
      </c>
      <c r="L172" s="17" t="str">
        <f>IF(C172="","",IFERROR(VLOOKUP(C172,PO_Workflow!$A:$Q,13,0),""))</f>
        <v/>
      </c>
      <c r="M172" s="18" t="str">
        <f t="shared" si="6"/>
        <v/>
      </c>
      <c r="O172" s="19" t="str">
        <f>IF(C172="","",IFERROR(VLOOKUP(C172,PO_Workflow!$A:$Q,7,0),""))</f>
        <v/>
      </c>
      <c r="P172" s="19"/>
      <c r="Q172" s="16" t="str">
        <f>IF(C172="","",IFERROR(VLOOKUP(C172,PO_Workflow!$A:$Q,14,0),""))</f>
        <v/>
      </c>
      <c r="R172" s="20" t="str">
        <f>IF(C172="","",IFERROR(VLOOKUP(C172,PO_Workflow!$A:$Q,15,0),""))</f>
        <v/>
      </c>
      <c r="T172" s="16" t="str">
        <f>IF(C172="","",IFERROR(VLOOKUP(C172,PO_Workflow!$A:$Q,8,0),""))</f>
        <v/>
      </c>
      <c r="U172" s="21" t="str">
        <f t="shared" si="7"/>
        <v/>
      </c>
      <c r="V172" t="str">
        <f t="shared" si="8"/>
        <v/>
      </c>
    </row>
    <row r="173" spans="1:22" ht="15" customHeight="1" x14ac:dyDescent="0.35">
      <c r="A173" s="22"/>
      <c r="B173" s="22"/>
      <c r="C173" s="23"/>
      <c r="D173" t="str">
        <f>IF(C173&lt;&gt;"",IFERROR(VLOOKUP(C173,PO_Workflow!$A:$Q,10,0),""),IF(E173="","","PO-"&amp;TEXT(ROW()-2,"0000")))</f>
        <v/>
      </c>
      <c r="E173" s="16" t="str">
        <f>IF(C173="","",IFERROR(VLOOKUP(C173,PO_Workflow!$A:$Q,3,0),""))</f>
        <v/>
      </c>
      <c r="F173" s="16" t="str">
        <f>IF(C173="","",IFERROR(VLOOKUP(C173,PO_Workflow!$A:$Q,3,0),""))</f>
        <v/>
      </c>
      <c r="G173" s="16" t="str">
        <f>IF(C173="","",IFERROR(VLOOKUP(C173,PO_Workflow!$A:$Q,16,0),""))</f>
        <v/>
      </c>
      <c r="H173" s="16" t="str">
        <f>IF(C173="","",IFERROR(VLOOKUP(C173,PO_Workflow!$A:$Q,5,0),""))</f>
        <v/>
      </c>
      <c r="I173" s="16" t="str">
        <f>IF(C173="","",IFERROR(VLOOKUP(C173,PO_Workflow!$A:$Q,6,0),""))</f>
        <v/>
      </c>
      <c r="J173" s="17" t="str">
        <f>IF(C173="","",IFERROR(VLOOKUP(C173,PO_Workflow!$A:$Q,11,0),""))</f>
        <v/>
      </c>
      <c r="K173" s="17" t="str">
        <f>IF(C173="","",IFERROR(VLOOKUP(C173,PO_Workflow!$A:$Q,12,0),""))</f>
        <v/>
      </c>
      <c r="L173" s="17" t="str">
        <f>IF(C173="","",IFERROR(VLOOKUP(C173,PO_Workflow!$A:$Q,13,0),""))</f>
        <v/>
      </c>
      <c r="M173" s="18" t="str">
        <f t="shared" si="6"/>
        <v/>
      </c>
      <c r="O173" s="19" t="str">
        <f>IF(C173="","",IFERROR(VLOOKUP(C173,PO_Workflow!$A:$Q,7,0),""))</f>
        <v/>
      </c>
      <c r="P173" s="19"/>
      <c r="Q173" s="16" t="str">
        <f>IF(C173="","",IFERROR(VLOOKUP(C173,PO_Workflow!$A:$Q,14,0),""))</f>
        <v/>
      </c>
      <c r="R173" s="20" t="str">
        <f>IF(C173="","",IFERROR(VLOOKUP(C173,PO_Workflow!$A:$Q,15,0),""))</f>
        <v/>
      </c>
      <c r="T173" s="16" t="str">
        <f>IF(C173="","",IFERROR(VLOOKUP(C173,PO_Workflow!$A:$Q,8,0),""))</f>
        <v/>
      </c>
      <c r="U173" s="21" t="str">
        <f t="shared" si="7"/>
        <v/>
      </c>
      <c r="V173" t="str">
        <f t="shared" si="8"/>
        <v/>
      </c>
    </row>
    <row r="174" spans="1:22" ht="15" customHeight="1" x14ac:dyDescent="0.35">
      <c r="A174" s="22"/>
      <c r="B174" s="22"/>
      <c r="C174" s="23"/>
      <c r="D174" t="str">
        <f>IF(C174&lt;&gt;"",IFERROR(VLOOKUP(C174,PO_Workflow!$A:$Q,10,0),""),IF(E174="","","PO-"&amp;TEXT(ROW()-2,"0000")))</f>
        <v/>
      </c>
      <c r="E174" s="16" t="str">
        <f>IF(C174="","",IFERROR(VLOOKUP(C174,PO_Workflow!$A:$Q,3,0),""))</f>
        <v/>
      </c>
      <c r="F174" s="16" t="str">
        <f>IF(C174="","",IFERROR(VLOOKUP(C174,PO_Workflow!$A:$Q,3,0),""))</f>
        <v/>
      </c>
      <c r="G174" s="16" t="str">
        <f>IF(C174="","",IFERROR(VLOOKUP(C174,PO_Workflow!$A:$Q,16,0),""))</f>
        <v/>
      </c>
      <c r="H174" s="16" t="str">
        <f>IF(C174="","",IFERROR(VLOOKUP(C174,PO_Workflow!$A:$Q,5,0),""))</f>
        <v/>
      </c>
      <c r="I174" s="16" t="str">
        <f>IF(C174="","",IFERROR(VLOOKUP(C174,PO_Workflow!$A:$Q,6,0),""))</f>
        <v/>
      </c>
      <c r="J174" s="17" t="str">
        <f>IF(C174="","",IFERROR(VLOOKUP(C174,PO_Workflow!$A:$Q,11,0),""))</f>
        <v/>
      </c>
      <c r="K174" s="17" t="str">
        <f>IF(C174="","",IFERROR(VLOOKUP(C174,PO_Workflow!$A:$Q,12,0),""))</f>
        <v/>
      </c>
      <c r="L174" s="17" t="str">
        <f>IF(C174="","",IFERROR(VLOOKUP(C174,PO_Workflow!$A:$Q,13,0),""))</f>
        <v/>
      </c>
      <c r="M174" s="18" t="str">
        <f t="shared" si="6"/>
        <v/>
      </c>
      <c r="O174" s="19" t="str">
        <f>IF(C174="","",IFERROR(VLOOKUP(C174,PO_Workflow!$A:$Q,7,0),""))</f>
        <v/>
      </c>
      <c r="P174" s="19"/>
      <c r="Q174" s="16" t="str">
        <f>IF(C174="","",IFERROR(VLOOKUP(C174,PO_Workflow!$A:$Q,14,0),""))</f>
        <v/>
      </c>
      <c r="R174" s="20" t="str">
        <f>IF(C174="","",IFERROR(VLOOKUP(C174,PO_Workflow!$A:$Q,15,0),""))</f>
        <v/>
      </c>
      <c r="T174" s="16" t="str">
        <f>IF(C174="","",IFERROR(VLOOKUP(C174,PO_Workflow!$A:$Q,8,0),""))</f>
        <v/>
      </c>
      <c r="U174" s="21" t="str">
        <f t="shared" si="7"/>
        <v/>
      </c>
      <c r="V174" t="str">
        <f t="shared" si="8"/>
        <v/>
      </c>
    </row>
    <row r="175" spans="1:22" ht="15" customHeight="1" x14ac:dyDescent="0.35">
      <c r="A175" s="22"/>
      <c r="B175" s="22"/>
      <c r="C175" s="23"/>
      <c r="D175" t="str">
        <f>IF(C175&lt;&gt;"",IFERROR(VLOOKUP(C175,PO_Workflow!$A:$Q,10,0),""),IF(E175="","","PO-"&amp;TEXT(ROW()-2,"0000")))</f>
        <v/>
      </c>
      <c r="E175" s="16" t="str">
        <f>IF(C175="","",IFERROR(VLOOKUP(C175,PO_Workflow!$A:$Q,3,0),""))</f>
        <v/>
      </c>
      <c r="F175" s="16" t="str">
        <f>IF(C175="","",IFERROR(VLOOKUP(C175,PO_Workflow!$A:$Q,3,0),""))</f>
        <v/>
      </c>
      <c r="G175" s="16" t="str">
        <f>IF(C175="","",IFERROR(VLOOKUP(C175,PO_Workflow!$A:$Q,16,0),""))</f>
        <v/>
      </c>
      <c r="H175" s="16" t="str">
        <f>IF(C175="","",IFERROR(VLOOKUP(C175,PO_Workflow!$A:$Q,5,0),""))</f>
        <v/>
      </c>
      <c r="I175" s="16" t="str">
        <f>IF(C175="","",IFERROR(VLOOKUP(C175,PO_Workflow!$A:$Q,6,0),""))</f>
        <v/>
      </c>
      <c r="J175" s="17" t="str">
        <f>IF(C175="","",IFERROR(VLOOKUP(C175,PO_Workflow!$A:$Q,11,0),""))</f>
        <v/>
      </c>
      <c r="K175" s="17" t="str">
        <f>IF(C175="","",IFERROR(VLOOKUP(C175,PO_Workflow!$A:$Q,12,0),""))</f>
        <v/>
      </c>
      <c r="L175" s="17" t="str">
        <f>IF(C175="","",IFERROR(VLOOKUP(C175,PO_Workflow!$A:$Q,13,0),""))</f>
        <v/>
      </c>
      <c r="M175" s="18" t="str">
        <f t="shared" si="6"/>
        <v/>
      </c>
      <c r="O175" s="19" t="str">
        <f>IF(C175="","",IFERROR(VLOOKUP(C175,PO_Workflow!$A:$Q,7,0),""))</f>
        <v/>
      </c>
      <c r="P175" s="19"/>
      <c r="Q175" s="16" t="str">
        <f>IF(C175="","",IFERROR(VLOOKUP(C175,PO_Workflow!$A:$Q,14,0),""))</f>
        <v/>
      </c>
      <c r="R175" s="20" t="str">
        <f>IF(C175="","",IFERROR(VLOOKUP(C175,PO_Workflow!$A:$Q,15,0),""))</f>
        <v/>
      </c>
      <c r="T175" s="16" t="str">
        <f>IF(C175="","",IFERROR(VLOOKUP(C175,PO_Workflow!$A:$Q,8,0),""))</f>
        <v/>
      </c>
      <c r="U175" s="21" t="str">
        <f t="shared" si="7"/>
        <v/>
      </c>
      <c r="V175" t="str">
        <f t="shared" si="8"/>
        <v/>
      </c>
    </row>
    <row r="176" spans="1:22" ht="15" customHeight="1" x14ac:dyDescent="0.35">
      <c r="A176" s="22"/>
      <c r="B176" s="22"/>
      <c r="C176" s="23"/>
      <c r="D176" t="str">
        <f>IF(C176&lt;&gt;"",IFERROR(VLOOKUP(C176,PO_Workflow!$A:$Q,10,0),""),IF(E176="","","PO-"&amp;TEXT(ROW()-2,"0000")))</f>
        <v/>
      </c>
      <c r="E176" s="16" t="str">
        <f>IF(C176="","",IFERROR(VLOOKUP(C176,PO_Workflow!$A:$Q,3,0),""))</f>
        <v/>
      </c>
      <c r="F176" s="16" t="str">
        <f>IF(C176="","",IFERROR(VLOOKUP(C176,PO_Workflow!$A:$Q,3,0),""))</f>
        <v/>
      </c>
      <c r="G176" s="16" t="str">
        <f>IF(C176="","",IFERROR(VLOOKUP(C176,PO_Workflow!$A:$Q,16,0),""))</f>
        <v/>
      </c>
      <c r="H176" s="16" t="str">
        <f>IF(C176="","",IFERROR(VLOOKUP(C176,PO_Workflow!$A:$Q,5,0),""))</f>
        <v/>
      </c>
      <c r="I176" s="16" t="str">
        <f>IF(C176="","",IFERROR(VLOOKUP(C176,PO_Workflow!$A:$Q,6,0),""))</f>
        <v/>
      </c>
      <c r="J176" s="17" t="str">
        <f>IF(C176="","",IFERROR(VLOOKUP(C176,PO_Workflow!$A:$Q,11,0),""))</f>
        <v/>
      </c>
      <c r="K176" s="17" t="str">
        <f>IF(C176="","",IFERROR(VLOOKUP(C176,PO_Workflow!$A:$Q,12,0),""))</f>
        <v/>
      </c>
      <c r="L176" s="17" t="str">
        <f>IF(C176="","",IFERROR(VLOOKUP(C176,PO_Workflow!$A:$Q,13,0),""))</f>
        <v/>
      </c>
      <c r="M176" s="18" t="str">
        <f t="shared" si="6"/>
        <v/>
      </c>
      <c r="O176" s="19" t="str">
        <f>IF(C176="","",IFERROR(VLOOKUP(C176,PO_Workflow!$A:$Q,7,0),""))</f>
        <v/>
      </c>
      <c r="P176" s="19"/>
      <c r="Q176" s="16" t="str">
        <f>IF(C176="","",IFERROR(VLOOKUP(C176,PO_Workflow!$A:$Q,14,0),""))</f>
        <v/>
      </c>
      <c r="R176" s="20" t="str">
        <f>IF(C176="","",IFERROR(VLOOKUP(C176,PO_Workflow!$A:$Q,15,0),""))</f>
        <v/>
      </c>
      <c r="T176" s="16" t="str">
        <f>IF(C176="","",IFERROR(VLOOKUP(C176,PO_Workflow!$A:$Q,8,0),""))</f>
        <v/>
      </c>
      <c r="U176" s="21" t="str">
        <f t="shared" si="7"/>
        <v/>
      </c>
      <c r="V176" t="str">
        <f t="shared" si="8"/>
        <v/>
      </c>
    </row>
    <row r="177" spans="1:22" ht="15" customHeight="1" x14ac:dyDescent="0.35">
      <c r="A177" s="22"/>
      <c r="B177" s="22"/>
      <c r="C177" s="23"/>
      <c r="D177" t="str">
        <f>IF(C177&lt;&gt;"",IFERROR(VLOOKUP(C177,PO_Workflow!$A:$Q,10,0),""),IF(E177="","","PO-"&amp;TEXT(ROW()-2,"0000")))</f>
        <v/>
      </c>
      <c r="E177" s="16" t="str">
        <f>IF(C177="","",IFERROR(VLOOKUP(C177,PO_Workflow!$A:$Q,3,0),""))</f>
        <v/>
      </c>
      <c r="F177" s="16" t="str">
        <f>IF(C177="","",IFERROR(VLOOKUP(C177,PO_Workflow!$A:$Q,3,0),""))</f>
        <v/>
      </c>
      <c r="G177" s="16" t="str">
        <f>IF(C177="","",IFERROR(VLOOKUP(C177,PO_Workflow!$A:$Q,16,0),""))</f>
        <v/>
      </c>
      <c r="H177" s="16" t="str">
        <f>IF(C177="","",IFERROR(VLOOKUP(C177,PO_Workflow!$A:$Q,5,0),""))</f>
        <v/>
      </c>
      <c r="I177" s="16" t="str">
        <f>IF(C177="","",IFERROR(VLOOKUP(C177,PO_Workflow!$A:$Q,6,0),""))</f>
        <v/>
      </c>
      <c r="J177" s="17" t="str">
        <f>IF(C177="","",IFERROR(VLOOKUP(C177,PO_Workflow!$A:$Q,11,0),""))</f>
        <v/>
      </c>
      <c r="K177" s="17" t="str">
        <f>IF(C177="","",IFERROR(VLOOKUP(C177,PO_Workflow!$A:$Q,12,0),""))</f>
        <v/>
      </c>
      <c r="L177" s="17" t="str">
        <f>IF(C177="","",IFERROR(VLOOKUP(C177,PO_Workflow!$A:$Q,13,0),""))</f>
        <v/>
      </c>
      <c r="M177" s="18" t="str">
        <f t="shared" si="6"/>
        <v/>
      </c>
      <c r="O177" s="19" t="str">
        <f>IF(C177="","",IFERROR(VLOOKUP(C177,PO_Workflow!$A:$Q,7,0),""))</f>
        <v/>
      </c>
      <c r="P177" s="19"/>
      <c r="Q177" s="16" t="str">
        <f>IF(C177="","",IFERROR(VLOOKUP(C177,PO_Workflow!$A:$Q,14,0),""))</f>
        <v/>
      </c>
      <c r="R177" s="20" t="str">
        <f>IF(C177="","",IFERROR(VLOOKUP(C177,PO_Workflow!$A:$Q,15,0),""))</f>
        <v/>
      </c>
      <c r="T177" s="16" t="str">
        <f>IF(C177="","",IFERROR(VLOOKUP(C177,PO_Workflow!$A:$Q,8,0),""))</f>
        <v/>
      </c>
      <c r="U177" s="21" t="str">
        <f t="shared" si="7"/>
        <v/>
      </c>
      <c r="V177" t="str">
        <f t="shared" si="8"/>
        <v/>
      </c>
    </row>
    <row r="178" spans="1:22" ht="15" customHeight="1" x14ac:dyDescent="0.35">
      <c r="A178" s="22"/>
      <c r="B178" s="22"/>
      <c r="C178" s="23"/>
      <c r="D178" t="str">
        <f>IF(C178&lt;&gt;"",IFERROR(VLOOKUP(C178,PO_Workflow!$A:$Q,10,0),""),IF(E178="","","PO-"&amp;TEXT(ROW()-2,"0000")))</f>
        <v/>
      </c>
      <c r="E178" s="16" t="str">
        <f>IF(C178="","",IFERROR(VLOOKUP(C178,PO_Workflow!$A:$Q,3,0),""))</f>
        <v/>
      </c>
      <c r="F178" s="16" t="str">
        <f>IF(C178="","",IFERROR(VLOOKUP(C178,PO_Workflow!$A:$Q,3,0),""))</f>
        <v/>
      </c>
      <c r="G178" s="16" t="str">
        <f>IF(C178="","",IFERROR(VLOOKUP(C178,PO_Workflow!$A:$Q,16,0),""))</f>
        <v/>
      </c>
      <c r="H178" s="16" t="str">
        <f>IF(C178="","",IFERROR(VLOOKUP(C178,PO_Workflow!$A:$Q,5,0),""))</f>
        <v/>
      </c>
      <c r="I178" s="16" t="str">
        <f>IF(C178="","",IFERROR(VLOOKUP(C178,PO_Workflow!$A:$Q,6,0),""))</f>
        <v/>
      </c>
      <c r="J178" s="17" t="str">
        <f>IF(C178="","",IFERROR(VLOOKUP(C178,PO_Workflow!$A:$Q,11,0),""))</f>
        <v/>
      </c>
      <c r="K178" s="17" t="str">
        <f>IF(C178="","",IFERROR(VLOOKUP(C178,PO_Workflow!$A:$Q,12,0),""))</f>
        <v/>
      </c>
      <c r="L178" s="17" t="str">
        <f>IF(C178="","",IFERROR(VLOOKUP(C178,PO_Workflow!$A:$Q,13,0),""))</f>
        <v/>
      </c>
      <c r="M178" s="18" t="str">
        <f t="shared" si="6"/>
        <v/>
      </c>
      <c r="O178" s="19" t="str">
        <f>IF(C178="","",IFERROR(VLOOKUP(C178,PO_Workflow!$A:$Q,7,0),""))</f>
        <v/>
      </c>
      <c r="P178" s="19"/>
      <c r="Q178" s="16" t="str">
        <f>IF(C178="","",IFERROR(VLOOKUP(C178,PO_Workflow!$A:$Q,14,0),""))</f>
        <v/>
      </c>
      <c r="R178" s="20" t="str">
        <f>IF(C178="","",IFERROR(VLOOKUP(C178,PO_Workflow!$A:$Q,15,0),""))</f>
        <v/>
      </c>
      <c r="T178" s="16" t="str">
        <f>IF(C178="","",IFERROR(VLOOKUP(C178,PO_Workflow!$A:$Q,8,0),""))</f>
        <v/>
      </c>
      <c r="U178" s="21" t="str">
        <f t="shared" si="7"/>
        <v/>
      </c>
      <c r="V178" t="str">
        <f t="shared" si="8"/>
        <v/>
      </c>
    </row>
    <row r="179" spans="1:22" ht="15" customHeight="1" x14ac:dyDescent="0.35">
      <c r="A179" s="22"/>
      <c r="B179" s="22"/>
      <c r="C179" s="23"/>
      <c r="D179" t="str">
        <f>IF(C179&lt;&gt;"",IFERROR(VLOOKUP(C179,PO_Workflow!$A:$Q,10,0),""),IF(E179="","","PO-"&amp;TEXT(ROW()-2,"0000")))</f>
        <v/>
      </c>
      <c r="E179" s="16" t="str">
        <f>IF(C179="","",IFERROR(VLOOKUP(C179,PO_Workflow!$A:$Q,3,0),""))</f>
        <v/>
      </c>
      <c r="F179" s="16" t="str">
        <f>IF(C179="","",IFERROR(VLOOKUP(C179,PO_Workflow!$A:$Q,3,0),""))</f>
        <v/>
      </c>
      <c r="G179" s="16" t="str">
        <f>IF(C179="","",IFERROR(VLOOKUP(C179,PO_Workflow!$A:$Q,16,0),""))</f>
        <v/>
      </c>
      <c r="H179" s="16" t="str">
        <f>IF(C179="","",IFERROR(VLOOKUP(C179,PO_Workflow!$A:$Q,5,0),""))</f>
        <v/>
      </c>
      <c r="I179" s="16" t="str">
        <f>IF(C179="","",IFERROR(VLOOKUP(C179,PO_Workflow!$A:$Q,6,0),""))</f>
        <v/>
      </c>
      <c r="J179" s="17" t="str">
        <f>IF(C179="","",IFERROR(VLOOKUP(C179,PO_Workflow!$A:$Q,11,0),""))</f>
        <v/>
      </c>
      <c r="K179" s="17" t="str">
        <f>IF(C179="","",IFERROR(VLOOKUP(C179,PO_Workflow!$A:$Q,12,0),""))</f>
        <v/>
      </c>
      <c r="L179" s="17" t="str">
        <f>IF(C179="","",IFERROR(VLOOKUP(C179,PO_Workflow!$A:$Q,13,0),""))</f>
        <v/>
      </c>
      <c r="M179" s="18" t="str">
        <f t="shared" si="6"/>
        <v/>
      </c>
      <c r="O179" s="19" t="str">
        <f>IF(C179="","",IFERROR(VLOOKUP(C179,PO_Workflow!$A:$Q,7,0),""))</f>
        <v/>
      </c>
      <c r="P179" s="19"/>
      <c r="Q179" s="16" t="str">
        <f>IF(C179="","",IFERROR(VLOOKUP(C179,PO_Workflow!$A:$Q,14,0),""))</f>
        <v/>
      </c>
      <c r="R179" s="20" t="str">
        <f>IF(C179="","",IFERROR(VLOOKUP(C179,PO_Workflow!$A:$Q,15,0),""))</f>
        <v/>
      </c>
      <c r="T179" s="16" t="str">
        <f>IF(C179="","",IFERROR(VLOOKUP(C179,PO_Workflow!$A:$Q,8,0),""))</f>
        <v/>
      </c>
      <c r="U179" s="21" t="str">
        <f t="shared" si="7"/>
        <v/>
      </c>
      <c r="V179" t="str">
        <f t="shared" si="8"/>
        <v/>
      </c>
    </row>
    <row r="180" spans="1:22" ht="15" customHeight="1" x14ac:dyDescent="0.35">
      <c r="A180" s="22"/>
      <c r="B180" s="22"/>
      <c r="C180" s="23"/>
      <c r="D180" t="str">
        <f>IF(C180&lt;&gt;"",IFERROR(VLOOKUP(C180,PO_Workflow!$A:$Q,10,0),""),IF(E180="","","PO-"&amp;TEXT(ROW()-2,"0000")))</f>
        <v/>
      </c>
      <c r="E180" s="16" t="str">
        <f>IF(C180="","",IFERROR(VLOOKUP(C180,PO_Workflow!$A:$Q,3,0),""))</f>
        <v/>
      </c>
      <c r="F180" s="16" t="str">
        <f>IF(C180="","",IFERROR(VLOOKUP(C180,PO_Workflow!$A:$Q,3,0),""))</f>
        <v/>
      </c>
      <c r="G180" s="16" t="str">
        <f>IF(C180="","",IFERROR(VLOOKUP(C180,PO_Workflow!$A:$Q,16,0),""))</f>
        <v/>
      </c>
      <c r="H180" s="16" t="str">
        <f>IF(C180="","",IFERROR(VLOOKUP(C180,PO_Workflow!$A:$Q,5,0),""))</f>
        <v/>
      </c>
      <c r="I180" s="16" t="str">
        <f>IF(C180="","",IFERROR(VLOOKUP(C180,PO_Workflow!$A:$Q,6,0),""))</f>
        <v/>
      </c>
      <c r="J180" s="17" t="str">
        <f>IF(C180="","",IFERROR(VLOOKUP(C180,PO_Workflow!$A:$Q,11,0),""))</f>
        <v/>
      </c>
      <c r="K180" s="17" t="str">
        <f>IF(C180="","",IFERROR(VLOOKUP(C180,PO_Workflow!$A:$Q,12,0),""))</f>
        <v/>
      </c>
      <c r="L180" s="17" t="str">
        <f>IF(C180="","",IFERROR(VLOOKUP(C180,PO_Workflow!$A:$Q,13,0),""))</f>
        <v/>
      </c>
      <c r="M180" s="18" t="str">
        <f t="shared" si="6"/>
        <v/>
      </c>
      <c r="O180" s="19" t="str">
        <f>IF(C180="","",IFERROR(VLOOKUP(C180,PO_Workflow!$A:$Q,7,0),""))</f>
        <v/>
      </c>
      <c r="P180" s="19"/>
      <c r="Q180" s="16" t="str">
        <f>IF(C180="","",IFERROR(VLOOKUP(C180,PO_Workflow!$A:$Q,14,0),""))</f>
        <v/>
      </c>
      <c r="R180" s="20" t="str">
        <f>IF(C180="","",IFERROR(VLOOKUP(C180,PO_Workflow!$A:$Q,15,0),""))</f>
        <v/>
      </c>
      <c r="T180" s="16" t="str">
        <f>IF(C180="","",IFERROR(VLOOKUP(C180,PO_Workflow!$A:$Q,8,0),""))</f>
        <v/>
      </c>
      <c r="U180" s="21" t="str">
        <f t="shared" si="7"/>
        <v/>
      </c>
      <c r="V180" t="str">
        <f t="shared" si="8"/>
        <v/>
      </c>
    </row>
    <row r="181" spans="1:22" ht="15" customHeight="1" x14ac:dyDescent="0.35">
      <c r="A181" s="22"/>
      <c r="B181" s="22"/>
      <c r="C181" s="23"/>
      <c r="D181" t="str">
        <f>IF(C181&lt;&gt;"",IFERROR(VLOOKUP(C181,PO_Workflow!$A:$Q,10,0),""),IF(E181="","","PO-"&amp;TEXT(ROW()-2,"0000")))</f>
        <v/>
      </c>
      <c r="E181" s="16" t="str">
        <f>IF(C181="","",IFERROR(VLOOKUP(C181,PO_Workflow!$A:$Q,3,0),""))</f>
        <v/>
      </c>
      <c r="F181" s="16" t="str">
        <f>IF(C181="","",IFERROR(VLOOKUP(C181,PO_Workflow!$A:$Q,3,0),""))</f>
        <v/>
      </c>
      <c r="G181" s="16" t="str">
        <f>IF(C181="","",IFERROR(VLOOKUP(C181,PO_Workflow!$A:$Q,16,0),""))</f>
        <v/>
      </c>
      <c r="H181" s="16" t="str">
        <f>IF(C181="","",IFERROR(VLOOKUP(C181,PO_Workflow!$A:$Q,5,0),""))</f>
        <v/>
      </c>
      <c r="I181" s="16" t="str">
        <f>IF(C181="","",IFERROR(VLOOKUP(C181,PO_Workflow!$A:$Q,6,0),""))</f>
        <v/>
      </c>
      <c r="J181" s="17" t="str">
        <f>IF(C181="","",IFERROR(VLOOKUP(C181,PO_Workflow!$A:$Q,11,0),""))</f>
        <v/>
      </c>
      <c r="K181" s="17" t="str">
        <f>IF(C181="","",IFERROR(VLOOKUP(C181,PO_Workflow!$A:$Q,12,0),""))</f>
        <v/>
      </c>
      <c r="L181" s="17" t="str">
        <f>IF(C181="","",IFERROR(VLOOKUP(C181,PO_Workflow!$A:$Q,13,0),""))</f>
        <v/>
      </c>
      <c r="M181" s="18" t="str">
        <f t="shared" si="6"/>
        <v/>
      </c>
      <c r="O181" s="19" t="str">
        <f>IF(C181="","",IFERROR(VLOOKUP(C181,PO_Workflow!$A:$Q,7,0),""))</f>
        <v/>
      </c>
      <c r="P181" s="19"/>
      <c r="Q181" s="16" t="str">
        <f>IF(C181="","",IFERROR(VLOOKUP(C181,PO_Workflow!$A:$Q,14,0),""))</f>
        <v/>
      </c>
      <c r="R181" s="20" t="str">
        <f>IF(C181="","",IFERROR(VLOOKUP(C181,PO_Workflow!$A:$Q,15,0),""))</f>
        <v/>
      </c>
      <c r="T181" s="16" t="str">
        <f>IF(C181="","",IFERROR(VLOOKUP(C181,PO_Workflow!$A:$Q,8,0),""))</f>
        <v/>
      </c>
      <c r="U181" s="21" t="str">
        <f t="shared" si="7"/>
        <v/>
      </c>
      <c r="V181" t="str">
        <f t="shared" si="8"/>
        <v/>
      </c>
    </row>
    <row r="182" spans="1:22" ht="15" customHeight="1" x14ac:dyDescent="0.35">
      <c r="A182" s="22"/>
      <c r="B182" s="22"/>
      <c r="C182" s="23"/>
      <c r="D182" t="str">
        <f>IF(C182&lt;&gt;"",IFERROR(VLOOKUP(C182,PO_Workflow!$A:$Q,10,0),""),IF(E182="","","PO-"&amp;TEXT(ROW()-2,"0000")))</f>
        <v/>
      </c>
      <c r="E182" s="16" t="str">
        <f>IF(C182="","",IFERROR(VLOOKUP(C182,PO_Workflow!$A:$Q,3,0),""))</f>
        <v/>
      </c>
      <c r="F182" s="16" t="str">
        <f>IF(C182="","",IFERROR(VLOOKUP(C182,PO_Workflow!$A:$Q,3,0),""))</f>
        <v/>
      </c>
      <c r="G182" s="16" t="str">
        <f>IF(C182="","",IFERROR(VLOOKUP(C182,PO_Workflow!$A:$Q,16,0),""))</f>
        <v/>
      </c>
      <c r="H182" s="16" t="str">
        <f>IF(C182="","",IFERROR(VLOOKUP(C182,PO_Workflow!$A:$Q,5,0),""))</f>
        <v/>
      </c>
      <c r="I182" s="16" t="str">
        <f>IF(C182="","",IFERROR(VLOOKUP(C182,PO_Workflow!$A:$Q,6,0),""))</f>
        <v/>
      </c>
      <c r="J182" s="17" t="str">
        <f>IF(C182="","",IFERROR(VLOOKUP(C182,PO_Workflow!$A:$Q,11,0),""))</f>
        <v/>
      </c>
      <c r="K182" s="17" t="str">
        <f>IF(C182="","",IFERROR(VLOOKUP(C182,PO_Workflow!$A:$Q,12,0),""))</f>
        <v/>
      </c>
      <c r="L182" s="17" t="str">
        <f>IF(C182="","",IFERROR(VLOOKUP(C182,PO_Workflow!$A:$Q,13,0),""))</f>
        <v/>
      </c>
      <c r="M182" s="18" t="str">
        <f t="shared" si="6"/>
        <v/>
      </c>
      <c r="O182" s="19" t="str">
        <f>IF(C182="","",IFERROR(VLOOKUP(C182,PO_Workflow!$A:$Q,7,0),""))</f>
        <v/>
      </c>
      <c r="P182" s="19"/>
      <c r="Q182" s="16" t="str">
        <f>IF(C182="","",IFERROR(VLOOKUP(C182,PO_Workflow!$A:$Q,14,0),""))</f>
        <v/>
      </c>
      <c r="R182" s="20" t="str">
        <f>IF(C182="","",IFERROR(VLOOKUP(C182,PO_Workflow!$A:$Q,15,0),""))</f>
        <v/>
      </c>
      <c r="T182" s="16" t="str">
        <f>IF(C182="","",IFERROR(VLOOKUP(C182,PO_Workflow!$A:$Q,8,0),""))</f>
        <v/>
      </c>
      <c r="U182" s="21" t="str">
        <f t="shared" si="7"/>
        <v/>
      </c>
      <c r="V182" t="str">
        <f t="shared" si="8"/>
        <v/>
      </c>
    </row>
    <row r="183" spans="1:22" ht="15" customHeight="1" x14ac:dyDescent="0.35">
      <c r="A183" s="22"/>
      <c r="B183" s="22"/>
      <c r="C183" s="23"/>
      <c r="D183" t="str">
        <f>IF(C183&lt;&gt;"",IFERROR(VLOOKUP(C183,PO_Workflow!$A:$Q,10,0),""),IF(E183="","","PO-"&amp;TEXT(ROW()-2,"0000")))</f>
        <v/>
      </c>
      <c r="E183" s="16" t="str">
        <f>IF(C183="","",IFERROR(VLOOKUP(C183,PO_Workflow!$A:$Q,3,0),""))</f>
        <v/>
      </c>
      <c r="F183" s="16" t="str">
        <f>IF(C183="","",IFERROR(VLOOKUP(C183,PO_Workflow!$A:$Q,3,0),""))</f>
        <v/>
      </c>
      <c r="G183" s="16" t="str">
        <f>IF(C183="","",IFERROR(VLOOKUP(C183,PO_Workflow!$A:$Q,16,0),""))</f>
        <v/>
      </c>
      <c r="H183" s="16" t="str">
        <f>IF(C183="","",IFERROR(VLOOKUP(C183,PO_Workflow!$A:$Q,5,0),""))</f>
        <v/>
      </c>
      <c r="I183" s="16" t="str">
        <f>IF(C183="","",IFERROR(VLOOKUP(C183,PO_Workflow!$A:$Q,6,0),""))</f>
        <v/>
      </c>
      <c r="J183" s="17" t="str">
        <f>IF(C183="","",IFERROR(VLOOKUP(C183,PO_Workflow!$A:$Q,11,0),""))</f>
        <v/>
      </c>
      <c r="K183" s="17" t="str">
        <f>IF(C183="","",IFERROR(VLOOKUP(C183,PO_Workflow!$A:$Q,12,0),""))</f>
        <v/>
      </c>
      <c r="L183" s="17" t="str">
        <f>IF(C183="","",IFERROR(VLOOKUP(C183,PO_Workflow!$A:$Q,13,0),""))</f>
        <v/>
      </c>
      <c r="M183" s="18" t="str">
        <f t="shared" si="6"/>
        <v/>
      </c>
      <c r="O183" s="19" t="str">
        <f>IF(C183="","",IFERROR(VLOOKUP(C183,PO_Workflow!$A:$Q,7,0),""))</f>
        <v/>
      </c>
      <c r="P183" s="19"/>
      <c r="Q183" s="16" t="str">
        <f>IF(C183="","",IFERROR(VLOOKUP(C183,PO_Workflow!$A:$Q,14,0),""))</f>
        <v/>
      </c>
      <c r="R183" s="20" t="str">
        <f>IF(C183="","",IFERROR(VLOOKUP(C183,PO_Workflow!$A:$Q,15,0),""))</f>
        <v/>
      </c>
      <c r="T183" s="16" t="str">
        <f>IF(C183="","",IFERROR(VLOOKUP(C183,PO_Workflow!$A:$Q,8,0),""))</f>
        <v/>
      </c>
      <c r="U183" s="21" t="str">
        <f t="shared" si="7"/>
        <v/>
      </c>
      <c r="V183" t="str">
        <f t="shared" si="8"/>
        <v/>
      </c>
    </row>
    <row r="184" spans="1:22" ht="15" customHeight="1" x14ac:dyDescent="0.35">
      <c r="A184" s="22"/>
      <c r="B184" s="22"/>
      <c r="C184" s="23"/>
      <c r="D184" t="str">
        <f>IF(C184&lt;&gt;"",IFERROR(VLOOKUP(C184,PO_Workflow!$A:$Q,10,0),""),IF(E184="","","PO-"&amp;TEXT(ROW()-2,"0000")))</f>
        <v/>
      </c>
      <c r="E184" s="16" t="str">
        <f>IF(C184="","",IFERROR(VLOOKUP(C184,PO_Workflow!$A:$Q,3,0),""))</f>
        <v/>
      </c>
      <c r="F184" s="16" t="str">
        <f>IF(C184="","",IFERROR(VLOOKUP(C184,PO_Workflow!$A:$Q,3,0),""))</f>
        <v/>
      </c>
      <c r="G184" s="16" t="str">
        <f>IF(C184="","",IFERROR(VLOOKUP(C184,PO_Workflow!$A:$Q,16,0),""))</f>
        <v/>
      </c>
      <c r="H184" s="16" t="str">
        <f>IF(C184="","",IFERROR(VLOOKUP(C184,PO_Workflow!$A:$Q,5,0),""))</f>
        <v/>
      </c>
      <c r="I184" s="16" t="str">
        <f>IF(C184="","",IFERROR(VLOOKUP(C184,PO_Workflow!$A:$Q,6,0),""))</f>
        <v/>
      </c>
      <c r="J184" s="17" t="str">
        <f>IF(C184="","",IFERROR(VLOOKUP(C184,PO_Workflow!$A:$Q,11,0),""))</f>
        <v/>
      </c>
      <c r="K184" s="17" t="str">
        <f>IF(C184="","",IFERROR(VLOOKUP(C184,PO_Workflow!$A:$Q,12,0),""))</f>
        <v/>
      </c>
      <c r="L184" s="17" t="str">
        <f>IF(C184="","",IFERROR(VLOOKUP(C184,PO_Workflow!$A:$Q,13,0),""))</f>
        <v/>
      </c>
      <c r="M184" s="18" t="str">
        <f t="shared" si="6"/>
        <v/>
      </c>
      <c r="O184" s="19" t="str">
        <f>IF(C184="","",IFERROR(VLOOKUP(C184,PO_Workflow!$A:$Q,7,0),""))</f>
        <v/>
      </c>
      <c r="P184" s="19"/>
      <c r="Q184" s="16" t="str">
        <f>IF(C184="","",IFERROR(VLOOKUP(C184,PO_Workflow!$A:$Q,14,0),""))</f>
        <v/>
      </c>
      <c r="R184" s="20" t="str">
        <f>IF(C184="","",IFERROR(VLOOKUP(C184,PO_Workflow!$A:$Q,15,0),""))</f>
        <v/>
      </c>
      <c r="T184" s="16" t="str">
        <f>IF(C184="","",IFERROR(VLOOKUP(C184,PO_Workflow!$A:$Q,8,0),""))</f>
        <v/>
      </c>
      <c r="U184" s="21" t="str">
        <f t="shared" si="7"/>
        <v/>
      </c>
      <c r="V184" t="str">
        <f t="shared" si="8"/>
        <v/>
      </c>
    </row>
    <row r="185" spans="1:22" ht="15" customHeight="1" x14ac:dyDescent="0.35">
      <c r="A185" s="22"/>
      <c r="B185" s="22"/>
      <c r="C185" s="23"/>
      <c r="D185" t="str">
        <f>IF(C185&lt;&gt;"",IFERROR(VLOOKUP(C185,PO_Workflow!$A:$Q,10,0),""),IF(E185="","","PO-"&amp;TEXT(ROW()-2,"0000")))</f>
        <v/>
      </c>
      <c r="E185" s="16" t="str">
        <f>IF(C185="","",IFERROR(VLOOKUP(C185,PO_Workflow!$A:$Q,3,0),""))</f>
        <v/>
      </c>
      <c r="F185" s="16" t="str">
        <f>IF(C185="","",IFERROR(VLOOKUP(C185,PO_Workflow!$A:$Q,3,0),""))</f>
        <v/>
      </c>
      <c r="G185" s="16" t="str">
        <f>IF(C185="","",IFERROR(VLOOKUP(C185,PO_Workflow!$A:$Q,16,0),""))</f>
        <v/>
      </c>
      <c r="H185" s="16" t="str">
        <f>IF(C185="","",IFERROR(VLOOKUP(C185,PO_Workflow!$A:$Q,5,0),""))</f>
        <v/>
      </c>
      <c r="I185" s="16" t="str">
        <f>IF(C185="","",IFERROR(VLOOKUP(C185,PO_Workflow!$A:$Q,6,0),""))</f>
        <v/>
      </c>
      <c r="J185" s="17" t="str">
        <f>IF(C185="","",IFERROR(VLOOKUP(C185,PO_Workflow!$A:$Q,11,0),""))</f>
        <v/>
      </c>
      <c r="K185" s="17" t="str">
        <f>IF(C185="","",IFERROR(VLOOKUP(C185,PO_Workflow!$A:$Q,12,0),""))</f>
        <v/>
      </c>
      <c r="L185" s="17" t="str">
        <f>IF(C185="","",IFERROR(VLOOKUP(C185,PO_Workflow!$A:$Q,13,0),""))</f>
        <v/>
      </c>
      <c r="M185" s="18" t="str">
        <f t="shared" si="6"/>
        <v/>
      </c>
      <c r="O185" s="19" t="str">
        <f>IF(C185="","",IFERROR(VLOOKUP(C185,PO_Workflow!$A:$Q,7,0),""))</f>
        <v/>
      </c>
      <c r="P185" s="19"/>
      <c r="Q185" s="16" t="str">
        <f>IF(C185="","",IFERROR(VLOOKUP(C185,PO_Workflow!$A:$Q,14,0),""))</f>
        <v/>
      </c>
      <c r="R185" s="20" t="str">
        <f>IF(C185="","",IFERROR(VLOOKUP(C185,PO_Workflow!$A:$Q,15,0),""))</f>
        <v/>
      </c>
      <c r="T185" s="16" t="str">
        <f>IF(C185="","",IFERROR(VLOOKUP(C185,PO_Workflow!$A:$Q,8,0),""))</f>
        <v/>
      </c>
      <c r="U185" s="21" t="str">
        <f t="shared" si="7"/>
        <v/>
      </c>
      <c r="V185" t="str">
        <f t="shared" si="8"/>
        <v/>
      </c>
    </row>
    <row r="186" spans="1:22" ht="15" customHeight="1" x14ac:dyDescent="0.35">
      <c r="A186" s="22"/>
      <c r="B186" s="22"/>
      <c r="C186" s="23"/>
      <c r="D186" t="str">
        <f>IF(C186&lt;&gt;"",IFERROR(VLOOKUP(C186,PO_Workflow!$A:$Q,10,0),""),IF(E186="","","PO-"&amp;TEXT(ROW()-2,"0000")))</f>
        <v/>
      </c>
      <c r="E186" s="16" t="str">
        <f>IF(C186="","",IFERROR(VLOOKUP(C186,PO_Workflow!$A:$Q,3,0),""))</f>
        <v/>
      </c>
      <c r="F186" s="16" t="str">
        <f>IF(C186="","",IFERROR(VLOOKUP(C186,PO_Workflow!$A:$Q,3,0),""))</f>
        <v/>
      </c>
      <c r="G186" s="16" t="str">
        <f>IF(C186="","",IFERROR(VLOOKUP(C186,PO_Workflow!$A:$Q,16,0),""))</f>
        <v/>
      </c>
      <c r="H186" s="16" t="str">
        <f>IF(C186="","",IFERROR(VLOOKUP(C186,PO_Workflow!$A:$Q,5,0),""))</f>
        <v/>
      </c>
      <c r="I186" s="16" t="str">
        <f>IF(C186="","",IFERROR(VLOOKUP(C186,PO_Workflow!$A:$Q,6,0),""))</f>
        <v/>
      </c>
      <c r="J186" s="17" t="str">
        <f>IF(C186="","",IFERROR(VLOOKUP(C186,PO_Workflow!$A:$Q,11,0),""))</f>
        <v/>
      </c>
      <c r="K186" s="17" t="str">
        <f>IF(C186="","",IFERROR(VLOOKUP(C186,PO_Workflow!$A:$Q,12,0),""))</f>
        <v/>
      </c>
      <c r="L186" s="17" t="str">
        <f>IF(C186="","",IFERROR(VLOOKUP(C186,PO_Workflow!$A:$Q,13,0),""))</f>
        <v/>
      </c>
      <c r="M186" s="18" t="str">
        <f t="shared" si="6"/>
        <v/>
      </c>
      <c r="O186" s="19" t="str">
        <f>IF(C186="","",IFERROR(VLOOKUP(C186,PO_Workflow!$A:$Q,7,0),""))</f>
        <v/>
      </c>
      <c r="P186" s="19"/>
      <c r="Q186" s="16" t="str">
        <f>IF(C186="","",IFERROR(VLOOKUP(C186,PO_Workflow!$A:$Q,14,0),""))</f>
        <v/>
      </c>
      <c r="R186" s="20" t="str">
        <f>IF(C186="","",IFERROR(VLOOKUP(C186,PO_Workflow!$A:$Q,15,0),""))</f>
        <v/>
      </c>
      <c r="T186" s="16" t="str">
        <f>IF(C186="","",IFERROR(VLOOKUP(C186,PO_Workflow!$A:$Q,8,0),""))</f>
        <v/>
      </c>
      <c r="U186" s="21" t="str">
        <f t="shared" si="7"/>
        <v/>
      </c>
      <c r="V186" t="str">
        <f t="shared" si="8"/>
        <v/>
      </c>
    </row>
    <row r="187" spans="1:22" ht="15" customHeight="1" x14ac:dyDescent="0.35">
      <c r="A187" s="22"/>
      <c r="B187" s="22"/>
      <c r="C187" s="23"/>
      <c r="D187" t="str">
        <f>IF(C187&lt;&gt;"",IFERROR(VLOOKUP(C187,PO_Workflow!$A:$Q,10,0),""),IF(E187="","","PO-"&amp;TEXT(ROW()-2,"0000")))</f>
        <v/>
      </c>
      <c r="E187" s="16" t="str">
        <f>IF(C187="","",IFERROR(VLOOKUP(C187,PO_Workflow!$A:$Q,3,0),""))</f>
        <v/>
      </c>
      <c r="F187" s="16" t="str">
        <f>IF(C187="","",IFERROR(VLOOKUP(C187,PO_Workflow!$A:$Q,3,0),""))</f>
        <v/>
      </c>
      <c r="G187" s="16" t="str">
        <f>IF(C187="","",IFERROR(VLOOKUP(C187,PO_Workflow!$A:$Q,16,0),""))</f>
        <v/>
      </c>
      <c r="H187" s="16" t="str">
        <f>IF(C187="","",IFERROR(VLOOKUP(C187,PO_Workflow!$A:$Q,5,0),""))</f>
        <v/>
      </c>
      <c r="I187" s="16" t="str">
        <f>IF(C187="","",IFERROR(VLOOKUP(C187,PO_Workflow!$A:$Q,6,0),""))</f>
        <v/>
      </c>
      <c r="J187" s="17" t="str">
        <f>IF(C187="","",IFERROR(VLOOKUP(C187,PO_Workflow!$A:$Q,11,0),""))</f>
        <v/>
      </c>
      <c r="K187" s="17" t="str">
        <f>IF(C187="","",IFERROR(VLOOKUP(C187,PO_Workflow!$A:$Q,12,0),""))</f>
        <v/>
      </c>
      <c r="L187" s="17" t="str">
        <f>IF(C187="","",IFERROR(VLOOKUP(C187,PO_Workflow!$A:$Q,13,0),""))</f>
        <v/>
      </c>
      <c r="M187" s="18" t="str">
        <f t="shared" si="6"/>
        <v/>
      </c>
      <c r="O187" s="19" t="str">
        <f>IF(C187="","",IFERROR(VLOOKUP(C187,PO_Workflow!$A:$Q,7,0),""))</f>
        <v/>
      </c>
      <c r="P187" s="19"/>
      <c r="Q187" s="16" t="str">
        <f>IF(C187="","",IFERROR(VLOOKUP(C187,PO_Workflow!$A:$Q,14,0),""))</f>
        <v/>
      </c>
      <c r="R187" s="20" t="str">
        <f>IF(C187="","",IFERROR(VLOOKUP(C187,PO_Workflow!$A:$Q,15,0),""))</f>
        <v/>
      </c>
      <c r="T187" s="16" t="str">
        <f>IF(C187="","",IFERROR(VLOOKUP(C187,PO_Workflow!$A:$Q,8,0),""))</f>
        <v/>
      </c>
      <c r="U187" s="21" t="str">
        <f t="shared" si="7"/>
        <v/>
      </c>
      <c r="V187" t="str">
        <f t="shared" si="8"/>
        <v/>
      </c>
    </row>
    <row r="188" spans="1:22" ht="15" customHeight="1" x14ac:dyDescent="0.35">
      <c r="A188" s="22"/>
      <c r="B188" s="22"/>
      <c r="C188" s="23"/>
      <c r="D188" t="str">
        <f>IF(C188&lt;&gt;"",IFERROR(VLOOKUP(C188,PO_Workflow!$A:$Q,10,0),""),IF(E188="","","PO-"&amp;TEXT(ROW()-2,"0000")))</f>
        <v/>
      </c>
      <c r="E188" s="16" t="str">
        <f>IF(C188="","",IFERROR(VLOOKUP(C188,PO_Workflow!$A:$Q,3,0),""))</f>
        <v/>
      </c>
      <c r="F188" s="16" t="str">
        <f>IF(C188="","",IFERROR(VLOOKUP(C188,PO_Workflow!$A:$Q,3,0),""))</f>
        <v/>
      </c>
      <c r="G188" s="16" t="str">
        <f>IF(C188="","",IFERROR(VLOOKUP(C188,PO_Workflow!$A:$Q,16,0),""))</f>
        <v/>
      </c>
      <c r="H188" s="16" t="str">
        <f>IF(C188="","",IFERROR(VLOOKUP(C188,PO_Workflow!$A:$Q,5,0),""))</f>
        <v/>
      </c>
      <c r="I188" s="16" t="str">
        <f>IF(C188="","",IFERROR(VLOOKUP(C188,PO_Workflow!$A:$Q,6,0),""))</f>
        <v/>
      </c>
      <c r="J188" s="17" t="str">
        <f>IF(C188="","",IFERROR(VLOOKUP(C188,PO_Workflow!$A:$Q,11,0),""))</f>
        <v/>
      </c>
      <c r="K188" s="17" t="str">
        <f>IF(C188="","",IFERROR(VLOOKUP(C188,PO_Workflow!$A:$Q,12,0),""))</f>
        <v/>
      </c>
      <c r="L188" s="17" t="str">
        <f>IF(C188="","",IFERROR(VLOOKUP(C188,PO_Workflow!$A:$Q,13,0),""))</f>
        <v/>
      </c>
      <c r="M188" s="18" t="str">
        <f t="shared" si="6"/>
        <v/>
      </c>
      <c r="O188" s="19" t="str">
        <f>IF(C188="","",IFERROR(VLOOKUP(C188,PO_Workflow!$A:$Q,7,0),""))</f>
        <v/>
      </c>
      <c r="P188" s="19"/>
      <c r="Q188" s="16" t="str">
        <f>IF(C188="","",IFERROR(VLOOKUP(C188,PO_Workflow!$A:$Q,14,0),""))</f>
        <v/>
      </c>
      <c r="R188" s="20" t="str">
        <f>IF(C188="","",IFERROR(VLOOKUP(C188,PO_Workflow!$A:$Q,15,0),""))</f>
        <v/>
      </c>
      <c r="T188" s="16" t="str">
        <f>IF(C188="","",IFERROR(VLOOKUP(C188,PO_Workflow!$A:$Q,8,0),""))</f>
        <v/>
      </c>
      <c r="U188" s="21" t="str">
        <f t="shared" si="7"/>
        <v/>
      </c>
      <c r="V188" t="str">
        <f t="shared" si="8"/>
        <v/>
      </c>
    </row>
    <row r="189" spans="1:22" ht="15" customHeight="1" x14ac:dyDescent="0.35">
      <c r="A189" s="22"/>
      <c r="B189" s="22"/>
      <c r="C189" s="23"/>
      <c r="D189" t="str">
        <f>IF(C189&lt;&gt;"",IFERROR(VLOOKUP(C189,PO_Workflow!$A:$Q,10,0),""),IF(E189="","","PO-"&amp;TEXT(ROW()-2,"0000")))</f>
        <v/>
      </c>
      <c r="E189" s="16" t="str">
        <f>IF(C189="","",IFERROR(VLOOKUP(C189,PO_Workflow!$A:$Q,3,0),""))</f>
        <v/>
      </c>
      <c r="F189" s="16" t="str">
        <f>IF(C189="","",IFERROR(VLOOKUP(C189,PO_Workflow!$A:$Q,3,0),""))</f>
        <v/>
      </c>
      <c r="G189" s="16" t="str">
        <f>IF(C189="","",IFERROR(VLOOKUP(C189,PO_Workflow!$A:$Q,16,0),""))</f>
        <v/>
      </c>
      <c r="H189" s="16" t="str">
        <f>IF(C189="","",IFERROR(VLOOKUP(C189,PO_Workflow!$A:$Q,5,0),""))</f>
        <v/>
      </c>
      <c r="I189" s="16" t="str">
        <f>IF(C189="","",IFERROR(VLOOKUP(C189,PO_Workflow!$A:$Q,6,0),""))</f>
        <v/>
      </c>
      <c r="J189" s="17" t="str">
        <f>IF(C189="","",IFERROR(VLOOKUP(C189,PO_Workflow!$A:$Q,11,0),""))</f>
        <v/>
      </c>
      <c r="K189" s="17" t="str">
        <f>IF(C189="","",IFERROR(VLOOKUP(C189,PO_Workflow!$A:$Q,12,0),""))</f>
        <v/>
      </c>
      <c r="L189" s="17" t="str">
        <f>IF(C189="","",IFERROR(VLOOKUP(C189,PO_Workflow!$A:$Q,13,0),""))</f>
        <v/>
      </c>
      <c r="M189" s="18" t="str">
        <f t="shared" si="6"/>
        <v/>
      </c>
      <c r="O189" s="19" t="str">
        <f>IF(C189="","",IFERROR(VLOOKUP(C189,PO_Workflow!$A:$Q,7,0),""))</f>
        <v/>
      </c>
      <c r="P189" s="19"/>
      <c r="Q189" s="16" t="str">
        <f>IF(C189="","",IFERROR(VLOOKUP(C189,PO_Workflow!$A:$Q,14,0),""))</f>
        <v/>
      </c>
      <c r="R189" s="20" t="str">
        <f>IF(C189="","",IFERROR(VLOOKUP(C189,PO_Workflow!$A:$Q,15,0),""))</f>
        <v/>
      </c>
      <c r="T189" s="16" t="str">
        <f>IF(C189="","",IFERROR(VLOOKUP(C189,PO_Workflow!$A:$Q,8,0),""))</f>
        <v/>
      </c>
      <c r="U189" s="21" t="str">
        <f t="shared" si="7"/>
        <v/>
      </c>
      <c r="V189" t="str">
        <f t="shared" si="8"/>
        <v/>
      </c>
    </row>
    <row r="190" spans="1:22" ht="15" customHeight="1" x14ac:dyDescent="0.35">
      <c r="A190" s="22"/>
      <c r="B190" s="22"/>
      <c r="C190" s="23"/>
      <c r="D190" t="str">
        <f>IF(C190&lt;&gt;"",IFERROR(VLOOKUP(C190,PO_Workflow!$A:$Q,10,0),""),IF(E190="","","PO-"&amp;TEXT(ROW()-2,"0000")))</f>
        <v/>
      </c>
      <c r="E190" s="16" t="str">
        <f>IF(C190="","",IFERROR(VLOOKUP(C190,PO_Workflow!$A:$Q,3,0),""))</f>
        <v/>
      </c>
      <c r="F190" s="16" t="str">
        <f>IF(C190="","",IFERROR(VLOOKUP(C190,PO_Workflow!$A:$Q,3,0),""))</f>
        <v/>
      </c>
      <c r="G190" s="16" t="str">
        <f>IF(C190="","",IFERROR(VLOOKUP(C190,PO_Workflow!$A:$Q,16,0),""))</f>
        <v/>
      </c>
      <c r="H190" s="16" t="str">
        <f>IF(C190="","",IFERROR(VLOOKUP(C190,PO_Workflow!$A:$Q,5,0),""))</f>
        <v/>
      </c>
      <c r="I190" s="16" t="str">
        <f>IF(C190="","",IFERROR(VLOOKUP(C190,PO_Workflow!$A:$Q,6,0),""))</f>
        <v/>
      </c>
      <c r="J190" s="17" t="str">
        <f>IF(C190="","",IFERROR(VLOOKUP(C190,PO_Workflow!$A:$Q,11,0),""))</f>
        <v/>
      </c>
      <c r="K190" s="17" t="str">
        <f>IF(C190="","",IFERROR(VLOOKUP(C190,PO_Workflow!$A:$Q,12,0),""))</f>
        <v/>
      </c>
      <c r="L190" s="17" t="str">
        <f>IF(C190="","",IFERROR(VLOOKUP(C190,PO_Workflow!$A:$Q,13,0),""))</f>
        <v/>
      </c>
      <c r="M190" s="18" t="str">
        <f t="shared" si="6"/>
        <v/>
      </c>
      <c r="O190" s="19" t="str">
        <f>IF(C190="","",IFERROR(VLOOKUP(C190,PO_Workflow!$A:$Q,7,0),""))</f>
        <v/>
      </c>
      <c r="P190" s="19"/>
      <c r="Q190" s="16" t="str">
        <f>IF(C190="","",IFERROR(VLOOKUP(C190,PO_Workflow!$A:$Q,14,0),""))</f>
        <v/>
      </c>
      <c r="R190" s="20" t="str">
        <f>IF(C190="","",IFERROR(VLOOKUP(C190,PO_Workflow!$A:$Q,15,0),""))</f>
        <v/>
      </c>
      <c r="T190" s="16" t="str">
        <f>IF(C190="","",IFERROR(VLOOKUP(C190,PO_Workflow!$A:$Q,8,0),""))</f>
        <v/>
      </c>
      <c r="U190" s="21" t="str">
        <f t="shared" si="7"/>
        <v/>
      </c>
      <c r="V190" t="str">
        <f t="shared" si="8"/>
        <v/>
      </c>
    </row>
    <row r="191" spans="1:22" ht="15" customHeight="1" x14ac:dyDescent="0.35">
      <c r="A191" s="22"/>
      <c r="B191" s="22"/>
      <c r="C191" s="23"/>
      <c r="D191" t="str">
        <f>IF(C191&lt;&gt;"",IFERROR(VLOOKUP(C191,PO_Workflow!$A:$Q,10,0),""),IF(E191="","","PO-"&amp;TEXT(ROW()-2,"0000")))</f>
        <v/>
      </c>
      <c r="E191" s="16" t="str">
        <f>IF(C191="","",IFERROR(VLOOKUP(C191,PO_Workflow!$A:$Q,3,0),""))</f>
        <v/>
      </c>
      <c r="F191" s="16" t="str">
        <f>IF(C191="","",IFERROR(VLOOKUP(C191,PO_Workflow!$A:$Q,3,0),""))</f>
        <v/>
      </c>
      <c r="G191" s="16" t="str">
        <f>IF(C191="","",IFERROR(VLOOKUP(C191,PO_Workflow!$A:$Q,16,0),""))</f>
        <v/>
      </c>
      <c r="H191" s="16" t="str">
        <f>IF(C191="","",IFERROR(VLOOKUP(C191,PO_Workflow!$A:$Q,5,0),""))</f>
        <v/>
      </c>
      <c r="I191" s="16" t="str">
        <f>IF(C191="","",IFERROR(VLOOKUP(C191,PO_Workflow!$A:$Q,6,0),""))</f>
        <v/>
      </c>
      <c r="J191" s="17" t="str">
        <f>IF(C191="","",IFERROR(VLOOKUP(C191,PO_Workflow!$A:$Q,11,0),""))</f>
        <v/>
      </c>
      <c r="K191" s="17" t="str">
        <f>IF(C191="","",IFERROR(VLOOKUP(C191,PO_Workflow!$A:$Q,12,0),""))</f>
        <v/>
      </c>
      <c r="L191" s="17" t="str">
        <f>IF(C191="","",IFERROR(VLOOKUP(C191,PO_Workflow!$A:$Q,13,0),""))</f>
        <v/>
      </c>
      <c r="M191" s="18" t="str">
        <f t="shared" si="6"/>
        <v/>
      </c>
      <c r="O191" s="19" t="str">
        <f>IF(C191="","",IFERROR(VLOOKUP(C191,PO_Workflow!$A:$Q,7,0),""))</f>
        <v/>
      </c>
      <c r="P191" s="19"/>
      <c r="Q191" s="16" t="str">
        <f>IF(C191="","",IFERROR(VLOOKUP(C191,PO_Workflow!$A:$Q,14,0),""))</f>
        <v/>
      </c>
      <c r="R191" s="20" t="str">
        <f>IF(C191="","",IFERROR(VLOOKUP(C191,PO_Workflow!$A:$Q,15,0),""))</f>
        <v/>
      </c>
      <c r="T191" s="16" t="str">
        <f>IF(C191="","",IFERROR(VLOOKUP(C191,PO_Workflow!$A:$Q,8,0),""))</f>
        <v/>
      </c>
      <c r="U191" s="21" t="str">
        <f t="shared" si="7"/>
        <v/>
      </c>
      <c r="V191" t="str">
        <f t="shared" si="8"/>
        <v/>
      </c>
    </row>
    <row r="192" spans="1:22" ht="15" customHeight="1" x14ac:dyDescent="0.35">
      <c r="A192" s="22"/>
      <c r="B192" s="22"/>
      <c r="C192" s="23"/>
      <c r="D192" t="str">
        <f>IF(C192&lt;&gt;"",IFERROR(VLOOKUP(C192,PO_Workflow!$A:$Q,10,0),""),IF(E192="","","PO-"&amp;TEXT(ROW()-2,"0000")))</f>
        <v/>
      </c>
      <c r="E192" s="16" t="str">
        <f>IF(C192="","",IFERROR(VLOOKUP(C192,PO_Workflow!$A:$Q,3,0),""))</f>
        <v/>
      </c>
      <c r="F192" s="16" t="str">
        <f>IF(C192="","",IFERROR(VLOOKUP(C192,PO_Workflow!$A:$Q,3,0),""))</f>
        <v/>
      </c>
      <c r="G192" s="16" t="str">
        <f>IF(C192="","",IFERROR(VLOOKUP(C192,PO_Workflow!$A:$Q,16,0),""))</f>
        <v/>
      </c>
      <c r="H192" s="16" t="str">
        <f>IF(C192="","",IFERROR(VLOOKUP(C192,PO_Workflow!$A:$Q,5,0),""))</f>
        <v/>
      </c>
      <c r="I192" s="16" t="str">
        <f>IF(C192="","",IFERROR(VLOOKUP(C192,PO_Workflow!$A:$Q,6,0),""))</f>
        <v/>
      </c>
      <c r="J192" s="17" t="str">
        <f>IF(C192="","",IFERROR(VLOOKUP(C192,PO_Workflow!$A:$Q,11,0),""))</f>
        <v/>
      </c>
      <c r="K192" s="17" t="str">
        <f>IF(C192="","",IFERROR(VLOOKUP(C192,PO_Workflow!$A:$Q,12,0),""))</f>
        <v/>
      </c>
      <c r="L192" s="17" t="str">
        <f>IF(C192="","",IFERROR(VLOOKUP(C192,PO_Workflow!$A:$Q,13,0),""))</f>
        <v/>
      </c>
      <c r="M192" s="18" t="str">
        <f t="shared" si="6"/>
        <v/>
      </c>
      <c r="O192" s="19" t="str">
        <f>IF(C192="","",IFERROR(VLOOKUP(C192,PO_Workflow!$A:$Q,7,0),""))</f>
        <v/>
      </c>
      <c r="P192" s="19"/>
      <c r="Q192" s="16" t="str">
        <f>IF(C192="","",IFERROR(VLOOKUP(C192,PO_Workflow!$A:$Q,14,0),""))</f>
        <v/>
      </c>
      <c r="R192" s="20" t="str">
        <f>IF(C192="","",IFERROR(VLOOKUP(C192,PO_Workflow!$A:$Q,15,0),""))</f>
        <v/>
      </c>
      <c r="T192" s="16" t="str">
        <f>IF(C192="","",IFERROR(VLOOKUP(C192,PO_Workflow!$A:$Q,8,0),""))</f>
        <v/>
      </c>
      <c r="U192" s="21" t="str">
        <f t="shared" si="7"/>
        <v/>
      </c>
      <c r="V192" t="str">
        <f t="shared" si="8"/>
        <v/>
      </c>
    </row>
    <row r="193" spans="1:22" ht="15" customHeight="1" x14ac:dyDescent="0.35">
      <c r="A193" s="22"/>
      <c r="B193" s="22"/>
      <c r="C193" s="23"/>
      <c r="D193" t="str">
        <f>IF(C193&lt;&gt;"",IFERROR(VLOOKUP(C193,PO_Workflow!$A:$Q,10,0),""),IF(E193="","","PO-"&amp;TEXT(ROW()-2,"0000")))</f>
        <v/>
      </c>
      <c r="E193" s="16" t="str">
        <f>IF(C193="","",IFERROR(VLOOKUP(C193,PO_Workflow!$A:$Q,3,0),""))</f>
        <v/>
      </c>
      <c r="F193" s="16" t="str">
        <f>IF(C193="","",IFERROR(VLOOKUP(C193,PO_Workflow!$A:$Q,3,0),""))</f>
        <v/>
      </c>
      <c r="G193" s="16" t="str">
        <f>IF(C193="","",IFERROR(VLOOKUP(C193,PO_Workflow!$A:$Q,16,0),""))</f>
        <v/>
      </c>
      <c r="H193" s="16" t="str">
        <f>IF(C193="","",IFERROR(VLOOKUP(C193,PO_Workflow!$A:$Q,5,0),""))</f>
        <v/>
      </c>
      <c r="I193" s="16" t="str">
        <f>IF(C193="","",IFERROR(VLOOKUP(C193,PO_Workflow!$A:$Q,6,0),""))</f>
        <v/>
      </c>
      <c r="J193" s="17" t="str">
        <f>IF(C193="","",IFERROR(VLOOKUP(C193,PO_Workflow!$A:$Q,11,0),""))</f>
        <v/>
      </c>
      <c r="K193" s="17" t="str">
        <f>IF(C193="","",IFERROR(VLOOKUP(C193,PO_Workflow!$A:$Q,12,0),""))</f>
        <v/>
      </c>
      <c r="L193" s="17" t="str">
        <f>IF(C193="","",IFERROR(VLOOKUP(C193,PO_Workflow!$A:$Q,13,0),""))</f>
        <v/>
      </c>
      <c r="M193" s="18" t="str">
        <f t="shared" si="6"/>
        <v/>
      </c>
      <c r="O193" s="19" t="str">
        <f>IF(C193="","",IFERROR(VLOOKUP(C193,PO_Workflow!$A:$Q,7,0),""))</f>
        <v/>
      </c>
      <c r="P193" s="19"/>
      <c r="Q193" s="16" t="str">
        <f>IF(C193="","",IFERROR(VLOOKUP(C193,PO_Workflow!$A:$Q,14,0),""))</f>
        <v/>
      </c>
      <c r="R193" s="20" t="str">
        <f>IF(C193="","",IFERROR(VLOOKUP(C193,PO_Workflow!$A:$Q,15,0),""))</f>
        <v/>
      </c>
      <c r="T193" s="16" t="str">
        <f>IF(C193="","",IFERROR(VLOOKUP(C193,PO_Workflow!$A:$Q,8,0),""))</f>
        <v/>
      </c>
      <c r="U193" s="21" t="str">
        <f t="shared" si="7"/>
        <v/>
      </c>
      <c r="V193" t="str">
        <f t="shared" si="8"/>
        <v/>
      </c>
    </row>
    <row r="194" spans="1:22" ht="15" customHeight="1" x14ac:dyDescent="0.35">
      <c r="A194" s="22"/>
      <c r="B194" s="22"/>
      <c r="C194" s="23"/>
      <c r="D194" t="str">
        <f>IF(C194&lt;&gt;"",IFERROR(VLOOKUP(C194,PO_Workflow!$A:$Q,10,0),""),IF(E194="","","PO-"&amp;TEXT(ROW()-2,"0000")))</f>
        <v/>
      </c>
      <c r="E194" s="16" t="str">
        <f>IF(C194="","",IFERROR(VLOOKUP(C194,PO_Workflow!$A:$Q,3,0),""))</f>
        <v/>
      </c>
      <c r="F194" s="16" t="str">
        <f>IF(C194="","",IFERROR(VLOOKUP(C194,PO_Workflow!$A:$Q,3,0),""))</f>
        <v/>
      </c>
      <c r="G194" s="16" t="str">
        <f>IF(C194="","",IFERROR(VLOOKUP(C194,PO_Workflow!$A:$Q,16,0),""))</f>
        <v/>
      </c>
      <c r="H194" s="16" t="str">
        <f>IF(C194="","",IFERROR(VLOOKUP(C194,PO_Workflow!$A:$Q,5,0),""))</f>
        <v/>
      </c>
      <c r="I194" s="16" t="str">
        <f>IF(C194="","",IFERROR(VLOOKUP(C194,PO_Workflow!$A:$Q,6,0),""))</f>
        <v/>
      </c>
      <c r="J194" s="17" t="str">
        <f>IF(C194="","",IFERROR(VLOOKUP(C194,PO_Workflow!$A:$Q,11,0),""))</f>
        <v/>
      </c>
      <c r="K194" s="17" t="str">
        <f>IF(C194="","",IFERROR(VLOOKUP(C194,PO_Workflow!$A:$Q,12,0),""))</f>
        <v/>
      </c>
      <c r="L194" s="17" t="str">
        <f>IF(C194="","",IFERROR(VLOOKUP(C194,PO_Workflow!$A:$Q,13,0),""))</f>
        <v/>
      </c>
      <c r="M194" s="18" t="str">
        <f t="shared" si="6"/>
        <v/>
      </c>
      <c r="O194" s="19" t="str">
        <f>IF(C194="","",IFERROR(VLOOKUP(C194,PO_Workflow!$A:$Q,7,0),""))</f>
        <v/>
      </c>
      <c r="P194" s="19"/>
      <c r="Q194" s="16" t="str">
        <f>IF(C194="","",IFERROR(VLOOKUP(C194,PO_Workflow!$A:$Q,14,0),""))</f>
        <v/>
      </c>
      <c r="R194" s="20" t="str">
        <f>IF(C194="","",IFERROR(VLOOKUP(C194,PO_Workflow!$A:$Q,15,0),""))</f>
        <v/>
      </c>
      <c r="T194" s="16" t="str">
        <f>IF(C194="","",IFERROR(VLOOKUP(C194,PO_Workflow!$A:$Q,8,0),""))</f>
        <v/>
      </c>
      <c r="U194" s="21" t="str">
        <f t="shared" si="7"/>
        <v/>
      </c>
      <c r="V194" t="str">
        <f t="shared" si="8"/>
        <v/>
      </c>
    </row>
    <row r="195" spans="1:22" ht="15" customHeight="1" x14ac:dyDescent="0.35">
      <c r="A195" s="22"/>
      <c r="B195" s="22"/>
      <c r="C195" s="23"/>
      <c r="D195" t="str">
        <f>IF(C195&lt;&gt;"",IFERROR(VLOOKUP(C195,PO_Workflow!$A:$Q,10,0),""),IF(E195="","","PO-"&amp;TEXT(ROW()-2,"0000")))</f>
        <v/>
      </c>
      <c r="E195" s="16" t="str">
        <f>IF(C195="","",IFERROR(VLOOKUP(C195,PO_Workflow!$A:$Q,3,0),""))</f>
        <v/>
      </c>
      <c r="F195" s="16" t="str">
        <f>IF(C195="","",IFERROR(VLOOKUP(C195,PO_Workflow!$A:$Q,3,0),""))</f>
        <v/>
      </c>
      <c r="G195" s="16" t="str">
        <f>IF(C195="","",IFERROR(VLOOKUP(C195,PO_Workflow!$A:$Q,16,0),""))</f>
        <v/>
      </c>
      <c r="H195" s="16" t="str">
        <f>IF(C195="","",IFERROR(VLOOKUP(C195,PO_Workflow!$A:$Q,5,0),""))</f>
        <v/>
      </c>
      <c r="I195" s="16" t="str">
        <f>IF(C195="","",IFERROR(VLOOKUP(C195,PO_Workflow!$A:$Q,6,0),""))</f>
        <v/>
      </c>
      <c r="J195" s="17" t="str">
        <f>IF(C195="","",IFERROR(VLOOKUP(C195,PO_Workflow!$A:$Q,11,0),""))</f>
        <v/>
      </c>
      <c r="K195" s="17" t="str">
        <f>IF(C195="","",IFERROR(VLOOKUP(C195,PO_Workflow!$A:$Q,12,0),""))</f>
        <v/>
      </c>
      <c r="L195" s="17" t="str">
        <f>IF(C195="","",IFERROR(VLOOKUP(C195,PO_Workflow!$A:$Q,13,0),""))</f>
        <v/>
      </c>
      <c r="M195" s="18" t="str">
        <f t="shared" si="6"/>
        <v/>
      </c>
      <c r="O195" s="19" t="str">
        <f>IF(C195="","",IFERROR(VLOOKUP(C195,PO_Workflow!$A:$Q,7,0),""))</f>
        <v/>
      </c>
      <c r="P195" s="19"/>
      <c r="Q195" s="16" t="str">
        <f>IF(C195="","",IFERROR(VLOOKUP(C195,PO_Workflow!$A:$Q,14,0),""))</f>
        <v/>
      </c>
      <c r="R195" s="20" t="str">
        <f>IF(C195="","",IFERROR(VLOOKUP(C195,PO_Workflow!$A:$Q,15,0),""))</f>
        <v/>
      </c>
      <c r="T195" s="16" t="str">
        <f>IF(C195="","",IFERROR(VLOOKUP(C195,PO_Workflow!$A:$Q,8,0),""))</f>
        <v/>
      </c>
      <c r="U195" s="21" t="str">
        <f t="shared" si="7"/>
        <v/>
      </c>
      <c r="V195" t="str">
        <f t="shared" si="8"/>
        <v/>
      </c>
    </row>
    <row r="196" spans="1:22" ht="15" customHeight="1" x14ac:dyDescent="0.35">
      <c r="A196" s="22"/>
      <c r="B196" s="22"/>
      <c r="C196" s="23"/>
      <c r="D196" t="str">
        <f>IF(C196&lt;&gt;"",IFERROR(VLOOKUP(C196,PO_Workflow!$A:$Q,10,0),""),IF(E196="","","PO-"&amp;TEXT(ROW()-2,"0000")))</f>
        <v/>
      </c>
      <c r="E196" s="16" t="str">
        <f>IF(C196="","",IFERROR(VLOOKUP(C196,PO_Workflow!$A:$Q,3,0),""))</f>
        <v/>
      </c>
      <c r="F196" s="16" t="str">
        <f>IF(C196="","",IFERROR(VLOOKUP(C196,PO_Workflow!$A:$Q,3,0),""))</f>
        <v/>
      </c>
      <c r="G196" s="16" t="str">
        <f>IF(C196="","",IFERROR(VLOOKUP(C196,PO_Workflow!$A:$Q,16,0),""))</f>
        <v/>
      </c>
      <c r="H196" s="16" t="str">
        <f>IF(C196="","",IFERROR(VLOOKUP(C196,PO_Workflow!$A:$Q,5,0),""))</f>
        <v/>
      </c>
      <c r="I196" s="16" t="str">
        <f>IF(C196="","",IFERROR(VLOOKUP(C196,PO_Workflow!$A:$Q,6,0),""))</f>
        <v/>
      </c>
      <c r="J196" s="17" t="str">
        <f>IF(C196="","",IFERROR(VLOOKUP(C196,PO_Workflow!$A:$Q,11,0),""))</f>
        <v/>
      </c>
      <c r="K196" s="17" t="str">
        <f>IF(C196="","",IFERROR(VLOOKUP(C196,PO_Workflow!$A:$Q,12,0),""))</f>
        <v/>
      </c>
      <c r="L196" s="17" t="str">
        <f>IF(C196="","",IFERROR(VLOOKUP(C196,PO_Workflow!$A:$Q,13,0),""))</f>
        <v/>
      </c>
      <c r="M196" s="18" t="str">
        <f t="shared" si="6"/>
        <v/>
      </c>
      <c r="O196" s="19" t="str">
        <f>IF(C196="","",IFERROR(VLOOKUP(C196,PO_Workflow!$A:$Q,7,0),""))</f>
        <v/>
      </c>
      <c r="P196" s="19"/>
      <c r="Q196" s="16" t="str">
        <f>IF(C196="","",IFERROR(VLOOKUP(C196,PO_Workflow!$A:$Q,14,0),""))</f>
        <v/>
      </c>
      <c r="R196" s="20" t="str">
        <f>IF(C196="","",IFERROR(VLOOKUP(C196,PO_Workflow!$A:$Q,15,0),""))</f>
        <v/>
      </c>
      <c r="T196" s="16" t="str">
        <f>IF(C196="","",IFERROR(VLOOKUP(C196,PO_Workflow!$A:$Q,8,0),""))</f>
        <v/>
      </c>
      <c r="U196" s="21" t="str">
        <f t="shared" si="7"/>
        <v/>
      </c>
      <c r="V196" t="str">
        <f t="shared" si="8"/>
        <v/>
      </c>
    </row>
    <row r="197" spans="1:22" ht="15" customHeight="1" x14ac:dyDescent="0.35">
      <c r="A197" s="22"/>
      <c r="B197" s="22"/>
      <c r="C197" s="23"/>
      <c r="D197" t="str">
        <f>IF(C197&lt;&gt;"",IFERROR(VLOOKUP(C197,PO_Workflow!$A:$Q,10,0),""),IF(E197="","","PO-"&amp;TEXT(ROW()-2,"0000")))</f>
        <v/>
      </c>
      <c r="E197" s="16" t="str">
        <f>IF(C197="","",IFERROR(VLOOKUP(C197,PO_Workflow!$A:$Q,3,0),""))</f>
        <v/>
      </c>
      <c r="F197" s="16" t="str">
        <f>IF(C197="","",IFERROR(VLOOKUP(C197,PO_Workflow!$A:$Q,3,0),""))</f>
        <v/>
      </c>
      <c r="G197" s="16" t="str">
        <f>IF(C197="","",IFERROR(VLOOKUP(C197,PO_Workflow!$A:$Q,16,0),""))</f>
        <v/>
      </c>
      <c r="H197" s="16" t="str">
        <f>IF(C197="","",IFERROR(VLOOKUP(C197,PO_Workflow!$A:$Q,5,0),""))</f>
        <v/>
      </c>
      <c r="I197" s="16" t="str">
        <f>IF(C197="","",IFERROR(VLOOKUP(C197,PO_Workflow!$A:$Q,6,0),""))</f>
        <v/>
      </c>
      <c r="J197" s="17" t="str">
        <f>IF(C197="","",IFERROR(VLOOKUP(C197,PO_Workflow!$A:$Q,11,0),""))</f>
        <v/>
      </c>
      <c r="K197" s="17" t="str">
        <f>IF(C197="","",IFERROR(VLOOKUP(C197,PO_Workflow!$A:$Q,12,0),""))</f>
        <v/>
      </c>
      <c r="L197" s="17" t="str">
        <f>IF(C197="","",IFERROR(VLOOKUP(C197,PO_Workflow!$A:$Q,13,0),""))</f>
        <v/>
      </c>
      <c r="M197" s="18" t="str">
        <f t="shared" si="6"/>
        <v/>
      </c>
      <c r="O197" s="19" t="str">
        <f>IF(C197="","",IFERROR(VLOOKUP(C197,PO_Workflow!$A:$Q,7,0),""))</f>
        <v/>
      </c>
      <c r="P197" s="19"/>
      <c r="Q197" s="16" t="str">
        <f>IF(C197="","",IFERROR(VLOOKUP(C197,PO_Workflow!$A:$Q,14,0),""))</f>
        <v/>
      </c>
      <c r="R197" s="20" t="str">
        <f>IF(C197="","",IFERROR(VLOOKUP(C197,PO_Workflow!$A:$Q,15,0),""))</f>
        <v/>
      </c>
      <c r="T197" s="16" t="str">
        <f>IF(C197="","",IFERROR(VLOOKUP(C197,PO_Workflow!$A:$Q,8,0),""))</f>
        <v/>
      </c>
      <c r="U197" s="21" t="str">
        <f t="shared" si="7"/>
        <v/>
      </c>
      <c r="V197" t="str">
        <f t="shared" si="8"/>
        <v/>
      </c>
    </row>
    <row r="198" spans="1:22" ht="15" customHeight="1" x14ac:dyDescent="0.35">
      <c r="A198" s="22"/>
      <c r="B198" s="22"/>
      <c r="C198" s="23"/>
      <c r="D198" t="str">
        <f>IF(C198&lt;&gt;"",IFERROR(VLOOKUP(C198,PO_Workflow!$A:$Q,10,0),""),IF(E198="","","PO-"&amp;TEXT(ROW()-2,"0000")))</f>
        <v/>
      </c>
      <c r="E198" s="16" t="str">
        <f>IF(C198="","",IFERROR(VLOOKUP(C198,PO_Workflow!$A:$Q,3,0),""))</f>
        <v/>
      </c>
      <c r="F198" s="16" t="str">
        <f>IF(C198="","",IFERROR(VLOOKUP(C198,PO_Workflow!$A:$Q,3,0),""))</f>
        <v/>
      </c>
      <c r="G198" s="16" t="str">
        <f>IF(C198="","",IFERROR(VLOOKUP(C198,PO_Workflow!$A:$Q,16,0),""))</f>
        <v/>
      </c>
      <c r="H198" s="16" t="str">
        <f>IF(C198="","",IFERROR(VLOOKUP(C198,PO_Workflow!$A:$Q,5,0),""))</f>
        <v/>
      </c>
      <c r="I198" s="16" t="str">
        <f>IF(C198="","",IFERROR(VLOOKUP(C198,PO_Workflow!$A:$Q,6,0),""))</f>
        <v/>
      </c>
      <c r="J198" s="17" t="str">
        <f>IF(C198="","",IFERROR(VLOOKUP(C198,PO_Workflow!$A:$Q,11,0),""))</f>
        <v/>
      </c>
      <c r="K198" s="17" t="str">
        <f>IF(C198="","",IFERROR(VLOOKUP(C198,PO_Workflow!$A:$Q,12,0),""))</f>
        <v/>
      </c>
      <c r="L198" s="17" t="str">
        <f>IF(C198="","",IFERROR(VLOOKUP(C198,PO_Workflow!$A:$Q,13,0),""))</f>
        <v/>
      </c>
      <c r="M198" s="18" t="str">
        <f t="shared" si="6"/>
        <v/>
      </c>
      <c r="O198" s="19" t="str">
        <f>IF(C198="","",IFERROR(VLOOKUP(C198,PO_Workflow!$A:$Q,7,0),""))</f>
        <v/>
      </c>
      <c r="P198" s="19"/>
      <c r="Q198" s="16" t="str">
        <f>IF(C198="","",IFERROR(VLOOKUP(C198,PO_Workflow!$A:$Q,14,0),""))</f>
        <v/>
      </c>
      <c r="R198" s="20" t="str">
        <f>IF(C198="","",IFERROR(VLOOKUP(C198,PO_Workflow!$A:$Q,15,0),""))</f>
        <v/>
      </c>
      <c r="T198" s="16" t="str">
        <f>IF(C198="","",IFERROR(VLOOKUP(C198,PO_Workflow!$A:$Q,8,0),""))</f>
        <v/>
      </c>
      <c r="U198" s="21" t="str">
        <f t="shared" si="7"/>
        <v/>
      </c>
      <c r="V198" t="str">
        <f t="shared" si="8"/>
        <v/>
      </c>
    </row>
    <row r="199" spans="1:22" ht="15" customHeight="1" x14ac:dyDescent="0.35">
      <c r="A199" s="22"/>
      <c r="B199" s="22"/>
      <c r="C199" s="23"/>
      <c r="D199" t="str">
        <f>IF(C199&lt;&gt;"",IFERROR(VLOOKUP(C199,PO_Workflow!$A:$Q,10,0),""),IF(E199="","","PO-"&amp;TEXT(ROW()-2,"0000")))</f>
        <v/>
      </c>
      <c r="E199" s="16" t="str">
        <f>IF(C199="","",IFERROR(VLOOKUP(C199,PO_Workflow!$A:$Q,3,0),""))</f>
        <v/>
      </c>
      <c r="F199" s="16" t="str">
        <f>IF(C199="","",IFERROR(VLOOKUP(C199,PO_Workflow!$A:$Q,3,0),""))</f>
        <v/>
      </c>
      <c r="G199" s="16" t="str">
        <f>IF(C199="","",IFERROR(VLOOKUP(C199,PO_Workflow!$A:$Q,16,0),""))</f>
        <v/>
      </c>
      <c r="H199" s="16" t="str">
        <f>IF(C199="","",IFERROR(VLOOKUP(C199,PO_Workflow!$A:$Q,5,0),""))</f>
        <v/>
      </c>
      <c r="I199" s="16" t="str">
        <f>IF(C199="","",IFERROR(VLOOKUP(C199,PO_Workflow!$A:$Q,6,0),""))</f>
        <v/>
      </c>
      <c r="J199" s="17" t="str">
        <f>IF(C199="","",IFERROR(VLOOKUP(C199,PO_Workflow!$A:$Q,11,0),""))</f>
        <v/>
      </c>
      <c r="K199" s="17" t="str">
        <f>IF(C199="","",IFERROR(VLOOKUP(C199,PO_Workflow!$A:$Q,12,0),""))</f>
        <v/>
      </c>
      <c r="L199" s="17" t="str">
        <f>IF(C199="","",IFERROR(VLOOKUP(C199,PO_Workflow!$A:$Q,13,0),""))</f>
        <v/>
      </c>
      <c r="M199" s="18" t="str">
        <f t="shared" si="6"/>
        <v/>
      </c>
      <c r="O199" s="19" t="str">
        <f>IF(C199="","",IFERROR(VLOOKUP(C199,PO_Workflow!$A:$Q,7,0),""))</f>
        <v/>
      </c>
      <c r="P199" s="19"/>
      <c r="Q199" s="16" t="str">
        <f>IF(C199="","",IFERROR(VLOOKUP(C199,PO_Workflow!$A:$Q,14,0),""))</f>
        <v/>
      </c>
      <c r="R199" s="20" t="str">
        <f>IF(C199="","",IFERROR(VLOOKUP(C199,PO_Workflow!$A:$Q,15,0),""))</f>
        <v/>
      </c>
      <c r="T199" s="16" t="str">
        <f>IF(C199="","",IFERROR(VLOOKUP(C199,PO_Workflow!$A:$Q,8,0),""))</f>
        <v/>
      </c>
      <c r="U199" s="21" t="str">
        <f t="shared" si="7"/>
        <v/>
      </c>
      <c r="V199" t="str">
        <f t="shared" si="8"/>
        <v/>
      </c>
    </row>
    <row r="200" spans="1:22" ht="15" customHeight="1" x14ac:dyDescent="0.35">
      <c r="A200" s="22"/>
      <c r="B200" s="22"/>
      <c r="C200" s="23"/>
      <c r="D200" t="str">
        <f>IF(C200&lt;&gt;"",IFERROR(VLOOKUP(C200,PO_Workflow!$A:$Q,10,0),""),IF(E200="","","PO-"&amp;TEXT(ROW()-2,"0000")))</f>
        <v/>
      </c>
      <c r="E200" s="16" t="str">
        <f>IF(C200="","",IFERROR(VLOOKUP(C200,PO_Workflow!$A:$Q,3,0),""))</f>
        <v/>
      </c>
      <c r="F200" s="16" t="str">
        <f>IF(C200="","",IFERROR(VLOOKUP(C200,PO_Workflow!$A:$Q,3,0),""))</f>
        <v/>
      </c>
      <c r="G200" s="16" t="str">
        <f>IF(C200="","",IFERROR(VLOOKUP(C200,PO_Workflow!$A:$Q,16,0),""))</f>
        <v/>
      </c>
      <c r="H200" s="16" t="str">
        <f>IF(C200="","",IFERROR(VLOOKUP(C200,PO_Workflow!$A:$Q,5,0),""))</f>
        <v/>
      </c>
      <c r="I200" s="16" t="str">
        <f>IF(C200="","",IFERROR(VLOOKUP(C200,PO_Workflow!$A:$Q,6,0),""))</f>
        <v/>
      </c>
      <c r="J200" s="17" t="str">
        <f>IF(C200="","",IFERROR(VLOOKUP(C200,PO_Workflow!$A:$Q,11,0),""))</f>
        <v/>
      </c>
      <c r="K200" s="17" t="str">
        <f>IF(C200="","",IFERROR(VLOOKUP(C200,PO_Workflow!$A:$Q,12,0),""))</f>
        <v/>
      </c>
      <c r="L200" s="17" t="str">
        <f>IF(C200="","",IFERROR(VLOOKUP(C200,PO_Workflow!$A:$Q,13,0),""))</f>
        <v/>
      </c>
      <c r="M200" s="18" t="str">
        <f t="shared" si="6"/>
        <v/>
      </c>
      <c r="O200" s="19" t="str">
        <f>IF(C200="","",IFERROR(VLOOKUP(C200,PO_Workflow!$A:$Q,7,0),""))</f>
        <v/>
      </c>
      <c r="P200" s="19"/>
      <c r="Q200" s="16" t="str">
        <f>IF(C200="","",IFERROR(VLOOKUP(C200,PO_Workflow!$A:$Q,14,0),""))</f>
        <v/>
      </c>
      <c r="R200" s="20" t="str">
        <f>IF(C200="","",IFERROR(VLOOKUP(C200,PO_Workflow!$A:$Q,15,0),""))</f>
        <v/>
      </c>
      <c r="T200" s="16" t="str">
        <f>IF(C200="","",IFERROR(VLOOKUP(C200,PO_Workflow!$A:$Q,8,0),""))</f>
        <v/>
      </c>
      <c r="U200" s="21" t="str">
        <f t="shared" si="7"/>
        <v/>
      </c>
      <c r="V200" t="str">
        <f t="shared" si="8"/>
        <v/>
      </c>
    </row>
    <row r="201" spans="1:22" ht="15" customHeight="1" x14ac:dyDescent="0.35">
      <c r="A201" s="22"/>
      <c r="B201" s="22"/>
      <c r="C201" s="23"/>
      <c r="D201" t="str">
        <f>IF(C201&lt;&gt;"",IFERROR(VLOOKUP(C201,PO_Workflow!$A:$Q,10,0),""),IF(E201="","","PO-"&amp;TEXT(ROW()-2,"0000")))</f>
        <v/>
      </c>
      <c r="E201" s="16" t="str">
        <f>IF(C201="","",IFERROR(VLOOKUP(C201,PO_Workflow!$A:$Q,3,0),""))</f>
        <v/>
      </c>
      <c r="F201" s="16" t="str">
        <f>IF(C201="","",IFERROR(VLOOKUP(C201,PO_Workflow!$A:$Q,3,0),""))</f>
        <v/>
      </c>
      <c r="G201" s="16" t="str">
        <f>IF(C201="","",IFERROR(VLOOKUP(C201,PO_Workflow!$A:$Q,16,0),""))</f>
        <v/>
      </c>
      <c r="H201" s="16" t="str">
        <f>IF(C201="","",IFERROR(VLOOKUP(C201,PO_Workflow!$A:$Q,5,0),""))</f>
        <v/>
      </c>
      <c r="I201" s="16" t="str">
        <f>IF(C201="","",IFERROR(VLOOKUP(C201,PO_Workflow!$A:$Q,6,0),""))</f>
        <v/>
      </c>
      <c r="J201" s="17" t="str">
        <f>IF(C201="","",IFERROR(VLOOKUP(C201,PO_Workflow!$A:$Q,11,0),""))</f>
        <v/>
      </c>
      <c r="K201" s="17" t="str">
        <f>IF(C201="","",IFERROR(VLOOKUP(C201,PO_Workflow!$A:$Q,12,0),""))</f>
        <v/>
      </c>
      <c r="L201" s="17" t="str">
        <f>IF(C201="","",IFERROR(VLOOKUP(C201,PO_Workflow!$A:$Q,13,0),""))</f>
        <v/>
      </c>
      <c r="M201" s="18" t="str">
        <f t="shared" si="6"/>
        <v/>
      </c>
      <c r="O201" s="19" t="str">
        <f>IF(C201="","",IFERROR(VLOOKUP(C201,PO_Workflow!$A:$Q,7,0),""))</f>
        <v/>
      </c>
      <c r="P201" s="19"/>
      <c r="Q201" s="16" t="str">
        <f>IF(C201="","",IFERROR(VLOOKUP(C201,PO_Workflow!$A:$Q,14,0),""))</f>
        <v/>
      </c>
      <c r="R201" s="20" t="str">
        <f>IF(C201="","",IFERROR(VLOOKUP(C201,PO_Workflow!$A:$Q,15,0),""))</f>
        <v/>
      </c>
      <c r="T201" s="16" t="str">
        <f>IF(C201="","",IFERROR(VLOOKUP(C201,PO_Workflow!$A:$Q,8,0),""))</f>
        <v/>
      </c>
      <c r="U201" s="21" t="str">
        <f t="shared" si="7"/>
        <v/>
      </c>
      <c r="V201" t="str">
        <f t="shared" si="8"/>
        <v/>
      </c>
    </row>
    <row r="202" spans="1:22" ht="15" customHeight="1" x14ac:dyDescent="0.35">
      <c r="A202" s="22"/>
      <c r="B202" s="22"/>
      <c r="C202" s="23"/>
      <c r="D202" t="str">
        <f>IF(C202&lt;&gt;"",IFERROR(VLOOKUP(C202,PO_Workflow!$A:$Q,10,0),""),IF(E202="","","PO-"&amp;TEXT(ROW()-2,"0000")))</f>
        <v/>
      </c>
      <c r="E202" s="16" t="str">
        <f>IF(C202="","",IFERROR(VLOOKUP(C202,PO_Workflow!$A:$Q,3,0),""))</f>
        <v/>
      </c>
      <c r="F202" s="16" t="str">
        <f>IF(C202="","",IFERROR(VLOOKUP(C202,PO_Workflow!$A:$Q,3,0),""))</f>
        <v/>
      </c>
      <c r="G202" s="16" t="str">
        <f>IF(C202="","",IFERROR(VLOOKUP(C202,PO_Workflow!$A:$Q,16,0),""))</f>
        <v/>
      </c>
      <c r="H202" s="16" t="str">
        <f>IF(C202="","",IFERROR(VLOOKUP(C202,PO_Workflow!$A:$Q,5,0),""))</f>
        <v/>
      </c>
      <c r="I202" s="16" t="str">
        <f>IF(C202="","",IFERROR(VLOOKUP(C202,PO_Workflow!$A:$Q,6,0),""))</f>
        <v/>
      </c>
      <c r="J202" s="17" t="str">
        <f>IF(C202="","",IFERROR(VLOOKUP(C202,PO_Workflow!$A:$Q,11,0),""))</f>
        <v/>
      </c>
      <c r="K202" s="17" t="str">
        <f>IF(C202="","",IFERROR(VLOOKUP(C202,PO_Workflow!$A:$Q,12,0),""))</f>
        <v/>
      </c>
      <c r="L202" s="17" t="str">
        <f>IF(C202="","",IFERROR(VLOOKUP(C202,PO_Workflow!$A:$Q,13,0),""))</f>
        <v/>
      </c>
      <c r="M202" s="18" t="str">
        <f t="shared" si="6"/>
        <v/>
      </c>
      <c r="O202" s="19" t="str">
        <f>IF(C202="","",IFERROR(VLOOKUP(C202,PO_Workflow!$A:$Q,7,0),""))</f>
        <v/>
      </c>
      <c r="P202" s="19"/>
      <c r="Q202" s="16" t="str">
        <f>IF(C202="","",IFERROR(VLOOKUP(C202,PO_Workflow!$A:$Q,14,0),""))</f>
        <v/>
      </c>
      <c r="R202" s="20" t="str">
        <f>IF(C202="","",IFERROR(VLOOKUP(C202,PO_Workflow!$A:$Q,15,0),""))</f>
        <v/>
      </c>
      <c r="T202" s="16" t="str">
        <f>IF(C202="","",IFERROR(VLOOKUP(C202,PO_Workflow!$A:$Q,8,0),""))</f>
        <v/>
      </c>
      <c r="U202" s="21" t="str">
        <f t="shared" si="7"/>
        <v/>
      </c>
      <c r="V202" t="str">
        <f t="shared" si="8"/>
        <v/>
      </c>
    </row>
    <row r="203" spans="1:22" ht="15" customHeight="1" x14ac:dyDescent="0.35">
      <c r="A203" s="22"/>
      <c r="B203" s="22"/>
      <c r="C203" s="23"/>
      <c r="D203" t="str">
        <f>IF(C203&lt;&gt;"",IFERROR(VLOOKUP(C203,PO_Workflow!$A:$Q,10,0),""),IF(E203="","","PO-"&amp;TEXT(ROW()-2,"0000")))</f>
        <v/>
      </c>
      <c r="E203" s="16" t="str">
        <f>IF(C203="","",IFERROR(VLOOKUP(C203,PO_Workflow!$A:$Q,3,0),""))</f>
        <v/>
      </c>
      <c r="F203" s="16" t="str">
        <f>IF(C203="","",IFERROR(VLOOKUP(C203,PO_Workflow!$A:$Q,3,0),""))</f>
        <v/>
      </c>
      <c r="G203" s="16" t="str">
        <f>IF(C203="","",IFERROR(VLOOKUP(C203,PO_Workflow!$A:$Q,16,0),""))</f>
        <v/>
      </c>
      <c r="H203" s="16" t="str">
        <f>IF(C203="","",IFERROR(VLOOKUP(C203,PO_Workflow!$A:$Q,5,0),""))</f>
        <v/>
      </c>
      <c r="I203" s="16" t="str">
        <f>IF(C203="","",IFERROR(VLOOKUP(C203,PO_Workflow!$A:$Q,6,0),""))</f>
        <v/>
      </c>
      <c r="J203" s="17" t="str">
        <f>IF(C203="","",IFERROR(VLOOKUP(C203,PO_Workflow!$A:$Q,11,0),""))</f>
        <v/>
      </c>
      <c r="K203" s="17" t="str">
        <f>IF(C203="","",IFERROR(VLOOKUP(C203,PO_Workflow!$A:$Q,12,0),""))</f>
        <v/>
      </c>
      <c r="L203" s="17" t="str">
        <f>IF(C203="","",IFERROR(VLOOKUP(C203,PO_Workflow!$A:$Q,13,0),""))</f>
        <v/>
      </c>
      <c r="M203" s="18" t="str">
        <f t="shared" si="6"/>
        <v/>
      </c>
      <c r="O203" s="19" t="str">
        <f>IF(C203="","",IFERROR(VLOOKUP(C203,PO_Workflow!$A:$Q,7,0),""))</f>
        <v/>
      </c>
      <c r="P203" s="19"/>
      <c r="Q203" s="16" t="str">
        <f>IF(C203="","",IFERROR(VLOOKUP(C203,PO_Workflow!$A:$Q,14,0),""))</f>
        <v/>
      </c>
      <c r="R203" s="20" t="str">
        <f>IF(C203="","",IFERROR(VLOOKUP(C203,PO_Workflow!$A:$Q,15,0),""))</f>
        <v/>
      </c>
      <c r="T203" s="16" t="str">
        <f>IF(C203="","",IFERROR(VLOOKUP(C203,PO_Workflow!$A:$Q,8,0),""))</f>
        <v/>
      </c>
      <c r="U203" s="21" t="str">
        <f t="shared" si="7"/>
        <v/>
      </c>
      <c r="V203" t="str">
        <f t="shared" si="8"/>
        <v/>
      </c>
    </row>
    <row r="204" spans="1:22" ht="15" customHeight="1" x14ac:dyDescent="0.35">
      <c r="A204" s="22"/>
      <c r="B204" s="22"/>
      <c r="C204" s="23"/>
      <c r="D204" t="str">
        <f>IF(C204&lt;&gt;"",IFERROR(VLOOKUP(C204,PO_Workflow!$A:$Q,10,0),""),IF(E204="","","PO-"&amp;TEXT(ROW()-2,"0000")))</f>
        <v/>
      </c>
      <c r="E204" s="16" t="str">
        <f>IF(C204="","",IFERROR(VLOOKUP(C204,PO_Workflow!$A:$Q,3,0),""))</f>
        <v/>
      </c>
      <c r="F204" s="16" t="str">
        <f>IF(C204="","",IFERROR(VLOOKUP(C204,PO_Workflow!$A:$Q,3,0),""))</f>
        <v/>
      </c>
      <c r="G204" s="16" t="str">
        <f>IF(C204="","",IFERROR(VLOOKUP(C204,PO_Workflow!$A:$Q,16,0),""))</f>
        <v/>
      </c>
      <c r="H204" s="16" t="str">
        <f>IF(C204="","",IFERROR(VLOOKUP(C204,PO_Workflow!$A:$Q,5,0),""))</f>
        <v/>
      </c>
      <c r="I204" s="16" t="str">
        <f>IF(C204="","",IFERROR(VLOOKUP(C204,PO_Workflow!$A:$Q,6,0),""))</f>
        <v/>
      </c>
      <c r="J204" s="17" t="str">
        <f>IF(C204="","",IFERROR(VLOOKUP(C204,PO_Workflow!$A:$Q,11,0),""))</f>
        <v/>
      </c>
      <c r="K204" s="17" t="str">
        <f>IF(C204="","",IFERROR(VLOOKUP(C204,PO_Workflow!$A:$Q,12,0),""))</f>
        <v/>
      </c>
      <c r="L204" s="17" t="str">
        <f>IF(C204="","",IFERROR(VLOOKUP(C204,PO_Workflow!$A:$Q,13,0),""))</f>
        <v/>
      </c>
      <c r="M204" s="18" t="str">
        <f t="shared" si="6"/>
        <v/>
      </c>
      <c r="O204" s="19" t="str">
        <f>IF(C204="","",IFERROR(VLOOKUP(C204,PO_Workflow!$A:$Q,7,0),""))</f>
        <v/>
      </c>
      <c r="P204" s="19"/>
      <c r="Q204" s="16" t="str">
        <f>IF(C204="","",IFERROR(VLOOKUP(C204,PO_Workflow!$A:$Q,14,0),""))</f>
        <v/>
      </c>
      <c r="R204" s="20" t="str">
        <f>IF(C204="","",IFERROR(VLOOKUP(C204,PO_Workflow!$A:$Q,15,0),""))</f>
        <v/>
      </c>
      <c r="T204" s="16" t="str">
        <f>IF(C204="","",IFERROR(VLOOKUP(C204,PO_Workflow!$A:$Q,8,0),""))</f>
        <v/>
      </c>
      <c r="U204" s="21" t="str">
        <f t="shared" si="7"/>
        <v/>
      </c>
      <c r="V204" t="str">
        <f t="shared" si="8"/>
        <v/>
      </c>
    </row>
    <row r="205" spans="1:22" ht="15" customHeight="1" x14ac:dyDescent="0.35">
      <c r="A205" s="22"/>
      <c r="B205" s="22"/>
      <c r="C205" s="23"/>
      <c r="D205" t="str">
        <f>IF(C205&lt;&gt;"",IFERROR(VLOOKUP(C205,PO_Workflow!$A:$Q,10,0),""),IF(E205="","","PO-"&amp;TEXT(ROW()-2,"0000")))</f>
        <v/>
      </c>
      <c r="E205" s="16" t="str">
        <f>IF(C205="","",IFERROR(VLOOKUP(C205,PO_Workflow!$A:$Q,3,0),""))</f>
        <v/>
      </c>
      <c r="F205" s="16" t="str">
        <f>IF(C205="","",IFERROR(VLOOKUP(C205,PO_Workflow!$A:$Q,3,0),""))</f>
        <v/>
      </c>
      <c r="G205" s="16" t="str">
        <f>IF(C205="","",IFERROR(VLOOKUP(C205,PO_Workflow!$A:$Q,16,0),""))</f>
        <v/>
      </c>
      <c r="H205" s="16" t="str">
        <f>IF(C205="","",IFERROR(VLOOKUP(C205,PO_Workflow!$A:$Q,5,0),""))</f>
        <v/>
      </c>
      <c r="I205" s="16" t="str">
        <f>IF(C205="","",IFERROR(VLOOKUP(C205,PO_Workflow!$A:$Q,6,0),""))</f>
        <v/>
      </c>
      <c r="J205" s="17" t="str">
        <f>IF(C205="","",IFERROR(VLOOKUP(C205,PO_Workflow!$A:$Q,11,0),""))</f>
        <v/>
      </c>
      <c r="K205" s="17" t="str">
        <f>IF(C205="","",IFERROR(VLOOKUP(C205,PO_Workflow!$A:$Q,12,0),""))</f>
        <v/>
      </c>
      <c r="L205" s="17" t="str">
        <f>IF(C205="","",IFERROR(VLOOKUP(C205,PO_Workflow!$A:$Q,13,0),""))</f>
        <v/>
      </c>
      <c r="M205" s="18" t="str">
        <f t="shared" si="6"/>
        <v/>
      </c>
      <c r="O205" s="19" t="str">
        <f>IF(C205="","",IFERROR(VLOOKUP(C205,PO_Workflow!$A:$Q,7,0),""))</f>
        <v/>
      </c>
      <c r="P205" s="19"/>
      <c r="Q205" s="16" t="str">
        <f>IF(C205="","",IFERROR(VLOOKUP(C205,PO_Workflow!$A:$Q,14,0),""))</f>
        <v/>
      </c>
      <c r="R205" s="20" t="str">
        <f>IF(C205="","",IFERROR(VLOOKUP(C205,PO_Workflow!$A:$Q,15,0),""))</f>
        <v/>
      </c>
      <c r="T205" s="16" t="str">
        <f>IF(C205="","",IFERROR(VLOOKUP(C205,PO_Workflow!$A:$Q,8,0),""))</f>
        <v/>
      </c>
      <c r="U205" s="21" t="str">
        <f t="shared" si="7"/>
        <v/>
      </c>
      <c r="V205" t="str">
        <f t="shared" si="8"/>
        <v/>
      </c>
    </row>
    <row r="206" spans="1:22" ht="15" customHeight="1" x14ac:dyDescent="0.35">
      <c r="A206" s="22"/>
      <c r="B206" s="22"/>
      <c r="C206" s="23"/>
      <c r="D206" t="str">
        <f>IF(C206&lt;&gt;"",IFERROR(VLOOKUP(C206,PO_Workflow!$A:$Q,10,0),""),IF(E206="","","PO-"&amp;TEXT(ROW()-2,"0000")))</f>
        <v/>
      </c>
      <c r="E206" s="16" t="str">
        <f>IF(C206="","",IFERROR(VLOOKUP(C206,PO_Workflow!$A:$Q,3,0),""))</f>
        <v/>
      </c>
      <c r="F206" s="16" t="str">
        <f>IF(C206="","",IFERROR(VLOOKUP(C206,PO_Workflow!$A:$Q,3,0),""))</f>
        <v/>
      </c>
      <c r="G206" s="16" t="str">
        <f>IF(C206="","",IFERROR(VLOOKUP(C206,PO_Workflow!$A:$Q,16,0),""))</f>
        <v/>
      </c>
      <c r="H206" s="16" t="str">
        <f>IF(C206="","",IFERROR(VLOOKUP(C206,PO_Workflow!$A:$Q,5,0),""))</f>
        <v/>
      </c>
      <c r="I206" s="16" t="str">
        <f>IF(C206="","",IFERROR(VLOOKUP(C206,PO_Workflow!$A:$Q,6,0),""))</f>
        <v/>
      </c>
      <c r="J206" s="17" t="str">
        <f>IF(C206="","",IFERROR(VLOOKUP(C206,PO_Workflow!$A:$Q,11,0),""))</f>
        <v/>
      </c>
      <c r="K206" s="17" t="str">
        <f>IF(C206="","",IFERROR(VLOOKUP(C206,PO_Workflow!$A:$Q,12,0),""))</f>
        <v/>
      </c>
      <c r="L206" s="17" t="str">
        <f>IF(C206="","",IFERROR(VLOOKUP(C206,PO_Workflow!$A:$Q,13,0),""))</f>
        <v/>
      </c>
      <c r="M206" s="18" t="str">
        <f t="shared" si="6"/>
        <v/>
      </c>
      <c r="O206" s="19" t="str">
        <f>IF(C206="","",IFERROR(VLOOKUP(C206,PO_Workflow!$A:$Q,7,0),""))</f>
        <v/>
      </c>
      <c r="P206" s="19"/>
      <c r="Q206" s="16" t="str">
        <f>IF(C206="","",IFERROR(VLOOKUP(C206,PO_Workflow!$A:$Q,14,0),""))</f>
        <v/>
      </c>
      <c r="R206" s="20" t="str">
        <f>IF(C206="","",IFERROR(VLOOKUP(C206,PO_Workflow!$A:$Q,15,0),""))</f>
        <v/>
      </c>
      <c r="T206" s="16" t="str">
        <f>IF(C206="","",IFERROR(VLOOKUP(C206,PO_Workflow!$A:$Q,8,0),""))</f>
        <v/>
      </c>
      <c r="U206" s="21" t="str">
        <f t="shared" si="7"/>
        <v/>
      </c>
      <c r="V206" t="str">
        <f t="shared" si="8"/>
        <v/>
      </c>
    </row>
    <row r="207" spans="1:22" ht="15" customHeight="1" x14ac:dyDescent="0.35">
      <c r="A207" s="22"/>
      <c r="B207" s="22"/>
      <c r="C207" s="23"/>
      <c r="D207" t="str">
        <f>IF(C207&lt;&gt;"",IFERROR(VLOOKUP(C207,PO_Workflow!$A:$Q,10,0),""),IF(E207="","","PO-"&amp;TEXT(ROW()-2,"0000")))</f>
        <v/>
      </c>
      <c r="E207" s="16" t="str">
        <f>IF(C207="","",IFERROR(VLOOKUP(C207,PO_Workflow!$A:$Q,3,0),""))</f>
        <v/>
      </c>
      <c r="F207" s="16" t="str">
        <f>IF(C207="","",IFERROR(VLOOKUP(C207,PO_Workflow!$A:$Q,3,0),""))</f>
        <v/>
      </c>
      <c r="G207" s="16" t="str">
        <f>IF(C207="","",IFERROR(VLOOKUP(C207,PO_Workflow!$A:$Q,16,0),""))</f>
        <v/>
      </c>
      <c r="H207" s="16" t="str">
        <f>IF(C207="","",IFERROR(VLOOKUP(C207,PO_Workflow!$A:$Q,5,0),""))</f>
        <v/>
      </c>
      <c r="I207" s="16" t="str">
        <f>IF(C207="","",IFERROR(VLOOKUP(C207,PO_Workflow!$A:$Q,6,0),""))</f>
        <v/>
      </c>
      <c r="J207" s="17" t="str">
        <f>IF(C207="","",IFERROR(VLOOKUP(C207,PO_Workflow!$A:$Q,11,0),""))</f>
        <v/>
      </c>
      <c r="K207" s="17" t="str">
        <f>IF(C207="","",IFERROR(VLOOKUP(C207,PO_Workflow!$A:$Q,12,0),""))</f>
        <v/>
      </c>
      <c r="L207" s="17" t="str">
        <f>IF(C207="","",IFERROR(VLOOKUP(C207,PO_Workflow!$A:$Q,13,0),""))</f>
        <v/>
      </c>
      <c r="M207" s="18" t="str">
        <f t="shared" si="6"/>
        <v/>
      </c>
      <c r="O207" s="19" t="str">
        <f>IF(C207="","",IFERROR(VLOOKUP(C207,PO_Workflow!$A:$Q,7,0),""))</f>
        <v/>
      </c>
      <c r="P207" s="19"/>
      <c r="Q207" s="16" t="str">
        <f>IF(C207="","",IFERROR(VLOOKUP(C207,PO_Workflow!$A:$Q,14,0),""))</f>
        <v/>
      </c>
      <c r="R207" s="20" t="str">
        <f>IF(C207="","",IFERROR(VLOOKUP(C207,PO_Workflow!$A:$Q,15,0),""))</f>
        <v/>
      </c>
      <c r="T207" s="16" t="str">
        <f>IF(C207="","",IFERROR(VLOOKUP(C207,PO_Workflow!$A:$Q,8,0),""))</f>
        <v/>
      </c>
      <c r="U207" s="21" t="str">
        <f t="shared" si="7"/>
        <v/>
      </c>
      <c r="V207" t="str">
        <f t="shared" si="8"/>
        <v/>
      </c>
    </row>
    <row r="208" spans="1:22" ht="15" customHeight="1" x14ac:dyDescent="0.35">
      <c r="A208" s="22"/>
      <c r="B208" s="22"/>
      <c r="C208" s="23"/>
      <c r="D208" t="str">
        <f>IF(C208&lt;&gt;"",IFERROR(VLOOKUP(C208,PO_Workflow!$A:$Q,10,0),""),IF(E208="","","PO-"&amp;TEXT(ROW()-2,"0000")))</f>
        <v/>
      </c>
      <c r="E208" s="16" t="str">
        <f>IF(C208="","",IFERROR(VLOOKUP(C208,PO_Workflow!$A:$Q,3,0),""))</f>
        <v/>
      </c>
      <c r="F208" s="16" t="str">
        <f>IF(C208="","",IFERROR(VLOOKUP(C208,PO_Workflow!$A:$Q,3,0),""))</f>
        <v/>
      </c>
      <c r="G208" s="16" t="str">
        <f>IF(C208="","",IFERROR(VLOOKUP(C208,PO_Workflow!$A:$Q,16,0),""))</f>
        <v/>
      </c>
      <c r="H208" s="16" t="str">
        <f>IF(C208="","",IFERROR(VLOOKUP(C208,PO_Workflow!$A:$Q,5,0),""))</f>
        <v/>
      </c>
      <c r="I208" s="16" t="str">
        <f>IF(C208="","",IFERROR(VLOOKUP(C208,PO_Workflow!$A:$Q,6,0),""))</f>
        <v/>
      </c>
      <c r="J208" s="17" t="str">
        <f>IF(C208="","",IFERROR(VLOOKUP(C208,PO_Workflow!$A:$Q,11,0),""))</f>
        <v/>
      </c>
      <c r="K208" s="17" t="str">
        <f>IF(C208="","",IFERROR(VLOOKUP(C208,PO_Workflow!$A:$Q,12,0),""))</f>
        <v/>
      </c>
      <c r="L208" s="17" t="str">
        <f>IF(C208="","",IFERROR(VLOOKUP(C208,PO_Workflow!$A:$Q,13,0),""))</f>
        <v/>
      </c>
      <c r="M208" s="18" t="str">
        <f t="shared" si="6"/>
        <v/>
      </c>
      <c r="O208" s="19" t="str">
        <f>IF(C208="","",IFERROR(VLOOKUP(C208,PO_Workflow!$A:$Q,7,0),""))</f>
        <v/>
      </c>
      <c r="P208" s="19"/>
      <c r="Q208" s="16" t="str">
        <f>IF(C208="","",IFERROR(VLOOKUP(C208,PO_Workflow!$A:$Q,14,0),""))</f>
        <v/>
      </c>
      <c r="R208" s="20" t="str">
        <f>IF(C208="","",IFERROR(VLOOKUP(C208,PO_Workflow!$A:$Q,15,0),""))</f>
        <v/>
      </c>
      <c r="T208" s="16" t="str">
        <f>IF(C208="","",IFERROR(VLOOKUP(C208,PO_Workflow!$A:$Q,8,0),""))</f>
        <v/>
      </c>
      <c r="U208" s="21" t="str">
        <f t="shared" si="7"/>
        <v/>
      </c>
      <c r="V208" t="str">
        <f t="shared" si="8"/>
        <v/>
      </c>
    </row>
    <row r="209" spans="1:22" ht="15" customHeight="1" x14ac:dyDescent="0.35">
      <c r="A209" s="22"/>
      <c r="B209" s="22"/>
      <c r="C209" s="23"/>
      <c r="D209" t="str">
        <f>IF(C209&lt;&gt;"",IFERROR(VLOOKUP(C209,PO_Workflow!$A:$Q,10,0),""),IF(E209="","","PO-"&amp;TEXT(ROW()-2,"0000")))</f>
        <v/>
      </c>
      <c r="E209" s="16" t="str">
        <f>IF(C209="","",IFERROR(VLOOKUP(C209,PO_Workflow!$A:$Q,3,0),""))</f>
        <v/>
      </c>
      <c r="F209" s="16" t="str">
        <f>IF(C209="","",IFERROR(VLOOKUP(C209,PO_Workflow!$A:$Q,3,0),""))</f>
        <v/>
      </c>
      <c r="G209" s="16" t="str">
        <f>IF(C209="","",IFERROR(VLOOKUP(C209,PO_Workflow!$A:$Q,16,0),""))</f>
        <v/>
      </c>
      <c r="H209" s="16" t="str">
        <f>IF(C209="","",IFERROR(VLOOKUP(C209,PO_Workflow!$A:$Q,5,0),""))</f>
        <v/>
      </c>
      <c r="I209" s="16" t="str">
        <f>IF(C209="","",IFERROR(VLOOKUP(C209,PO_Workflow!$A:$Q,6,0),""))</f>
        <v/>
      </c>
      <c r="J209" s="17" t="str">
        <f>IF(C209="","",IFERROR(VLOOKUP(C209,PO_Workflow!$A:$Q,11,0),""))</f>
        <v/>
      </c>
      <c r="K209" s="17" t="str">
        <f>IF(C209="","",IFERROR(VLOOKUP(C209,PO_Workflow!$A:$Q,12,0),""))</f>
        <v/>
      </c>
      <c r="L209" s="17" t="str">
        <f>IF(C209="","",IFERROR(VLOOKUP(C209,PO_Workflow!$A:$Q,13,0),""))</f>
        <v/>
      </c>
      <c r="M209" s="18" t="str">
        <f t="shared" si="6"/>
        <v/>
      </c>
      <c r="O209" s="19" t="str">
        <f>IF(C209="","",IFERROR(VLOOKUP(C209,PO_Workflow!$A:$Q,7,0),""))</f>
        <v/>
      </c>
      <c r="P209" s="19"/>
      <c r="Q209" s="16" t="str">
        <f>IF(C209="","",IFERROR(VLOOKUP(C209,PO_Workflow!$A:$Q,14,0),""))</f>
        <v/>
      </c>
      <c r="R209" s="20" t="str">
        <f>IF(C209="","",IFERROR(VLOOKUP(C209,PO_Workflow!$A:$Q,15,0),""))</f>
        <v/>
      </c>
      <c r="T209" s="16" t="str">
        <f>IF(C209="","",IFERROR(VLOOKUP(C209,PO_Workflow!$A:$Q,8,0),""))</f>
        <v/>
      </c>
      <c r="U209" s="21" t="str">
        <f t="shared" si="7"/>
        <v/>
      </c>
      <c r="V209" t="str">
        <f t="shared" si="8"/>
        <v/>
      </c>
    </row>
    <row r="210" spans="1:22" ht="15" customHeight="1" x14ac:dyDescent="0.35">
      <c r="A210" s="22"/>
      <c r="B210" s="22"/>
      <c r="C210" s="23"/>
      <c r="D210" t="str">
        <f>IF(C210&lt;&gt;"",IFERROR(VLOOKUP(C210,PO_Workflow!$A:$Q,10,0),""),IF(E210="","","PO-"&amp;TEXT(ROW()-2,"0000")))</f>
        <v/>
      </c>
      <c r="E210" s="16" t="str">
        <f>IF(C210="","",IFERROR(VLOOKUP(C210,PO_Workflow!$A:$Q,3,0),""))</f>
        <v/>
      </c>
      <c r="F210" s="16" t="str">
        <f>IF(C210="","",IFERROR(VLOOKUP(C210,PO_Workflow!$A:$Q,3,0),""))</f>
        <v/>
      </c>
      <c r="G210" s="16" t="str">
        <f>IF(C210="","",IFERROR(VLOOKUP(C210,PO_Workflow!$A:$Q,16,0),""))</f>
        <v/>
      </c>
      <c r="H210" s="16" t="str">
        <f>IF(C210="","",IFERROR(VLOOKUP(C210,PO_Workflow!$A:$Q,5,0),""))</f>
        <v/>
      </c>
      <c r="I210" s="16" t="str">
        <f>IF(C210="","",IFERROR(VLOOKUP(C210,PO_Workflow!$A:$Q,6,0),""))</f>
        <v/>
      </c>
      <c r="J210" s="17" t="str">
        <f>IF(C210="","",IFERROR(VLOOKUP(C210,PO_Workflow!$A:$Q,11,0),""))</f>
        <v/>
      </c>
      <c r="K210" s="17" t="str">
        <f>IF(C210="","",IFERROR(VLOOKUP(C210,PO_Workflow!$A:$Q,12,0),""))</f>
        <v/>
      </c>
      <c r="L210" s="17" t="str">
        <f>IF(C210="","",IFERROR(VLOOKUP(C210,PO_Workflow!$A:$Q,13,0),""))</f>
        <v/>
      </c>
      <c r="M210" s="18" t="str">
        <f t="shared" si="6"/>
        <v/>
      </c>
      <c r="O210" s="19" t="str">
        <f>IF(C210="","",IFERROR(VLOOKUP(C210,PO_Workflow!$A:$Q,7,0),""))</f>
        <v/>
      </c>
      <c r="P210" s="19"/>
      <c r="Q210" s="16" t="str">
        <f>IF(C210="","",IFERROR(VLOOKUP(C210,PO_Workflow!$A:$Q,14,0),""))</f>
        <v/>
      </c>
      <c r="R210" s="20" t="str">
        <f>IF(C210="","",IFERROR(VLOOKUP(C210,PO_Workflow!$A:$Q,15,0),""))</f>
        <v/>
      </c>
      <c r="T210" s="16" t="str">
        <f>IF(C210="","",IFERROR(VLOOKUP(C210,PO_Workflow!$A:$Q,8,0),""))</f>
        <v/>
      </c>
      <c r="U210" s="21" t="str">
        <f t="shared" si="7"/>
        <v/>
      </c>
      <c r="V210" t="str">
        <f t="shared" si="8"/>
        <v/>
      </c>
    </row>
    <row r="211" spans="1:22" ht="15" customHeight="1" x14ac:dyDescent="0.35">
      <c r="A211" s="22"/>
      <c r="B211" s="22"/>
      <c r="C211" s="23"/>
      <c r="D211" t="str">
        <f>IF(C211&lt;&gt;"",IFERROR(VLOOKUP(C211,PO_Workflow!$A:$Q,10,0),""),IF(E211="","","PO-"&amp;TEXT(ROW()-2,"0000")))</f>
        <v/>
      </c>
      <c r="E211" s="16" t="str">
        <f>IF(C211="","",IFERROR(VLOOKUP(C211,PO_Workflow!$A:$Q,3,0),""))</f>
        <v/>
      </c>
      <c r="F211" s="16" t="str">
        <f>IF(C211="","",IFERROR(VLOOKUP(C211,PO_Workflow!$A:$Q,3,0),""))</f>
        <v/>
      </c>
      <c r="G211" s="16" t="str">
        <f>IF(C211="","",IFERROR(VLOOKUP(C211,PO_Workflow!$A:$Q,16,0),""))</f>
        <v/>
      </c>
      <c r="H211" s="16" t="str">
        <f>IF(C211="","",IFERROR(VLOOKUP(C211,PO_Workflow!$A:$Q,5,0),""))</f>
        <v/>
      </c>
      <c r="I211" s="16" t="str">
        <f>IF(C211="","",IFERROR(VLOOKUP(C211,PO_Workflow!$A:$Q,6,0),""))</f>
        <v/>
      </c>
      <c r="J211" s="17" t="str">
        <f>IF(C211="","",IFERROR(VLOOKUP(C211,PO_Workflow!$A:$Q,11,0),""))</f>
        <v/>
      </c>
      <c r="K211" s="17" t="str">
        <f>IF(C211="","",IFERROR(VLOOKUP(C211,PO_Workflow!$A:$Q,12,0),""))</f>
        <v/>
      </c>
      <c r="L211" s="17" t="str">
        <f>IF(C211="","",IFERROR(VLOOKUP(C211,PO_Workflow!$A:$Q,13,0),""))</f>
        <v/>
      </c>
      <c r="M211" s="18" t="str">
        <f t="shared" si="6"/>
        <v/>
      </c>
      <c r="O211" s="19" t="str">
        <f>IF(C211="","",IFERROR(VLOOKUP(C211,PO_Workflow!$A:$Q,7,0),""))</f>
        <v/>
      </c>
      <c r="P211" s="19"/>
      <c r="Q211" s="16" t="str">
        <f>IF(C211="","",IFERROR(VLOOKUP(C211,PO_Workflow!$A:$Q,14,0),""))</f>
        <v/>
      </c>
      <c r="R211" s="20" t="str">
        <f>IF(C211="","",IFERROR(VLOOKUP(C211,PO_Workflow!$A:$Q,15,0),""))</f>
        <v/>
      </c>
      <c r="T211" s="16" t="str">
        <f>IF(C211="","",IFERROR(VLOOKUP(C211,PO_Workflow!$A:$Q,8,0),""))</f>
        <v/>
      </c>
      <c r="U211" s="21" t="str">
        <f t="shared" si="7"/>
        <v/>
      </c>
      <c r="V211" t="str">
        <f t="shared" si="8"/>
        <v/>
      </c>
    </row>
    <row r="212" spans="1:22" ht="15" customHeight="1" x14ac:dyDescent="0.35">
      <c r="A212" s="22"/>
      <c r="B212" s="22"/>
      <c r="C212" s="23"/>
      <c r="D212" t="str">
        <f>IF(C212&lt;&gt;"",IFERROR(VLOOKUP(C212,PO_Workflow!$A:$Q,10,0),""),IF(E212="","","PO-"&amp;TEXT(ROW()-2,"0000")))</f>
        <v/>
      </c>
      <c r="E212" s="16" t="str">
        <f>IF(C212="","",IFERROR(VLOOKUP(C212,PO_Workflow!$A:$Q,3,0),""))</f>
        <v/>
      </c>
      <c r="F212" s="16" t="str">
        <f>IF(C212="","",IFERROR(VLOOKUP(C212,PO_Workflow!$A:$Q,3,0),""))</f>
        <v/>
      </c>
      <c r="G212" s="16" t="str">
        <f>IF(C212="","",IFERROR(VLOOKUP(C212,PO_Workflow!$A:$Q,16,0),""))</f>
        <v/>
      </c>
      <c r="H212" s="16" t="str">
        <f>IF(C212="","",IFERROR(VLOOKUP(C212,PO_Workflow!$A:$Q,5,0),""))</f>
        <v/>
      </c>
      <c r="I212" s="16" t="str">
        <f>IF(C212="","",IFERROR(VLOOKUP(C212,PO_Workflow!$A:$Q,6,0),""))</f>
        <v/>
      </c>
      <c r="J212" s="17" t="str">
        <f>IF(C212="","",IFERROR(VLOOKUP(C212,PO_Workflow!$A:$Q,11,0),""))</f>
        <v/>
      </c>
      <c r="K212" s="17" t="str">
        <f>IF(C212="","",IFERROR(VLOOKUP(C212,PO_Workflow!$A:$Q,12,0),""))</f>
        <v/>
      </c>
      <c r="L212" s="17" t="str">
        <f>IF(C212="","",IFERROR(VLOOKUP(C212,PO_Workflow!$A:$Q,13,0),""))</f>
        <v/>
      </c>
      <c r="M212" s="18" t="str">
        <f t="shared" si="6"/>
        <v/>
      </c>
      <c r="O212" s="19" t="str">
        <f>IF(C212="","",IFERROR(VLOOKUP(C212,PO_Workflow!$A:$Q,7,0),""))</f>
        <v/>
      </c>
      <c r="P212" s="19"/>
      <c r="Q212" s="16" t="str">
        <f>IF(C212="","",IFERROR(VLOOKUP(C212,PO_Workflow!$A:$Q,14,0),""))</f>
        <v/>
      </c>
      <c r="R212" s="20" t="str">
        <f>IF(C212="","",IFERROR(VLOOKUP(C212,PO_Workflow!$A:$Q,15,0),""))</f>
        <v/>
      </c>
      <c r="T212" s="16" t="str">
        <f>IF(C212="","",IFERROR(VLOOKUP(C212,PO_Workflow!$A:$Q,8,0),""))</f>
        <v/>
      </c>
      <c r="U212" s="21" t="str">
        <f t="shared" si="7"/>
        <v/>
      </c>
      <c r="V212" t="str">
        <f t="shared" si="8"/>
        <v/>
      </c>
    </row>
    <row r="213" spans="1:22" ht="15" customHeight="1" x14ac:dyDescent="0.35">
      <c r="A213" s="22"/>
      <c r="B213" s="22"/>
      <c r="C213" s="23"/>
      <c r="D213" t="str">
        <f>IF(C213&lt;&gt;"",IFERROR(VLOOKUP(C213,PO_Workflow!$A:$Q,10,0),""),IF(E213="","","PO-"&amp;TEXT(ROW()-2,"0000")))</f>
        <v/>
      </c>
      <c r="E213" s="16" t="str">
        <f>IF(C213="","",IFERROR(VLOOKUP(C213,PO_Workflow!$A:$Q,3,0),""))</f>
        <v/>
      </c>
      <c r="F213" s="16" t="str">
        <f>IF(C213="","",IFERROR(VLOOKUP(C213,PO_Workflow!$A:$Q,3,0),""))</f>
        <v/>
      </c>
      <c r="G213" s="16" t="str">
        <f>IF(C213="","",IFERROR(VLOOKUP(C213,PO_Workflow!$A:$Q,16,0),""))</f>
        <v/>
      </c>
      <c r="H213" s="16" t="str">
        <f>IF(C213="","",IFERROR(VLOOKUP(C213,PO_Workflow!$A:$Q,5,0),""))</f>
        <v/>
      </c>
      <c r="I213" s="16" t="str">
        <f>IF(C213="","",IFERROR(VLOOKUP(C213,PO_Workflow!$A:$Q,6,0),""))</f>
        <v/>
      </c>
      <c r="J213" s="17" t="str">
        <f>IF(C213="","",IFERROR(VLOOKUP(C213,PO_Workflow!$A:$Q,11,0),""))</f>
        <v/>
      </c>
      <c r="K213" s="17" t="str">
        <f>IF(C213="","",IFERROR(VLOOKUP(C213,PO_Workflow!$A:$Q,12,0),""))</f>
        <v/>
      </c>
      <c r="L213" s="17" t="str">
        <f>IF(C213="","",IFERROR(VLOOKUP(C213,PO_Workflow!$A:$Q,13,0),""))</f>
        <v/>
      </c>
      <c r="M213" s="18" t="str">
        <f t="shared" si="6"/>
        <v/>
      </c>
      <c r="O213" s="19" t="str">
        <f>IF(C213="","",IFERROR(VLOOKUP(C213,PO_Workflow!$A:$Q,7,0),""))</f>
        <v/>
      </c>
      <c r="P213" s="19"/>
      <c r="Q213" s="16" t="str">
        <f>IF(C213="","",IFERROR(VLOOKUP(C213,PO_Workflow!$A:$Q,14,0),""))</f>
        <v/>
      </c>
      <c r="R213" s="20" t="str">
        <f>IF(C213="","",IFERROR(VLOOKUP(C213,PO_Workflow!$A:$Q,15,0),""))</f>
        <v/>
      </c>
      <c r="T213" s="16" t="str">
        <f>IF(C213="","",IFERROR(VLOOKUP(C213,PO_Workflow!$A:$Q,8,0),""))</f>
        <v/>
      </c>
      <c r="U213" s="21" t="str">
        <f t="shared" si="7"/>
        <v/>
      </c>
      <c r="V213" t="str">
        <f t="shared" si="8"/>
        <v/>
      </c>
    </row>
    <row r="214" spans="1:22" ht="15" customHeight="1" x14ac:dyDescent="0.35">
      <c r="A214" s="22"/>
      <c r="B214" s="22"/>
      <c r="C214" s="23"/>
      <c r="D214" t="str">
        <f>IF(C214&lt;&gt;"",IFERROR(VLOOKUP(C214,PO_Workflow!$A:$Q,10,0),""),IF(E214="","","PO-"&amp;TEXT(ROW()-2,"0000")))</f>
        <v/>
      </c>
      <c r="E214" s="16" t="str">
        <f>IF(C214="","",IFERROR(VLOOKUP(C214,PO_Workflow!$A:$Q,3,0),""))</f>
        <v/>
      </c>
      <c r="F214" s="16" t="str">
        <f>IF(C214="","",IFERROR(VLOOKUP(C214,PO_Workflow!$A:$Q,3,0),""))</f>
        <v/>
      </c>
      <c r="G214" s="16" t="str">
        <f>IF(C214="","",IFERROR(VLOOKUP(C214,PO_Workflow!$A:$Q,16,0),""))</f>
        <v/>
      </c>
      <c r="H214" s="16" t="str">
        <f>IF(C214="","",IFERROR(VLOOKUP(C214,PO_Workflow!$A:$Q,5,0),""))</f>
        <v/>
      </c>
      <c r="I214" s="16" t="str">
        <f>IF(C214="","",IFERROR(VLOOKUP(C214,PO_Workflow!$A:$Q,6,0),""))</f>
        <v/>
      </c>
      <c r="J214" s="17" t="str">
        <f>IF(C214="","",IFERROR(VLOOKUP(C214,PO_Workflow!$A:$Q,11,0),""))</f>
        <v/>
      </c>
      <c r="K214" s="17" t="str">
        <f>IF(C214="","",IFERROR(VLOOKUP(C214,PO_Workflow!$A:$Q,12,0),""))</f>
        <v/>
      </c>
      <c r="L214" s="17" t="str">
        <f>IF(C214="","",IFERROR(VLOOKUP(C214,PO_Workflow!$A:$Q,13,0),""))</f>
        <v/>
      </c>
      <c r="M214" s="18" t="str">
        <f t="shared" si="6"/>
        <v/>
      </c>
      <c r="O214" s="19" t="str">
        <f>IF(C214="","",IFERROR(VLOOKUP(C214,PO_Workflow!$A:$Q,7,0),""))</f>
        <v/>
      </c>
      <c r="P214" s="19"/>
      <c r="Q214" s="16" t="str">
        <f>IF(C214="","",IFERROR(VLOOKUP(C214,PO_Workflow!$A:$Q,14,0),""))</f>
        <v/>
      </c>
      <c r="R214" s="20" t="str">
        <f>IF(C214="","",IFERROR(VLOOKUP(C214,PO_Workflow!$A:$Q,15,0),""))</f>
        <v/>
      </c>
      <c r="T214" s="16" t="str">
        <f>IF(C214="","",IFERROR(VLOOKUP(C214,PO_Workflow!$A:$Q,8,0),""))</f>
        <v/>
      </c>
      <c r="U214" s="21" t="str">
        <f t="shared" si="7"/>
        <v/>
      </c>
      <c r="V214" t="str">
        <f t="shared" si="8"/>
        <v/>
      </c>
    </row>
    <row r="215" spans="1:22" ht="15" customHeight="1" x14ac:dyDescent="0.35">
      <c r="A215" s="22"/>
      <c r="B215" s="22"/>
      <c r="C215" s="23"/>
      <c r="D215" t="str">
        <f>IF(C215&lt;&gt;"",IFERROR(VLOOKUP(C215,PO_Workflow!$A:$Q,10,0),""),IF(E215="","","PO-"&amp;TEXT(ROW()-2,"0000")))</f>
        <v/>
      </c>
      <c r="E215" s="16" t="str">
        <f>IF(C215="","",IFERROR(VLOOKUP(C215,PO_Workflow!$A:$Q,3,0),""))</f>
        <v/>
      </c>
      <c r="F215" s="16" t="str">
        <f>IF(C215="","",IFERROR(VLOOKUP(C215,PO_Workflow!$A:$Q,3,0),""))</f>
        <v/>
      </c>
      <c r="G215" s="16" t="str">
        <f>IF(C215="","",IFERROR(VLOOKUP(C215,PO_Workflow!$A:$Q,16,0),""))</f>
        <v/>
      </c>
      <c r="H215" s="16" t="str">
        <f>IF(C215="","",IFERROR(VLOOKUP(C215,PO_Workflow!$A:$Q,5,0),""))</f>
        <v/>
      </c>
      <c r="I215" s="16" t="str">
        <f>IF(C215="","",IFERROR(VLOOKUP(C215,PO_Workflow!$A:$Q,6,0),""))</f>
        <v/>
      </c>
      <c r="J215" s="17" t="str">
        <f>IF(C215="","",IFERROR(VLOOKUP(C215,PO_Workflow!$A:$Q,11,0),""))</f>
        <v/>
      </c>
      <c r="K215" s="17" t="str">
        <f>IF(C215="","",IFERROR(VLOOKUP(C215,PO_Workflow!$A:$Q,12,0),""))</f>
        <v/>
      </c>
      <c r="L215" s="17" t="str">
        <f>IF(C215="","",IFERROR(VLOOKUP(C215,PO_Workflow!$A:$Q,13,0),""))</f>
        <v/>
      </c>
      <c r="M215" s="18" t="str">
        <f t="shared" si="6"/>
        <v/>
      </c>
      <c r="O215" s="19" t="str">
        <f>IF(C215="","",IFERROR(VLOOKUP(C215,PO_Workflow!$A:$Q,7,0),""))</f>
        <v/>
      </c>
      <c r="P215" s="19"/>
      <c r="Q215" s="16" t="str">
        <f>IF(C215="","",IFERROR(VLOOKUP(C215,PO_Workflow!$A:$Q,14,0),""))</f>
        <v/>
      </c>
      <c r="R215" s="20" t="str">
        <f>IF(C215="","",IFERROR(VLOOKUP(C215,PO_Workflow!$A:$Q,15,0),""))</f>
        <v/>
      </c>
      <c r="T215" s="16" t="str">
        <f>IF(C215="","",IFERROR(VLOOKUP(C215,PO_Workflow!$A:$Q,8,0),""))</f>
        <v/>
      </c>
      <c r="U215" s="21" t="str">
        <f t="shared" si="7"/>
        <v/>
      </c>
      <c r="V215" t="str">
        <f t="shared" si="8"/>
        <v/>
      </c>
    </row>
    <row r="216" spans="1:22" ht="15" customHeight="1" x14ac:dyDescent="0.35">
      <c r="A216" s="22"/>
      <c r="B216" s="22"/>
      <c r="C216" s="23"/>
      <c r="D216" t="str">
        <f>IF(C216&lt;&gt;"",IFERROR(VLOOKUP(C216,PO_Workflow!$A:$Q,10,0),""),IF(E216="","","PO-"&amp;TEXT(ROW()-2,"0000")))</f>
        <v/>
      </c>
      <c r="E216" s="16" t="str">
        <f>IF(C216="","",IFERROR(VLOOKUP(C216,PO_Workflow!$A:$Q,3,0),""))</f>
        <v/>
      </c>
      <c r="F216" s="16" t="str">
        <f>IF(C216="","",IFERROR(VLOOKUP(C216,PO_Workflow!$A:$Q,3,0),""))</f>
        <v/>
      </c>
      <c r="G216" s="16" t="str">
        <f>IF(C216="","",IFERROR(VLOOKUP(C216,PO_Workflow!$A:$Q,16,0),""))</f>
        <v/>
      </c>
      <c r="H216" s="16" t="str">
        <f>IF(C216="","",IFERROR(VLOOKUP(C216,PO_Workflow!$A:$Q,5,0),""))</f>
        <v/>
      </c>
      <c r="I216" s="16" t="str">
        <f>IF(C216="","",IFERROR(VLOOKUP(C216,PO_Workflow!$A:$Q,6,0),""))</f>
        <v/>
      </c>
      <c r="J216" s="17" t="str">
        <f>IF(C216="","",IFERROR(VLOOKUP(C216,PO_Workflow!$A:$Q,11,0),""))</f>
        <v/>
      </c>
      <c r="K216" s="17" t="str">
        <f>IF(C216="","",IFERROR(VLOOKUP(C216,PO_Workflow!$A:$Q,12,0),""))</f>
        <v/>
      </c>
      <c r="L216" s="17" t="str">
        <f>IF(C216="","",IFERROR(VLOOKUP(C216,PO_Workflow!$A:$Q,13,0),""))</f>
        <v/>
      </c>
      <c r="M216" s="18" t="str">
        <f t="shared" si="6"/>
        <v/>
      </c>
      <c r="O216" s="19" t="str">
        <f>IF(C216="","",IFERROR(VLOOKUP(C216,PO_Workflow!$A:$Q,7,0),""))</f>
        <v/>
      </c>
      <c r="P216" s="19"/>
      <c r="Q216" s="16" t="str">
        <f>IF(C216="","",IFERROR(VLOOKUP(C216,PO_Workflow!$A:$Q,14,0),""))</f>
        <v/>
      </c>
      <c r="R216" s="20" t="str">
        <f>IF(C216="","",IFERROR(VLOOKUP(C216,PO_Workflow!$A:$Q,15,0),""))</f>
        <v/>
      </c>
      <c r="T216" s="16" t="str">
        <f>IF(C216="","",IFERROR(VLOOKUP(C216,PO_Workflow!$A:$Q,8,0),""))</f>
        <v/>
      </c>
      <c r="U216" s="21" t="str">
        <f t="shared" si="7"/>
        <v/>
      </c>
      <c r="V216" t="str">
        <f t="shared" si="8"/>
        <v/>
      </c>
    </row>
    <row r="217" spans="1:22" ht="15" customHeight="1" x14ac:dyDescent="0.35">
      <c r="A217" s="22"/>
      <c r="B217" s="22"/>
      <c r="C217" s="23"/>
      <c r="D217" t="str">
        <f>IF(C217&lt;&gt;"",IFERROR(VLOOKUP(C217,PO_Workflow!$A:$Q,10,0),""),IF(E217="","","PO-"&amp;TEXT(ROW()-2,"0000")))</f>
        <v/>
      </c>
      <c r="E217" s="16" t="str">
        <f>IF(C217="","",IFERROR(VLOOKUP(C217,PO_Workflow!$A:$Q,3,0),""))</f>
        <v/>
      </c>
      <c r="F217" s="16" t="str">
        <f>IF(C217="","",IFERROR(VLOOKUP(C217,PO_Workflow!$A:$Q,3,0),""))</f>
        <v/>
      </c>
      <c r="G217" s="16" t="str">
        <f>IF(C217="","",IFERROR(VLOOKUP(C217,PO_Workflow!$A:$Q,16,0),""))</f>
        <v/>
      </c>
      <c r="H217" s="16" t="str">
        <f>IF(C217="","",IFERROR(VLOOKUP(C217,PO_Workflow!$A:$Q,5,0),""))</f>
        <v/>
      </c>
      <c r="I217" s="16" t="str">
        <f>IF(C217="","",IFERROR(VLOOKUP(C217,PO_Workflow!$A:$Q,6,0),""))</f>
        <v/>
      </c>
      <c r="J217" s="17" t="str">
        <f>IF(C217="","",IFERROR(VLOOKUP(C217,PO_Workflow!$A:$Q,11,0),""))</f>
        <v/>
      </c>
      <c r="K217" s="17" t="str">
        <f>IF(C217="","",IFERROR(VLOOKUP(C217,PO_Workflow!$A:$Q,12,0),""))</f>
        <v/>
      </c>
      <c r="L217" s="17" t="str">
        <f>IF(C217="","",IFERROR(VLOOKUP(C217,PO_Workflow!$A:$Q,13,0),""))</f>
        <v/>
      </c>
      <c r="M217" s="18" t="str">
        <f t="shared" ref="M217:M280" si="9">IF(OR(K217="",L217=""),"",((YEAR(L217)-YEAR(K217))*12)+MONTH(L217)-MONTH(K217)+1)</f>
        <v/>
      </c>
      <c r="O217" s="19" t="str">
        <f>IF(C217="","",IFERROR(VLOOKUP(C217,PO_Workflow!$A:$Q,7,0),""))</f>
        <v/>
      </c>
      <c r="P217" s="19"/>
      <c r="Q217" s="16" t="str">
        <f>IF(C217="","",IFERROR(VLOOKUP(C217,PO_Workflow!$A:$Q,14,0),""))</f>
        <v/>
      </c>
      <c r="R217" s="20" t="str">
        <f>IF(C217="","",IFERROR(VLOOKUP(C217,PO_Workflow!$A:$Q,15,0),""))</f>
        <v/>
      </c>
      <c r="T217" s="16" t="str">
        <f>IF(C217="","",IFERROR(VLOOKUP(C217,PO_Workflow!$A:$Q,8,0),""))</f>
        <v/>
      </c>
      <c r="U217" s="21" t="str">
        <f t="shared" ref="U217:U280" si="10">IF(C217="","","Ref: "&amp;C217)</f>
        <v/>
      </c>
      <c r="V217" t="str">
        <f t="shared" ref="V217:V280" si="11">IF(AND(C217="",E217=""),"",IF(OR(F217="",G217="",H217="",O217="",Q217=""),"Pending Validation",IF(AND(F217&lt;&gt;"",G217&lt;&gt;"",O217&gt;0),"Validated","Mismatch")))</f>
        <v/>
      </c>
    </row>
    <row r="218" spans="1:22" ht="15" customHeight="1" x14ac:dyDescent="0.35">
      <c r="A218" s="22"/>
      <c r="B218" s="22"/>
      <c r="C218" s="23"/>
      <c r="D218" t="str">
        <f>IF(C218&lt;&gt;"",IFERROR(VLOOKUP(C218,PO_Workflow!$A:$Q,10,0),""),IF(E218="","","PO-"&amp;TEXT(ROW()-2,"0000")))</f>
        <v/>
      </c>
      <c r="E218" s="16" t="str">
        <f>IF(C218="","",IFERROR(VLOOKUP(C218,PO_Workflow!$A:$Q,3,0),""))</f>
        <v/>
      </c>
      <c r="F218" s="16" t="str">
        <f>IF(C218="","",IFERROR(VLOOKUP(C218,PO_Workflow!$A:$Q,3,0),""))</f>
        <v/>
      </c>
      <c r="G218" s="16" t="str">
        <f>IF(C218="","",IFERROR(VLOOKUP(C218,PO_Workflow!$A:$Q,16,0),""))</f>
        <v/>
      </c>
      <c r="H218" s="16" t="str">
        <f>IF(C218="","",IFERROR(VLOOKUP(C218,PO_Workflow!$A:$Q,5,0),""))</f>
        <v/>
      </c>
      <c r="I218" s="16" t="str">
        <f>IF(C218="","",IFERROR(VLOOKUP(C218,PO_Workflow!$A:$Q,6,0),""))</f>
        <v/>
      </c>
      <c r="J218" s="17" t="str">
        <f>IF(C218="","",IFERROR(VLOOKUP(C218,PO_Workflow!$A:$Q,11,0),""))</f>
        <v/>
      </c>
      <c r="K218" s="17" t="str">
        <f>IF(C218="","",IFERROR(VLOOKUP(C218,PO_Workflow!$A:$Q,12,0),""))</f>
        <v/>
      </c>
      <c r="L218" s="17" t="str">
        <f>IF(C218="","",IFERROR(VLOOKUP(C218,PO_Workflow!$A:$Q,13,0),""))</f>
        <v/>
      </c>
      <c r="M218" s="18" t="str">
        <f t="shared" si="9"/>
        <v/>
      </c>
      <c r="O218" s="19" t="str">
        <f>IF(C218="","",IFERROR(VLOOKUP(C218,PO_Workflow!$A:$Q,7,0),""))</f>
        <v/>
      </c>
      <c r="P218" s="19"/>
      <c r="Q218" s="16" t="str">
        <f>IF(C218="","",IFERROR(VLOOKUP(C218,PO_Workflow!$A:$Q,14,0),""))</f>
        <v/>
      </c>
      <c r="R218" s="20" t="str">
        <f>IF(C218="","",IFERROR(VLOOKUP(C218,PO_Workflow!$A:$Q,15,0),""))</f>
        <v/>
      </c>
      <c r="T218" s="16" t="str">
        <f>IF(C218="","",IFERROR(VLOOKUP(C218,PO_Workflow!$A:$Q,8,0),""))</f>
        <v/>
      </c>
      <c r="U218" s="21" t="str">
        <f t="shared" si="10"/>
        <v/>
      </c>
      <c r="V218" t="str">
        <f t="shared" si="11"/>
        <v/>
      </c>
    </row>
    <row r="219" spans="1:22" ht="15" customHeight="1" x14ac:dyDescent="0.35">
      <c r="A219" s="22"/>
      <c r="B219" s="22"/>
      <c r="C219" s="23"/>
      <c r="D219" t="str">
        <f>IF(C219&lt;&gt;"",IFERROR(VLOOKUP(C219,PO_Workflow!$A:$Q,10,0),""),IF(E219="","","PO-"&amp;TEXT(ROW()-2,"0000")))</f>
        <v/>
      </c>
      <c r="E219" s="16" t="str">
        <f>IF(C219="","",IFERROR(VLOOKUP(C219,PO_Workflow!$A:$Q,3,0),""))</f>
        <v/>
      </c>
      <c r="F219" s="16" t="str">
        <f>IF(C219="","",IFERROR(VLOOKUP(C219,PO_Workflow!$A:$Q,3,0),""))</f>
        <v/>
      </c>
      <c r="G219" s="16" t="str">
        <f>IF(C219="","",IFERROR(VLOOKUP(C219,PO_Workflow!$A:$Q,16,0),""))</f>
        <v/>
      </c>
      <c r="H219" s="16" t="str">
        <f>IF(C219="","",IFERROR(VLOOKUP(C219,PO_Workflow!$A:$Q,5,0),""))</f>
        <v/>
      </c>
      <c r="I219" s="16" t="str">
        <f>IF(C219="","",IFERROR(VLOOKUP(C219,PO_Workflow!$A:$Q,6,0),""))</f>
        <v/>
      </c>
      <c r="J219" s="17" t="str">
        <f>IF(C219="","",IFERROR(VLOOKUP(C219,PO_Workflow!$A:$Q,11,0),""))</f>
        <v/>
      </c>
      <c r="K219" s="17" t="str">
        <f>IF(C219="","",IFERROR(VLOOKUP(C219,PO_Workflow!$A:$Q,12,0),""))</f>
        <v/>
      </c>
      <c r="L219" s="17" t="str">
        <f>IF(C219="","",IFERROR(VLOOKUP(C219,PO_Workflow!$A:$Q,13,0),""))</f>
        <v/>
      </c>
      <c r="M219" s="18" t="str">
        <f t="shared" si="9"/>
        <v/>
      </c>
      <c r="O219" s="19" t="str">
        <f>IF(C219="","",IFERROR(VLOOKUP(C219,PO_Workflow!$A:$Q,7,0),""))</f>
        <v/>
      </c>
      <c r="P219" s="19"/>
      <c r="Q219" s="16" t="str">
        <f>IF(C219="","",IFERROR(VLOOKUP(C219,PO_Workflow!$A:$Q,14,0),""))</f>
        <v/>
      </c>
      <c r="R219" s="20" t="str">
        <f>IF(C219="","",IFERROR(VLOOKUP(C219,PO_Workflow!$A:$Q,15,0),""))</f>
        <v/>
      </c>
      <c r="T219" s="16" t="str">
        <f>IF(C219="","",IFERROR(VLOOKUP(C219,PO_Workflow!$A:$Q,8,0),""))</f>
        <v/>
      </c>
      <c r="U219" s="21" t="str">
        <f t="shared" si="10"/>
        <v/>
      </c>
      <c r="V219" t="str">
        <f t="shared" si="11"/>
        <v/>
      </c>
    </row>
    <row r="220" spans="1:22" ht="15" customHeight="1" x14ac:dyDescent="0.35">
      <c r="A220" s="22"/>
      <c r="B220" s="22"/>
      <c r="C220" s="23"/>
      <c r="D220" t="str">
        <f>IF(C220&lt;&gt;"",IFERROR(VLOOKUP(C220,PO_Workflow!$A:$Q,10,0),""),IF(E220="","","PO-"&amp;TEXT(ROW()-2,"0000")))</f>
        <v/>
      </c>
      <c r="E220" s="16" t="str">
        <f>IF(C220="","",IFERROR(VLOOKUP(C220,PO_Workflow!$A:$Q,3,0),""))</f>
        <v/>
      </c>
      <c r="F220" s="16" t="str">
        <f>IF(C220="","",IFERROR(VLOOKUP(C220,PO_Workflow!$A:$Q,3,0),""))</f>
        <v/>
      </c>
      <c r="G220" s="16" t="str">
        <f>IF(C220="","",IFERROR(VLOOKUP(C220,PO_Workflow!$A:$Q,16,0),""))</f>
        <v/>
      </c>
      <c r="H220" s="16" t="str">
        <f>IF(C220="","",IFERROR(VLOOKUP(C220,PO_Workflow!$A:$Q,5,0),""))</f>
        <v/>
      </c>
      <c r="I220" s="16" t="str">
        <f>IF(C220="","",IFERROR(VLOOKUP(C220,PO_Workflow!$A:$Q,6,0),""))</f>
        <v/>
      </c>
      <c r="J220" s="17" t="str">
        <f>IF(C220="","",IFERROR(VLOOKUP(C220,PO_Workflow!$A:$Q,11,0),""))</f>
        <v/>
      </c>
      <c r="K220" s="17" t="str">
        <f>IF(C220="","",IFERROR(VLOOKUP(C220,PO_Workflow!$A:$Q,12,0),""))</f>
        <v/>
      </c>
      <c r="L220" s="17" t="str">
        <f>IF(C220="","",IFERROR(VLOOKUP(C220,PO_Workflow!$A:$Q,13,0),""))</f>
        <v/>
      </c>
      <c r="M220" s="18" t="str">
        <f t="shared" si="9"/>
        <v/>
      </c>
      <c r="O220" s="19" t="str">
        <f>IF(C220="","",IFERROR(VLOOKUP(C220,PO_Workflow!$A:$Q,7,0),""))</f>
        <v/>
      </c>
      <c r="P220" s="19"/>
      <c r="Q220" s="16" t="str">
        <f>IF(C220="","",IFERROR(VLOOKUP(C220,PO_Workflow!$A:$Q,14,0),""))</f>
        <v/>
      </c>
      <c r="R220" s="20" t="str">
        <f>IF(C220="","",IFERROR(VLOOKUP(C220,PO_Workflow!$A:$Q,15,0),""))</f>
        <v/>
      </c>
      <c r="T220" s="16" t="str">
        <f>IF(C220="","",IFERROR(VLOOKUP(C220,PO_Workflow!$A:$Q,8,0),""))</f>
        <v/>
      </c>
      <c r="U220" s="21" t="str">
        <f t="shared" si="10"/>
        <v/>
      </c>
      <c r="V220" t="str">
        <f t="shared" si="11"/>
        <v/>
      </c>
    </row>
    <row r="221" spans="1:22" ht="15" customHeight="1" x14ac:dyDescent="0.35">
      <c r="A221" s="22"/>
      <c r="B221" s="22"/>
      <c r="C221" s="23"/>
      <c r="D221" t="str">
        <f>IF(C221&lt;&gt;"",IFERROR(VLOOKUP(C221,PO_Workflow!$A:$Q,10,0),""),IF(E221="","","PO-"&amp;TEXT(ROW()-2,"0000")))</f>
        <v/>
      </c>
      <c r="E221" s="16" t="str">
        <f>IF(C221="","",IFERROR(VLOOKUP(C221,PO_Workflow!$A:$Q,3,0),""))</f>
        <v/>
      </c>
      <c r="F221" s="16" t="str">
        <f>IF(C221="","",IFERROR(VLOOKUP(C221,PO_Workflow!$A:$Q,3,0),""))</f>
        <v/>
      </c>
      <c r="G221" s="16" t="str">
        <f>IF(C221="","",IFERROR(VLOOKUP(C221,PO_Workflow!$A:$Q,16,0),""))</f>
        <v/>
      </c>
      <c r="H221" s="16" t="str">
        <f>IF(C221="","",IFERROR(VLOOKUP(C221,PO_Workflow!$A:$Q,5,0),""))</f>
        <v/>
      </c>
      <c r="I221" s="16" t="str">
        <f>IF(C221="","",IFERROR(VLOOKUP(C221,PO_Workflow!$A:$Q,6,0),""))</f>
        <v/>
      </c>
      <c r="J221" s="17" t="str">
        <f>IF(C221="","",IFERROR(VLOOKUP(C221,PO_Workflow!$A:$Q,11,0),""))</f>
        <v/>
      </c>
      <c r="K221" s="17" t="str">
        <f>IF(C221="","",IFERROR(VLOOKUP(C221,PO_Workflow!$A:$Q,12,0),""))</f>
        <v/>
      </c>
      <c r="L221" s="17" t="str">
        <f>IF(C221="","",IFERROR(VLOOKUP(C221,PO_Workflow!$A:$Q,13,0),""))</f>
        <v/>
      </c>
      <c r="M221" s="18" t="str">
        <f t="shared" si="9"/>
        <v/>
      </c>
      <c r="O221" s="19" t="str">
        <f>IF(C221="","",IFERROR(VLOOKUP(C221,PO_Workflow!$A:$Q,7,0),""))</f>
        <v/>
      </c>
      <c r="P221" s="19"/>
      <c r="Q221" s="16" t="str">
        <f>IF(C221="","",IFERROR(VLOOKUP(C221,PO_Workflow!$A:$Q,14,0),""))</f>
        <v/>
      </c>
      <c r="R221" s="20" t="str">
        <f>IF(C221="","",IFERROR(VLOOKUP(C221,PO_Workflow!$A:$Q,15,0),""))</f>
        <v/>
      </c>
      <c r="T221" s="16" t="str">
        <f>IF(C221="","",IFERROR(VLOOKUP(C221,PO_Workflow!$A:$Q,8,0),""))</f>
        <v/>
      </c>
      <c r="U221" s="21" t="str">
        <f t="shared" si="10"/>
        <v/>
      </c>
      <c r="V221" t="str">
        <f t="shared" si="11"/>
        <v/>
      </c>
    </row>
    <row r="222" spans="1:22" ht="15" customHeight="1" x14ac:dyDescent="0.35">
      <c r="A222" s="22"/>
      <c r="B222" s="22"/>
      <c r="C222" s="23"/>
      <c r="D222" t="str">
        <f>IF(C222&lt;&gt;"",IFERROR(VLOOKUP(C222,PO_Workflow!$A:$Q,10,0),""),IF(E222="","","PO-"&amp;TEXT(ROW()-2,"0000")))</f>
        <v/>
      </c>
      <c r="E222" s="16" t="str">
        <f>IF(C222="","",IFERROR(VLOOKUP(C222,PO_Workflow!$A:$Q,3,0),""))</f>
        <v/>
      </c>
      <c r="F222" s="16" t="str">
        <f>IF(C222="","",IFERROR(VLOOKUP(C222,PO_Workflow!$A:$Q,3,0),""))</f>
        <v/>
      </c>
      <c r="G222" s="16" t="str">
        <f>IF(C222="","",IFERROR(VLOOKUP(C222,PO_Workflow!$A:$Q,16,0),""))</f>
        <v/>
      </c>
      <c r="H222" s="16" t="str">
        <f>IF(C222="","",IFERROR(VLOOKUP(C222,PO_Workflow!$A:$Q,5,0),""))</f>
        <v/>
      </c>
      <c r="I222" s="16" t="str">
        <f>IF(C222="","",IFERROR(VLOOKUP(C222,PO_Workflow!$A:$Q,6,0),""))</f>
        <v/>
      </c>
      <c r="J222" s="17" t="str">
        <f>IF(C222="","",IFERROR(VLOOKUP(C222,PO_Workflow!$A:$Q,11,0),""))</f>
        <v/>
      </c>
      <c r="K222" s="17" t="str">
        <f>IF(C222="","",IFERROR(VLOOKUP(C222,PO_Workflow!$A:$Q,12,0),""))</f>
        <v/>
      </c>
      <c r="L222" s="17" t="str">
        <f>IF(C222="","",IFERROR(VLOOKUP(C222,PO_Workflow!$A:$Q,13,0),""))</f>
        <v/>
      </c>
      <c r="M222" s="18" t="str">
        <f t="shared" si="9"/>
        <v/>
      </c>
      <c r="O222" s="19" t="str">
        <f>IF(C222="","",IFERROR(VLOOKUP(C222,PO_Workflow!$A:$Q,7,0),""))</f>
        <v/>
      </c>
      <c r="P222" s="19"/>
      <c r="Q222" s="16" t="str">
        <f>IF(C222="","",IFERROR(VLOOKUP(C222,PO_Workflow!$A:$Q,14,0),""))</f>
        <v/>
      </c>
      <c r="R222" s="20" t="str">
        <f>IF(C222="","",IFERROR(VLOOKUP(C222,PO_Workflow!$A:$Q,15,0),""))</f>
        <v/>
      </c>
      <c r="T222" s="16" t="str">
        <f>IF(C222="","",IFERROR(VLOOKUP(C222,PO_Workflow!$A:$Q,8,0),""))</f>
        <v/>
      </c>
      <c r="U222" s="21" t="str">
        <f t="shared" si="10"/>
        <v/>
      </c>
      <c r="V222" t="str">
        <f t="shared" si="11"/>
        <v/>
      </c>
    </row>
    <row r="223" spans="1:22" ht="15" customHeight="1" x14ac:dyDescent="0.35">
      <c r="A223" s="22"/>
      <c r="B223" s="22"/>
      <c r="C223" s="23"/>
      <c r="D223" t="str">
        <f>IF(C223&lt;&gt;"",IFERROR(VLOOKUP(C223,PO_Workflow!$A:$Q,10,0),""),IF(E223="","","PO-"&amp;TEXT(ROW()-2,"0000")))</f>
        <v/>
      </c>
      <c r="E223" s="16" t="str">
        <f>IF(C223="","",IFERROR(VLOOKUP(C223,PO_Workflow!$A:$Q,3,0),""))</f>
        <v/>
      </c>
      <c r="F223" s="16" t="str">
        <f>IF(C223="","",IFERROR(VLOOKUP(C223,PO_Workflow!$A:$Q,3,0),""))</f>
        <v/>
      </c>
      <c r="G223" s="16" t="str">
        <f>IF(C223="","",IFERROR(VLOOKUP(C223,PO_Workflow!$A:$Q,16,0),""))</f>
        <v/>
      </c>
      <c r="H223" s="16" t="str">
        <f>IF(C223="","",IFERROR(VLOOKUP(C223,PO_Workflow!$A:$Q,5,0),""))</f>
        <v/>
      </c>
      <c r="I223" s="16" t="str">
        <f>IF(C223="","",IFERROR(VLOOKUP(C223,PO_Workflow!$A:$Q,6,0),""))</f>
        <v/>
      </c>
      <c r="J223" s="17" t="str">
        <f>IF(C223="","",IFERROR(VLOOKUP(C223,PO_Workflow!$A:$Q,11,0),""))</f>
        <v/>
      </c>
      <c r="K223" s="17" t="str">
        <f>IF(C223="","",IFERROR(VLOOKUP(C223,PO_Workflow!$A:$Q,12,0),""))</f>
        <v/>
      </c>
      <c r="L223" s="17" t="str">
        <f>IF(C223="","",IFERROR(VLOOKUP(C223,PO_Workflow!$A:$Q,13,0),""))</f>
        <v/>
      </c>
      <c r="M223" s="18" t="str">
        <f t="shared" si="9"/>
        <v/>
      </c>
      <c r="O223" s="19" t="str">
        <f>IF(C223="","",IFERROR(VLOOKUP(C223,PO_Workflow!$A:$Q,7,0),""))</f>
        <v/>
      </c>
      <c r="P223" s="19"/>
      <c r="Q223" s="16" t="str">
        <f>IF(C223="","",IFERROR(VLOOKUP(C223,PO_Workflow!$A:$Q,14,0),""))</f>
        <v/>
      </c>
      <c r="R223" s="20" t="str">
        <f>IF(C223="","",IFERROR(VLOOKUP(C223,PO_Workflow!$A:$Q,15,0),""))</f>
        <v/>
      </c>
      <c r="T223" s="16" t="str">
        <f>IF(C223="","",IFERROR(VLOOKUP(C223,PO_Workflow!$A:$Q,8,0),""))</f>
        <v/>
      </c>
      <c r="U223" s="21" t="str">
        <f t="shared" si="10"/>
        <v/>
      </c>
      <c r="V223" t="str">
        <f t="shared" si="11"/>
        <v/>
      </c>
    </row>
    <row r="224" spans="1:22" ht="15" customHeight="1" x14ac:dyDescent="0.35">
      <c r="A224" s="22"/>
      <c r="B224" s="22"/>
      <c r="C224" s="23"/>
      <c r="D224" t="str">
        <f>IF(C224&lt;&gt;"",IFERROR(VLOOKUP(C224,PO_Workflow!$A:$Q,10,0),""),IF(E224="","","PO-"&amp;TEXT(ROW()-2,"0000")))</f>
        <v/>
      </c>
      <c r="E224" s="16" t="str">
        <f>IF(C224="","",IFERROR(VLOOKUP(C224,PO_Workflow!$A:$Q,3,0),""))</f>
        <v/>
      </c>
      <c r="F224" s="16" t="str">
        <f>IF(C224="","",IFERROR(VLOOKUP(C224,PO_Workflow!$A:$Q,3,0),""))</f>
        <v/>
      </c>
      <c r="G224" s="16" t="str">
        <f>IF(C224="","",IFERROR(VLOOKUP(C224,PO_Workflow!$A:$Q,16,0),""))</f>
        <v/>
      </c>
      <c r="H224" s="16" t="str">
        <f>IF(C224="","",IFERROR(VLOOKUP(C224,PO_Workflow!$A:$Q,5,0),""))</f>
        <v/>
      </c>
      <c r="I224" s="16" t="str">
        <f>IF(C224="","",IFERROR(VLOOKUP(C224,PO_Workflow!$A:$Q,6,0),""))</f>
        <v/>
      </c>
      <c r="J224" s="17" t="str">
        <f>IF(C224="","",IFERROR(VLOOKUP(C224,PO_Workflow!$A:$Q,11,0),""))</f>
        <v/>
      </c>
      <c r="K224" s="17" t="str">
        <f>IF(C224="","",IFERROR(VLOOKUP(C224,PO_Workflow!$A:$Q,12,0),""))</f>
        <v/>
      </c>
      <c r="L224" s="17" t="str">
        <f>IF(C224="","",IFERROR(VLOOKUP(C224,PO_Workflow!$A:$Q,13,0),""))</f>
        <v/>
      </c>
      <c r="M224" s="18" t="str">
        <f t="shared" si="9"/>
        <v/>
      </c>
      <c r="O224" s="19" t="str">
        <f>IF(C224="","",IFERROR(VLOOKUP(C224,PO_Workflow!$A:$Q,7,0),""))</f>
        <v/>
      </c>
      <c r="P224" s="19"/>
      <c r="Q224" s="16" t="str">
        <f>IF(C224="","",IFERROR(VLOOKUP(C224,PO_Workflow!$A:$Q,14,0),""))</f>
        <v/>
      </c>
      <c r="R224" s="20" t="str">
        <f>IF(C224="","",IFERROR(VLOOKUP(C224,PO_Workflow!$A:$Q,15,0),""))</f>
        <v/>
      </c>
      <c r="T224" s="16" t="str">
        <f>IF(C224="","",IFERROR(VLOOKUP(C224,PO_Workflow!$A:$Q,8,0),""))</f>
        <v/>
      </c>
      <c r="U224" s="21" t="str">
        <f t="shared" si="10"/>
        <v/>
      </c>
      <c r="V224" t="str">
        <f t="shared" si="11"/>
        <v/>
      </c>
    </row>
    <row r="225" spans="1:22" ht="15" customHeight="1" x14ac:dyDescent="0.35">
      <c r="A225" s="22"/>
      <c r="B225" s="22"/>
      <c r="C225" s="23"/>
      <c r="D225" t="str">
        <f>IF(C225&lt;&gt;"",IFERROR(VLOOKUP(C225,PO_Workflow!$A:$Q,10,0),""),IF(E225="","","PO-"&amp;TEXT(ROW()-2,"0000")))</f>
        <v/>
      </c>
      <c r="E225" s="16" t="str">
        <f>IF(C225="","",IFERROR(VLOOKUP(C225,PO_Workflow!$A:$Q,3,0),""))</f>
        <v/>
      </c>
      <c r="F225" s="16" t="str">
        <f>IF(C225="","",IFERROR(VLOOKUP(C225,PO_Workflow!$A:$Q,3,0),""))</f>
        <v/>
      </c>
      <c r="G225" s="16" t="str">
        <f>IF(C225="","",IFERROR(VLOOKUP(C225,PO_Workflow!$A:$Q,16,0),""))</f>
        <v/>
      </c>
      <c r="H225" s="16" t="str">
        <f>IF(C225="","",IFERROR(VLOOKUP(C225,PO_Workflow!$A:$Q,5,0),""))</f>
        <v/>
      </c>
      <c r="I225" s="16" t="str">
        <f>IF(C225="","",IFERROR(VLOOKUP(C225,PO_Workflow!$A:$Q,6,0),""))</f>
        <v/>
      </c>
      <c r="J225" s="17" t="str">
        <f>IF(C225="","",IFERROR(VLOOKUP(C225,PO_Workflow!$A:$Q,11,0),""))</f>
        <v/>
      </c>
      <c r="K225" s="17" t="str">
        <f>IF(C225="","",IFERROR(VLOOKUP(C225,PO_Workflow!$A:$Q,12,0),""))</f>
        <v/>
      </c>
      <c r="L225" s="17" t="str">
        <f>IF(C225="","",IFERROR(VLOOKUP(C225,PO_Workflow!$A:$Q,13,0),""))</f>
        <v/>
      </c>
      <c r="M225" s="18" t="str">
        <f t="shared" si="9"/>
        <v/>
      </c>
      <c r="O225" s="19" t="str">
        <f>IF(C225="","",IFERROR(VLOOKUP(C225,PO_Workflow!$A:$Q,7,0),""))</f>
        <v/>
      </c>
      <c r="P225" s="19"/>
      <c r="Q225" s="16" t="str">
        <f>IF(C225="","",IFERROR(VLOOKUP(C225,PO_Workflow!$A:$Q,14,0),""))</f>
        <v/>
      </c>
      <c r="R225" s="20" t="str">
        <f>IF(C225="","",IFERROR(VLOOKUP(C225,PO_Workflow!$A:$Q,15,0),""))</f>
        <v/>
      </c>
      <c r="T225" s="16" t="str">
        <f>IF(C225="","",IFERROR(VLOOKUP(C225,PO_Workflow!$A:$Q,8,0),""))</f>
        <v/>
      </c>
      <c r="U225" s="21" t="str">
        <f t="shared" si="10"/>
        <v/>
      </c>
      <c r="V225" t="str">
        <f t="shared" si="11"/>
        <v/>
      </c>
    </row>
    <row r="226" spans="1:22" ht="15" customHeight="1" x14ac:dyDescent="0.35">
      <c r="A226" s="22"/>
      <c r="B226" s="22"/>
      <c r="C226" s="23"/>
      <c r="D226" t="str">
        <f>IF(C226&lt;&gt;"",IFERROR(VLOOKUP(C226,PO_Workflow!$A:$Q,10,0),""),IF(E226="","","PO-"&amp;TEXT(ROW()-2,"0000")))</f>
        <v/>
      </c>
      <c r="E226" s="16" t="str">
        <f>IF(C226="","",IFERROR(VLOOKUP(C226,PO_Workflow!$A:$Q,3,0),""))</f>
        <v/>
      </c>
      <c r="F226" s="16" t="str">
        <f>IF(C226="","",IFERROR(VLOOKUP(C226,PO_Workflow!$A:$Q,3,0),""))</f>
        <v/>
      </c>
      <c r="G226" s="16" t="str">
        <f>IF(C226="","",IFERROR(VLOOKUP(C226,PO_Workflow!$A:$Q,16,0),""))</f>
        <v/>
      </c>
      <c r="H226" s="16" t="str">
        <f>IF(C226="","",IFERROR(VLOOKUP(C226,PO_Workflow!$A:$Q,5,0),""))</f>
        <v/>
      </c>
      <c r="I226" s="16" t="str">
        <f>IF(C226="","",IFERROR(VLOOKUP(C226,PO_Workflow!$A:$Q,6,0),""))</f>
        <v/>
      </c>
      <c r="J226" s="17" t="str">
        <f>IF(C226="","",IFERROR(VLOOKUP(C226,PO_Workflow!$A:$Q,11,0),""))</f>
        <v/>
      </c>
      <c r="K226" s="17" t="str">
        <f>IF(C226="","",IFERROR(VLOOKUP(C226,PO_Workflow!$A:$Q,12,0),""))</f>
        <v/>
      </c>
      <c r="L226" s="17" t="str">
        <f>IF(C226="","",IFERROR(VLOOKUP(C226,PO_Workflow!$A:$Q,13,0),""))</f>
        <v/>
      </c>
      <c r="M226" s="18" t="str">
        <f t="shared" si="9"/>
        <v/>
      </c>
      <c r="O226" s="19" t="str">
        <f>IF(C226="","",IFERROR(VLOOKUP(C226,PO_Workflow!$A:$Q,7,0),""))</f>
        <v/>
      </c>
      <c r="P226" s="19"/>
      <c r="Q226" s="16" t="str">
        <f>IF(C226="","",IFERROR(VLOOKUP(C226,PO_Workflow!$A:$Q,14,0),""))</f>
        <v/>
      </c>
      <c r="R226" s="20" t="str">
        <f>IF(C226="","",IFERROR(VLOOKUP(C226,PO_Workflow!$A:$Q,15,0),""))</f>
        <v/>
      </c>
      <c r="T226" s="16" t="str">
        <f>IF(C226="","",IFERROR(VLOOKUP(C226,PO_Workflow!$A:$Q,8,0),""))</f>
        <v/>
      </c>
      <c r="U226" s="21" t="str">
        <f t="shared" si="10"/>
        <v/>
      </c>
      <c r="V226" t="str">
        <f t="shared" si="11"/>
        <v/>
      </c>
    </row>
    <row r="227" spans="1:22" ht="15" customHeight="1" x14ac:dyDescent="0.35">
      <c r="A227" s="22"/>
      <c r="B227" s="22"/>
      <c r="C227" s="23"/>
      <c r="D227" t="str">
        <f>IF(C227&lt;&gt;"",IFERROR(VLOOKUP(C227,PO_Workflow!$A:$Q,10,0),""),IF(E227="","","PO-"&amp;TEXT(ROW()-2,"0000")))</f>
        <v/>
      </c>
      <c r="E227" s="16" t="str">
        <f>IF(C227="","",IFERROR(VLOOKUP(C227,PO_Workflow!$A:$Q,3,0),""))</f>
        <v/>
      </c>
      <c r="F227" s="16" t="str">
        <f>IF(C227="","",IFERROR(VLOOKUP(C227,PO_Workflow!$A:$Q,3,0),""))</f>
        <v/>
      </c>
      <c r="G227" s="16" t="str">
        <f>IF(C227="","",IFERROR(VLOOKUP(C227,PO_Workflow!$A:$Q,16,0),""))</f>
        <v/>
      </c>
      <c r="H227" s="16" t="str">
        <f>IF(C227="","",IFERROR(VLOOKUP(C227,PO_Workflow!$A:$Q,5,0),""))</f>
        <v/>
      </c>
      <c r="I227" s="16" t="str">
        <f>IF(C227="","",IFERROR(VLOOKUP(C227,PO_Workflow!$A:$Q,6,0),""))</f>
        <v/>
      </c>
      <c r="J227" s="17" t="str">
        <f>IF(C227="","",IFERROR(VLOOKUP(C227,PO_Workflow!$A:$Q,11,0),""))</f>
        <v/>
      </c>
      <c r="K227" s="17" t="str">
        <f>IF(C227="","",IFERROR(VLOOKUP(C227,PO_Workflow!$A:$Q,12,0),""))</f>
        <v/>
      </c>
      <c r="L227" s="17" t="str">
        <f>IF(C227="","",IFERROR(VLOOKUP(C227,PO_Workflow!$A:$Q,13,0),""))</f>
        <v/>
      </c>
      <c r="M227" s="18" t="str">
        <f t="shared" si="9"/>
        <v/>
      </c>
      <c r="O227" s="19" t="str">
        <f>IF(C227="","",IFERROR(VLOOKUP(C227,PO_Workflow!$A:$Q,7,0),""))</f>
        <v/>
      </c>
      <c r="P227" s="19"/>
      <c r="Q227" s="16" t="str">
        <f>IF(C227="","",IFERROR(VLOOKUP(C227,PO_Workflow!$A:$Q,14,0),""))</f>
        <v/>
      </c>
      <c r="R227" s="20" t="str">
        <f>IF(C227="","",IFERROR(VLOOKUP(C227,PO_Workflow!$A:$Q,15,0),""))</f>
        <v/>
      </c>
      <c r="T227" s="16" t="str">
        <f>IF(C227="","",IFERROR(VLOOKUP(C227,PO_Workflow!$A:$Q,8,0),""))</f>
        <v/>
      </c>
      <c r="U227" s="21" t="str">
        <f t="shared" si="10"/>
        <v/>
      </c>
      <c r="V227" t="str">
        <f t="shared" si="11"/>
        <v/>
      </c>
    </row>
    <row r="228" spans="1:22" ht="15" customHeight="1" x14ac:dyDescent="0.35">
      <c r="A228" s="22"/>
      <c r="B228" s="22"/>
      <c r="C228" s="23"/>
      <c r="D228" t="str">
        <f>IF(C228&lt;&gt;"",IFERROR(VLOOKUP(C228,PO_Workflow!$A:$Q,10,0),""),IF(E228="","","PO-"&amp;TEXT(ROW()-2,"0000")))</f>
        <v/>
      </c>
      <c r="E228" s="16" t="str">
        <f>IF(C228="","",IFERROR(VLOOKUP(C228,PO_Workflow!$A:$Q,3,0),""))</f>
        <v/>
      </c>
      <c r="F228" s="16" t="str">
        <f>IF(C228="","",IFERROR(VLOOKUP(C228,PO_Workflow!$A:$Q,3,0),""))</f>
        <v/>
      </c>
      <c r="G228" s="16" t="str">
        <f>IF(C228="","",IFERROR(VLOOKUP(C228,PO_Workflow!$A:$Q,16,0),""))</f>
        <v/>
      </c>
      <c r="H228" s="16" t="str">
        <f>IF(C228="","",IFERROR(VLOOKUP(C228,PO_Workflow!$A:$Q,5,0),""))</f>
        <v/>
      </c>
      <c r="I228" s="16" t="str">
        <f>IF(C228="","",IFERROR(VLOOKUP(C228,PO_Workflow!$A:$Q,6,0),""))</f>
        <v/>
      </c>
      <c r="J228" s="17" t="str">
        <f>IF(C228="","",IFERROR(VLOOKUP(C228,PO_Workflow!$A:$Q,11,0),""))</f>
        <v/>
      </c>
      <c r="K228" s="17" t="str">
        <f>IF(C228="","",IFERROR(VLOOKUP(C228,PO_Workflow!$A:$Q,12,0),""))</f>
        <v/>
      </c>
      <c r="L228" s="17" t="str">
        <f>IF(C228="","",IFERROR(VLOOKUP(C228,PO_Workflow!$A:$Q,13,0),""))</f>
        <v/>
      </c>
      <c r="M228" s="18" t="str">
        <f t="shared" si="9"/>
        <v/>
      </c>
      <c r="O228" s="19" t="str">
        <f>IF(C228="","",IFERROR(VLOOKUP(C228,PO_Workflow!$A:$Q,7,0),""))</f>
        <v/>
      </c>
      <c r="P228" s="19"/>
      <c r="Q228" s="16" t="str">
        <f>IF(C228="","",IFERROR(VLOOKUP(C228,PO_Workflow!$A:$Q,14,0),""))</f>
        <v/>
      </c>
      <c r="R228" s="20" t="str">
        <f>IF(C228="","",IFERROR(VLOOKUP(C228,PO_Workflow!$A:$Q,15,0),""))</f>
        <v/>
      </c>
      <c r="T228" s="16" t="str">
        <f>IF(C228="","",IFERROR(VLOOKUP(C228,PO_Workflow!$A:$Q,8,0),""))</f>
        <v/>
      </c>
      <c r="U228" s="21" t="str">
        <f t="shared" si="10"/>
        <v/>
      </c>
      <c r="V228" t="str">
        <f t="shared" si="11"/>
        <v/>
      </c>
    </row>
    <row r="229" spans="1:22" ht="15" customHeight="1" x14ac:dyDescent="0.35">
      <c r="A229" s="22"/>
      <c r="B229" s="22"/>
      <c r="C229" s="23"/>
      <c r="D229" t="str">
        <f>IF(C229&lt;&gt;"",IFERROR(VLOOKUP(C229,PO_Workflow!$A:$Q,10,0),""),IF(E229="","","PO-"&amp;TEXT(ROW()-2,"0000")))</f>
        <v/>
      </c>
      <c r="E229" s="16" t="str">
        <f>IF(C229="","",IFERROR(VLOOKUP(C229,PO_Workflow!$A:$Q,3,0),""))</f>
        <v/>
      </c>
      <c r="F229" s="16" t="str">
        <f>IF(C229="","",IFERROR(VLOOKUP(C229,PO_Workflow!$A:$Q,3,0),""))</f>
        <v/>
      </c>
      <c r="G229" s="16" t="str">
        <f>IF(C229="","",IFERROR(VLOOKUP(C229,PO_Workflow!$A:$Q,16,0),""))</f>
        <v/>
      </c>
      <c r="H229" s="16" t="str">
        <f>IF(C229="","",IFERROR(VLOOKUP(C229,PO_Workflow!$A:$Q,5,0),""))</f>
        <v/>
      </c>
      <c r="I229" s="16" t="str">
        <f>IF(C229="","",IFERROR(VLOOKUP(C229,PO_Workflow!$A:$Q,6,0),""))</f>
        <v/>
      </c>
      <c r="J229" s="17" t="str">
        <f>IF(C229="","",IFERROR(VLOOKUP(C229,PO_Workflow!$A:$Q,11,0),""))</f>
        <v/>
      </c>
      <c r="K229" s="17" t="str">
        <f>IF(C229="","",IFERROR(VLOOKUP(C229,PO_Workflow!$A:$Q,12,0),""))</f>
        <v/>
      </c>
      <c r="L229" s="17" t="str">
        <f>IF(C229="","",IFERROR(VLOOKUP(C229,PO_Workflow!$A:$Q,13,0),""))</f>
        <v/>
      </c>
      <c r="M229" s="18" t="str">
        <f t="shared" si="9"/>
        <v/>
      </c>
      <c r="O229" s="19" t="str">
        <f>IF(C229="","",IFERROR(VLOOKUP(C229,PO_Workflow!$A:$Q,7,0),""))</f>
        <v/>
      </c>
      <c r="P229" s="19"/>
      <c r="Q229" s="16" t="str">
        <f>IF(C229="","",IFERROR(VLOOKUP(C229,PO_Workflow!$A:$Q,14,0),""))</f>
        <v/>
      </c>
      <c r="R229" s="20" t="str">
        <f>IF(C229="","",IFERROR(VLOOKUP(C229,PO_Workflow!$A:$Q,15,0),""))</f>
        <v/>
      </c>
      <c r="T229" s="16" t="str">
        <f>IF(C229="","",IFERROR(VLOOKUP(C229,PO_Workflow!$A:$Q,8,0),""))</f>
        <v/>
      </c>
      <c r="U229" s="21" t="str">
        <f t="shared" si="10"/>
        <v/>
      </c>
      <c r="V229" t="str">
        <f t="shared" si="11"/>
        <v/>
      </c>
    </row>
    <row r="230" spans="1:22" ht="15" customHeight="1" x14ac:dyDescent="0.35">
      <c r="A230" s="22"/>
      <c r="B230" s="22"/>
      <c r="C230" s="23"/>
      <c r="D230" t="str">
        <f>IF(C230&lt;&gt;"",IFERROR(VLOOKUP(C230,PO_Workflow!$A:$Q,10,0),""),IF(E230="","","PO-"&amp;TEXT(ROW()-2,"0000")))</f>
        <v/>
      </c>
      <c r="E230" s="16" t="str">
        <f>IF(C230="","",IFERROR(VLOOKUP(C230,PO_Workflow!$A:$Q,3,0),""))</f>
        <v/>
      </c>
      <c r="F230" s="16" t="str">
        <f>IF(C230="","",IFERROR(VLOOKUP(C230,PO_Workflow!$A:$Q,3,0),""))</f>
        <v/>
      </c>
      <c r="G230" s="16" t="str">
        <f>IF(C230="","",IFERROR(VLOOKUP(C230,PO_Workflow!$A:$Q,16,0),""))</f>
        <v/>
      </c>
      <c r="H230" s="16" t="str">
        <f>IF(C230="","",IFERROR(VLOOKUP(C230,PO_Workflow!$A:$Q,5,0),""))</f>
        <v/>
      </c>
      <c r="I230" s="16" t="str">
        <f>IF(C230="","",IFERROR(VLOOKUP(C230,PO_Workflow!$A:$Q,6,0),""))</f>
        <v/>
      </c>
      <c r="J230" s="17" t="str">
        <f>IF(C230="","",IFERROR(VLOOKUP(C230,PO_Workflow!$A:$Q,11,0),""))</f>
        <v/>
      </c>
      <c r="K230" s="17" t="str">
        <f>IF(C230="","",IFERROR(VLOOKUP(C230,PO_Workflow!$A:$Q,12,0),""))</f>
        <v/>
      </c>
      <c r="L230" s="17" t="str">
        <f>IF(C230="","",IFERROR(VLOOKUP(C230,PO_Workflow!$A:$Q,13,0),""))</f>
        <v/>
      </c>
      <c r="M230" s="18" t="str">
        <f t="shared" si="9"/>
        <v/>
      </c>
      <c r="O230" s="19" t="str">
        <f>IF(C230="","",IFERROR(VLOOKUP(C230,PO_Workflow!$A:$Q,7,0),""))</f>
        <v/>
      </c>
      <c r="P230" s="19"/>
      <c r="Q230" s="16" t="str">
        <f>IF(C230="","",IFERROR(VLOOKUP(C230,PO_Workflow!$A:$Q,14,0),""))</f>
        <v/>
      </c>
      <c r="R230" s="20" t="str">
        <f>IF(C230="","",IFERROR(VLOOKUP(C230,PO_Workflow!$A:$Q,15,0),""))</f>
        <v/>
      </c>
      <c r="T230" s="16" t="str">
        <f>IF(C230="","",IFERROR(VLOOKUP(C230,PO_Workflow!$A:$Q,8,0),""))</f>
        <v/>
      </c>
      <c r="U230" s="21" t="str">
        <f t="shared" si="10"/>
        <v/>
      </c>
      <c r="V230" t="str">
        <f t="shared" si="11"/>
        <v/>
      </c>
    </row>
    <row r="231" spans="1:22" ht="15" customHeight="1" x14ac:dyDescent="0.35">
      <c r="A231" s="22"/>
      <c r="B231" s="22"/>
      <c r="C231" s="23"/>
      <c r="D231" t="str">
        <f>IF(C231&lt;&gt;"",IFERROR(VLOOKUP(C231,PO_Workflow!$A:$Q,10,0),""),IF(E231="","","PO-"&amp;TEXT(ROW()-2,"0000")))</f>
        <v/>
      </c>
      <c r="E231" s="16" t="str">
        <f>IF(C231="","",IFERROR(VLOOKUP(C231,PO_Workflow!$A:$Q,3,0),""))</f>
        <v/>
      </c>
      <c r="F231" s="16" t="str">
        <f>IF(C231="","",IFERROR(VLOOKUP(C231,PO_Workflow!$A:$Q,3,0),""))</f>
        <v/>
      </c>
      <c r="G231" s="16" t="str">
        <f>IF(C231="","",IFERROR(VLOOKUP(C231,PO_Workflow!$A:$Q,16,0),""))</f>
        <v/>
      </c>
      <c r="H231" s="16" t="str">
        <f>IF(C231="","",IFERROR(VLOOKUP(C231,PO_Workflow!$A:$Q,5,0),""))</f>
        <v/>
      </c>
      <c r="I231" s="16" t="str">
        <f>IF(C231="","",IFERROR(VLOOKUP(C231,PO_Workflow!$A:$Q,6,0),""))</f>
        <v/>
      </c>
      <c r="J231" s="17" t="str">
        <f>IF(C231="","",IFERROR(VLOOKUP(C231,PO_Workflow!$A:$Q,11,0),""))</f>
        <v/>
      </c>
      <c r="K231" s="17" t="str">
        <f>IF(C231="","",IFERROR(VLOOKUP(C231,PO_Workflow!$A:$Q,12,0),""))</f>
        <v/>
      </c>
      <c r="L231" s="17" t="str">
        <f>IF(C231="","",IFERROR(VLOOKUP(C231,PO_Workflow!$A:$Q,13,0),""))</f>
        <v/>
      </c>
      <c r="M231" s="18" t="str">
        <f t="shared" si="9"/>
        <v/>
      </c>
      <c r="O231" s="19" t="str">
        <f>IF(C231="","",IFERROR(VLOOKUP(C231,PO_Workflow!$A:$Q,7,0),""))</f>
        <v/>
      </c>
      <c r="P231" s="19"/>
      <c r="Q231" s="16" t="str">
        <f>IF(C231="","",IFERROR(VLOOKUP(C231,PO_Workflow!$A:$Q,14,0),""))</f>
        <v/>
      </c>
      <c r="R231" s="20" t="str">
        <f>IF(C231="","",IFERROR(VLOOKUP(C231,PO_Workflow!$A:$Q,15,0),""))</f>
        <v/>
      </c>
      <c r="T231" s="16" t="str">
        <f>IF(C231="","",IFERROR(VLOOKUP(C231,PO_Workflow!$A:$Q,8,0),""))</f>
        <v/>
      </c>
      <c r="U231" s="21" t="str">
        <f t="shared" si="10"/>
        <v/>
      </c>
      <c r="V231" t="str">
        <f t="shared" si="11"/>
        <v/>
      </c>
    </row>
    <row r="232" spans="1:22" ht="15" customHeight="1" x14ac:dyDescent="0.35">
      <c r="A232" s="22"/>
      <c r="B232" s="22"/>
      <c r="C232" s="23"/>
      <c r="D232" t="str">
        <f>IF(C232&lt;&gt;"",IFERROR(VLOOKUP(C232,PO_Workflow!$A:$Q,10,0),""),IF(E232="","","PO-"&amp;TEXT(ROW()-2,"0000")))</f>
        <v/>
      </c>
      <c r="E232" s="16" t="str">
        <f>IF(C232="","",IFERROR(VLOOKUP(C232,PO_Workflow!$A:$Q,3,0),""))</f>
        <v/>
      </c>
      <c r="F232" s="16" t="str">
        <f>IF(C232="","",IFERROR(VLOOKUP(C232,PO_Workflow!$A:$Q,3,0),""))</f>
        <v/>
      </c>
      <c r="G232" s="16" t="str">
        <f>IF(C232="","",IFERROR(VLOOKUP(C232,PO_Workflow!$A:$Q,16,0),""))</f>
        <v/>
      </c>
      <c r="H232" s="16" t="str">
        <f>IF(C232="","",IFERROR(VLOOKUP(C232,PO_Workflow!$A:$Q,5,0),""))</f>
        <v/>
      </c>
      <c r="I232" s="16" t="str">
        <f>IF(C232="","",IFERROR(VLOOKUP(C232,PO_Workflow!$A:$Q,6,0),""))</f>
        <v/>
      </c>
      <c r="J232" s="17" t="str">
        <f>IF(C232="","",IFERROR(VLOOKUP(C232,PO_Workflow!$A:$Q,11,0),""))</f>
        <v/>
      </c>
      <c r="K232" s="17" t="str">
        <f>IF(C232="","",IFERROR(VLOOKUP(C232,PO_Workflow!$A:$Q,12,0),""))</f>
        <v/>
      </c>
      <c r="L232" s="17" t="str">
        <f>IF(C232="","",IFERROR(VLOOKUP(C232,PO_Workflow!$A:$Q,13,0),""))</f>
        <v/>
      </c>
      <c r="M232" s="18" t="str">
        <f t="shared" si="9"/>
        <v/>
      </c>
      <c r="O232" s="19" t="str">
        <f>IF(C232="","",IFERROR(VLOOKUP(C232,PO_Workflow!$A:$Q,7,0),""))</f>
        <v/>
      </c>
      <c r="P232" s="19"/>
      <c r="Q232" s="16" t="str">
        <f>IF(C232="","",IFERROR(VLOOKUP(C232,PO_Workflow!$A:$Q,14,0),""))</f>
        <v/>
      </c>
      <c r="R232" s="20" t="str">
        <f>IF(C232="","",IFERROR(VLOOKUP(C232,PO_Workflow!$A:$Q,15,0),""))</f>
        <v/>
      </c>
      <c r="T232" s="16" t="str">
        <f>IF(C232="","",IFERROR(VLOOKUP(C232,PO_Workflow!$A:$Q,8,0),""))</f>
        <v/>
      </c>
      <c r="U232" s="21" t="str">
        <f t="shared" si="10"/>
        <v/>
      </c>
      <c r="V232" t="str">
        <f t="shared" si="11"/>
        <v/>
      </c>
    </row>
    <row r="233" spans="1:22" ht="15" customHeight="1" x14ac:dyDescent="0.35">
      <c r="A233" s="22"/>
      <c r="B233" s="22"/>
      <c r="C233" s="23"/>
      <c r="D233" t="str">
        <f>IF(C233&lt;&gt;"",IFERROR(VLOOKUP(C233,PO_Workflow!$A:$Q,10,0),""),IF(E233="","","PO-"&amp;TEXT(ROW()-2,"0000")))</f>
        <v/>
      </c>
      <c r="E233" s="16" t="str">
        <f>IF(C233="","",IFERROR(VLOOKUP(C233,PO_Workflow!$A:$Q,3,0),""))</f>
        <v/>
      </c>
      <c r="F233" s="16" t="str">
        <f>IF(C233="","",IFERROR(VLOOKUP(C233,PO_Workflow!$A:$Q,3,0),""))</f>
        <v/>
      </c>
      <c r="G233" s="16" t="str">
        <f>IF(C233="","",IFERROR(VLOOKUP(C233,PO_Workflow!$A:$Q,16,0),""))</f>
        <v/>
      </c>
      <c r="H233" s="16" t="str">
        <f>IF(C233="","",IFERROR(VLOOKUP(C233,PO_Workflow!$A:$Q,5,0),""))</f>
        <v/>
      </c>
      <c r="I233" s="16" t="str">
        <f>IF(C233="","",IFERROR(VLOOKUP(C233,PO_Workflow!$A:$Q,6,0),""))</f>
        <v/>
      </c>
      <c r="J233" s="17" t="str">
        <f>IF(C233="","",IFERROR(VLOOKUP(C233,PO_Workflow!$A:$Q,11,0),""))</f>
        <v/>
      </c>
      <c r="K233" s="17" t="str">
        <f>IF(C233="","",IFERROR(VLOOKUP(C233,PO_Workflow!$A:$Q,12,0),""))</f>
        <v/>
      </c>
      <c r="L233" s="17" t="str">
        <f>IF(C233="","",IFERROR(VLOOKUP(C233,PO_Workflow!$A:$Q,13,0),""))</f>
        <v/>
      </c>
      <c r="M233" s="18" t="str">
        <f t="shared" si="9"/>
        <v/>
      </c>
      <c r="O233" s="19" t="str">
        <f>IF(C233="","",IFERROR(VLOOKUP(C233,PO_Workflow!$A:$Q,7,0),""))</f>
        <v/>
      </c>
      <c r="P233" s="19"/>
      <c r="Q233" s="16" t="str">
        <f>IF(C233="","",IFERROR(VLOOKUP(C233,PO_Workflow!$A:$Q,14,0),""))</f>
        <v/>
      </c>
      <c r="R233" s="20" t="str">
        <f>IF(C233="","",IFERROR(VLOOKUP(C233,PO_Workflow!$A:$Q,15,0),""))</f>
        <v/>
      </c>
      <c r="T233" s="16" t="str">
        <f>IF(C233="","",IFERROR(VLOOKUP(C233,PO_Workflow!$A:$Q,8,0),""))</f>
        <v/>
      </c>
      <c r="U233" s="21" t="str">
        <f t="shared" si="10"/>
        <v/>
      </c>
      <c r="V233" t="str">
        <f t="shared" si="11"/>
        <v/>
      </c>
    </row>
    <row r="234" spans="1:22" ht="15" customHeight="1" x14ac:dyDescent="0.35">
      <c r="A234" s="22"/>
      <c r="B234" s="22"/>
      <c r="C234" s="23"/>
      <c r="D234" t="str">
        <f>IF(C234&lt;&gt;"",IFERROR(VLOOKUP(C234,PO_Workflow!$A:$Q,10,0),""),IF(E234="","","PO-"&amp;TEXT(ROW()-2,"0000")))</f>
        <v/>
      </c>
      <c r="E234" s="16" t="str">
        <f>IF(C234="","",IFERROR(VLOOKUP(C234,PO_Workflow!$A:$Q,3,0),""))</f>
        <v/>
      </c>
      <c r="F234" s="16" t="str">
        <f>IF(C234="","",IFERROR(VLOOKUP(C234,PO_Workflow!$A:$Q,3,0),""))</f>
        <v/>
      </c>
      <c r="G234" s="16" t="str">
        <f>IF(C234="","",IFERROR(VLOOKUP(C234,PO_Workflow!$A:$Q,16,0),""))</f>
        <v/>
      </c>
      <c r="H234" s="16" t="str">
        <f>IF(C234="","",IFERROR(VLOOKUP(C234,PO_Workflow!$A:$Q,5,0),""))</f>
        <v/>
      </c>
      <c r="I234" s="16" t="str">
        <f>IF(C234="","",IFERROR(VLOOKUP(C234,PO_Workflow!$A:$Q,6,0),""))</f>
        <v/>
      </c>
      <c r="J234" s="17" t="str">
        <f>IF(C234="","",IFERROR(VLOOKUP(C234,PO_Workflow!$A:$Q,11,0),""))</f>
        <v/>
      </c>
      <c r="K234" s="17" t="str">
        <f>IF(C234="","",IFERROR(VLOOKUP(C234,PO_Workflow!$A:$Q,12,0),""))</f>
        <v/>
      </c>
      <c r="L234" s="17" t="str">
        <f>IF(C234="","",IFERROR(VLOOKUP(C234,PO_Workflow!$A:$Q,13,0),""))</f>
        <v/>
      </c>
      <c r="M234" s="18" t="str">
        <f t="shared" si="9"/>
        <v/>
      </c>
      <c r="O234" s="19" t="str">
        <f>IF(C234="","",IFERROR(VLOOKUP(C234,PO_Workflow!$A:$Q,7,0),""))</f>
        <v/>
      </c>
      <c r="P234" s="19"/>
      <c r="Q234" s="16" t="str">
        <f>IF(C234="","",IFERROR(VLOOKUP(C234,PO_Workflow!$A:$Q,14,0),""))</f>
        <v/>
      </c>
      <c r="R234" s="20" t="str">
        <f>IF(C234="","",IFERROR(VLOOKUP(C234,PO_Workflow!$A:$Q,15,0),""))</f>
        <v/>
      </c>
      <c r="T234" s="16" t="str">
        <f>IF(C234="","",IFERROR(VLOOKUP(C234,PO_Workflow!$A:$Q,8,0),""))</f>
        <v/>
      </c>
      <c r="U234" s="21" t="str">
        <f t="shared" si="10"/>
        <v/>
      </c>
      <c r="V234" t="str">
        <f t="shared" si="11"/>
        <v/>
      </c>
    </row>
    <row r="235" spans="1:22" ht="15" customHeight="1" x14ac:dyDescent="0.35">
      <c r="A235" s="22"/>
      <c r="B235" s="22"/>
      <c r="C235" s="23"/>
      <c r="D235" t="str">
        <f>IF(C235&lt;&gt;"",IFERROR(VLOOKUP(C235,PO_Workflow!$A:$Q,10,0),""),IF(E235="","","PO-"&amp;TEXT(ROW()-2,"0000")))</f>
        <v/>
      </c>
      <c r="E235" s="16" t="str">
        <f>IF(C235="","",IFERROR(VLOOKUP(C235,PO_Workflow!$A:$Q,3,0),""))</f>
        <v/>
      </c>
      <c r="F235" s="16" t="str">
        <f>IF(C235="","",IFERROR(VLOOKUP(C235,PO_Workflow!$A:$Q,3,0),""))</f>
        <v/>
      </c>
      <c r="G235" s="16" t="str">
        <f>IF(C235="","",IFERROR(VLOOKUP(C235,PO_Workflow!$A:$Q,16,0),""))</f>
        <v/>
      </c>
      <c r="H235" s="16" t="str">
        <f>IF(C235="","",IFERROR(VLOOKUP(C235,PO_Workflow!$A:$Q,5,0),""))</f>
        <v/>
      </c>
      <c r="I235" s="16" t="str">
        <f>IF(C235="","",IFERROR(VLOOKUP(C235,PO_Workflow!$A:$Q,6,0),""))</f>
        <v/>
      </c>
      <c r="J235" s="17" t="str">
        <f>IF(C235="","",IFERROR(VLOOKUP(C235,PO_Workflow!$A:$Q,11,0),""))</f>
        <v/>
      </c>
      <c r="K235" s="17" t="str">
        <f>IF(C235="","",IFERROR(VLOOKUP(C235,PO_Workflow!$A:$Q,12,0),""))</f>
        <v/>
      </c>
      <c r="L235" s="17" t="str">
        <f>IF(C235="","",IFERROR(VLOOKUP(C235,PO_Workflow!$A:$Q,13,0),""))</f>
        <v/>
      </c>
      <c r="M235" s="18" t="str">
        <f t="shared" si="9"/>
        <v/>
      </c>
      <c r="O235" s="19" t="str">
        <f>IF(C235="","",IFERROR(VLOOKUP(C235,PO_Workflow!$A:$Q,7,0),""))</f>
        <v/>
      </c>
      <c r="P235" s="19"/>
      <c r="Q235" s="16" t="str">
        <f>IF(C235="","",IFERROR(VLOOKUP(C235,PO_Workflow!$A:$Q,14,0),""))</f>
        <v/>
      </c>
      <c r="R235" s="20" t="str">
        <f>IF(C235="","",IFERROR(VLOOKUP(C235,PO_Workflow!$A:$Q,15,0),""))</f>
        <v/>
      </c>
      <c r="T235" s="16" t="str">
        <f>IF(C235="","",IFERROR(VLOOKUP(C235,PO_Workflow!$A:$Q,8,0),""))</f>
        <v/>
      </c>
      <c r="U235" s="21" t="str">
        <f t="shared" si="10"/>
        <v/>
      </c>
      <c r="V235" t="str">
        <f t="shared" si="11"/>
        <v/>
      </c>
    </row>
    <row r="236" spans="1:22" ht="15" customHeight="1" x14ac:dyDescent="0.35">
      <c r="A236" s="22"/>
      <c r="B236" s="22"/>
      <c r="C236" s="23"/>
      <c r="D236" t="str">
        <f>IF(C236&lt;&gt;"",IFERROR(VLOOKUP(C236,PO_Workflow!$A:$Q,10,0),""),IF(E236="","","PO-"&amp;TEXT(ROW()-2,"0000")))</f>
        <v/>
      </c>
      <c r="E236" s="16" t="str">
        <f>IF(C236="","",IFERROR(VLOOKUP(C236,PO_Workflow!$A:$Q,3,0),""))</f>
        <v/>
      </c>
      <c r="F236" s="16" t="str">
        <f>IF(C236="","",IFERROR(VLOOKUP(C236,PO_Workflow!$A:$Q,3,0),""))</f>
        <v/>
      </c>
      <c r="G236" s="16" t="str">
        <f>IF(C236="","",IFERROR(VLOOKUP(C236,PO_Workflow!$A:$Q,16,0),""))</f>
        <v/>
      </c>
      <c r="H236" s="16" t="str">
        <f>IF(C236="","",IFERROR(VLOOKUP(C236,PO_Workflow!$A:$Q,5,0),""))</f>
        <v/>
      </c>
      <c r="I236" s="16" t="str">
        <f>IF(C236="","",IFERROR(VLOOKUP(C236,PO_Workflow!$A:$Q,6,0),""))</f>
        <v/>
      </c>
      <c r="J236" s="17" t="str">
        <f>IF(C236="","",IFERROR(VLOOKUP(C236,PO_Workflow!$A:$Q,11,0),""))</f>
        <v/>
      </c>
      <c r="K236" s="17" t="str">
        <f>IF(C236="","",IFERROR(VLOOKUP(C236,PO_Workflow!$A:$Q,12,0),""))</f>
        <v/>
      </c>
      <c r="L236" s="17" t="str">
        <f>IF(C236="","",IFERROR(VLOOKUP(C236,PO_Workflow!$A:$Q,13,0),""))</f>
        <v/>
      </c>
      <c r="M236" s="18" t="str">
        <f t="shared" si="9"/>
        <v/>
      </c>
      <c r="O236" s="19" t="str">
        <f>IF(C236="","",IFERROR(VLOOKUP(C236,PO_Workflow!$A:$Q,7,0),""))</f>
        <v/>
      </c>
      <c r="P236" s="19"/>
      <c r="Q236" s="16" t="str">
        <f>IF(C236="","",IFERROR(VLOOKUP(C236,PO_Workflow!$A:$Q,14,0),""))</f>
        <v/>
      </c>
      <c r="R236" s="20" t="str">
        <f>IF(C236="","",IFERROR(VLOOKUP(C236,PO_Workflow!$A:$Q,15,0),""))</f>
        <v/>
      </c>
      <c r="T236" s="16" t="str">
        <f>IF(C236="","",IFERROR(VLOOKUP(C236,PO_Workflow!$A:$Q,8,0),""))</f>
        <v/>
      </c>
      <c r="U236" s="21" t="str">
        <f t="shared" si="10"/>
        <v/>
      </c>
      <c r="V236" t="str">
        <f t="shared" si="11"/>
        <v/>
      </c>
    </row>
    <row r="237" spans="1:22" ht="15" customHeight="1" x14ac:dyDescent="0.35">
      <c r="A237" s="22"/>
      <c r="B237" s="22"/>
      <c r="C237" s="23"/>
      <c r="D237" t="str">
        <f>IF(C237&lt;&gt;"",IFERROR(VLOOKUP(C237,PO_Workflow!$A:$Q,10,0),""),IF(E237="","","PO-"&amp;TEXT(ROW()-2,"0000")))</f>
        <v/>
      </c>
      <c r="E237" s="16" t="str">
        <f>IF(C237="","",IFERROR(VLOOKUP(C237,PO_Workflow!$A:$Q,3,0),""))</f>
        <v/>
      </c>
      <c r="F237" s="16" t="str">
        <f>IF(C237="","",IFERROR(VLOOKUP(C237,PO_Workflow!$A:$Q,3,0),""))</f>
        <v/>
      </c>
      <c r="G237" s="16" t="str">
        <f>IF(C237="","",IFERROR(VLOOKUP(C237,PO_Workflow!$A:$Q,16,0),""))</f>
        <v/>
      </c>
      <c r="H237" s="16" t="str">
        <f>IF(C237="","",IFERROR(VLOOKUP(C237,PO_Workflow!$A:$Q,5,0),""))</f>
        <v/>
      </c>
      <c r="I237" s="16" t="str">
        <f>IF(C237="","",IFERROR(VLOOKUP(C237,PO_Workflow!$A:$Q,6,0),""))</f>
        <v/>
      </c>
      <c r="J237" s="17" t="str">
        <f>IF(C237="","",IFERROR(VLOOKUP(C237,PO_Workflow!$A:$Q,11,0),""))</f>
        <v/>
      </c>
      <c r="K237" s="17" t="str">
        <f>IF(C237="","",IFERROR(VLOOKUP(C237,PO_Workflow!$A:$Q,12,0),""))</f>
        <v/>
      </c>
      <c r="L237" s="17" t="str">
        <f>IF(C237="","",IFERROR(VLOOKUP(C237,PO_Workflow!$A:$Q,13,0),""))</f>
        <v/>
      </c>
      <c r="M237" s="18" t="str">
        <f t="shared" si="9"/>
        <v/>
      </c>
      <c r="O237" s="19" t="str">
        <f>IF(C237="","",IFERROR(VLOOKUP(C237,PO_Workflow!$A:$Q,7,0),""))</f>
        <v/>
      </c>
      <c r="P237" s="19"/>
      <c r="Q237" s="16" t="str">
        <f>IF(C237="","",IFERROR(VLOOKUP(C237,PO_Workflow!$A:$Q,14,0),""))</f>
        <v/>
      </c>
      <c r="R237" s="20" t="str">
        <f>IF(C237="","",IFERROR(VLOOKUP(C237,PO_Workflow!$A:$Q,15,0),""))</f>
        <v/>
      </c>
      <c r="T237" s="16" t="str">
        <f>IF(C237="","",IFERROR(VLOOKUP(C237,PO_Workflow!$A:$Q,8,0),""))</f>
        <v/>
      </c>
      <c r="U237" s="21" t="str">
        <f t="shared" si="10"/>
        <v/>
      </c>
      <c r="V237" t="str">
        <f t="shared" si="11"/>
        <v/>
      </c>
    </row>
    <row r="238" spans="1:22" ht="15" customHeight="1" x14ac:dyDescent="0.35">
      <c r="A238" s="22"/>
      <c r="B238" s="22"/>
      <c r="C238" s="23"/>
      <c r="D238" t="str">
        <f>IF(C238&lt;&gt;"",IFERROR(VLOOKUP(C238,PO_Workflow!$A:$Q,10,0),""),IF(E238="","","PO-"&amp;TEXT(ROW()-2,"0000")))</f>
        <v/>
      </c>
      <c r="E238" s="16" t="str">
        <f>IF(C238="","",IFERROR(VLOOKUP(C238,PO_Workflow!$A:$Q,3,0),""))</f>
        <v/>
      </c>
      <c r="F238" s="16" t="str">
        <f>IF(C238="","",IFERROR(VLOOKUP(C238,PO_Workflow!$A:$Q,3,0),""))</f>
        <v/>
      </c>
      <c r="G238" s="16" t="str">
        <f>IF(C238="","",IFERROR(VLOOKUP(C238,PO_Workflow!$A:$Q,16,0),""))</f>
        <v/>
      </c>
      <c r="H238" s="16" t="str">
        <f>IF(C238="","",IFERROR(VLOOKUP(C238,PO_Workflow!$A:$Q,5,0),""))</f>
        <v/>
      </c>
      <c r="I238" s="16" t="str">
        <f>IF(C238="","",IFERROR(VLOOKUP(C238,PO_Workflow!$A:$Q,6,0),""))</f>
        <v/>
      </c>
      <c r="J238" s="17" t="str">
        <f>IF(C238="","",IFERROR(VLOOKUP(C238,PO_Workflow!$A:$Q,11,0),""))</f>
        <v/>
      </c>
      <c r="K238" s="17" t="str">
        <f>IF(C238="","",IFERROR(VLOOKUP(C238,PO_Workflow!$A:$Q,12,0),""))</f>
        <v/>
      </c>
      <c r="L238" s="17" t="str">
        <f>IF(C238="","",IFERROR(VLOOKUP(C238,PO_Workflow!$A:$Q,13,0),""))</f>
        <v/>
      </c>
      <c r="M238" s="18" t="str">
        <f t="shared" si="9"/>
        <v/>
      </c>
      <c r="O238" s="19" t="str">
        <f>IF(C238="","",IFERROR(VLOOKUP(C238,PO_Workflow!$A:$Q,7,0),""))</f>
        <v/>
      </c>
      <c r="P238" s="19"/>
      <c r="Q238" s="16" t="str">
        <f>IF(C238="","",IFERROR(VLOOKUP(C238,PO_Workflow!$A:$Q,14,0),""))</f>
        <v/>
      </c>
      <c r="R238" s="20" t="str">
        <f>IF(C238="","",IFERROR(VLOOKUP(C238,PO_Workflow!$A:$Q,15,0),""))</f>
        <v/>
      </c>
      <c r="T238" s="16" t="str">
        <f>IF(C238="","",IFERROR(VLOOKUP(C238,PO_Workflow!$A:$Q,8,0),""))</f>
        <v/>
      </c>
      <c r="U238" s="21" t="str">
        <f t="shared" si="10"/>
        <v/>
      </c>
      <c r="V238" t="str">
        <f t="shared" si="11"/>
        <v/>
      </c>
    </row>
    <row r="239" spans="1:22" ht="15" customHeight="1" x14ac:dyDescent="0.35">
      <c r="A239" s="22"/>
      <c r="B239" s="22"/>
      <c r="C239" s="23"/>
      <c r="D239" t="str">
        <f>IF(C239&lt;&gt;"",IFERROR(VLOOKUP(C239,PO_Workflow!$A:$Q,10,0),""),IF(E239="","","PO-"&amp;TEXT(ROW()-2,"0000")))</f>
        <v/>
      </c>
      <c r="E239" s="16" t="str">
        <f>IF(C239="","",IFERROR(VLOOKUP(C239,PO_Workflow!$A:$Q,3,0),""))</f>
        <v/>
      </c>
      <c r="F239" s="16" t="str">
        <f>IF(C239="","",IFERROR(VLOOKUP(C239,PO_Workflow!$A:$Q,3,0),""))</f>
        <v/>
      </c>
      <c r="G239" s="16" t="str">
        <f>IF(C239="","",IFERROR(VLOOKUP(C239,PO_Workflow!$A:$Q,16,0),""))</f>
        <v/>
      </c>
      <c r="H239" s="16" t="str">
        <f>IF(C239="","",IFERROR(VLOOKUP(C239,PO_Workflow!$A:$Q,5,0),""))</f>
        <v/>
      </c>
      <c r="I239" s="16" t="str">
        <f>IF(C239="","",IFERROR(VLOOKUP(C239,PO_Workflow!$A:$Q,6,0),""))</f>
        <v/>
      </c>
      <c r="J239" s="17" t="str">
        <f>IF(C239="","",IFERROR(VLOOKUP(C239,PO_Workflow!$A:$Q,11,0),""))</f>
        <v/>
      </c>
      <c r="K239" s="17" t="str">
        <f>IF(C239="","",IFERROR(VLOOKUP(C239,PO_Workflow!$A:$Q,12,0),""))</f>
        <v/>
      </c>
      <c r="L239" s="17" t="str">
        <f>IF(C239="","",IFERROR(VLOOKUP(C239,PO_Workflow!$A:$Q,13,0),""))</f>
        <v/>
      </c>
      <c r="M239" s="18" t="str">
        <f t="shared" si="9"/>
        <v/>
      </c>
      <c r="O239" s="19" t="str">
        <f>IF(C239="","",IFERROR(VLOOKUP(C239,PO_Workflow!$A:$Q,7,0),""))</f>
        <v/>
      </c>
      <c r="P239" s="19"/>
      <c r="Q239" s="16" t="str">
        <f>IF(C239="","",IFERROR(VLOOKUP(C239,PO_Workflow!$A:$Q,14,0),""))</f>
        <v/>
      </c>
      <c r="R239" s="20" t="str">
        <f>IF(C239="","",IFERROR(VLOOKUP(C239,PO_Workflow!$A:$Q,15,0),""))</f>
        <v/>
      </c>
      <c r="T239" s="16" t="str">
        <f>IF(C239="","",IFERROR(VLOOKUP(C239,PO_Workflow!$A:$Q,8,0),""))</f>
        <v/>
      </c>
      <c r="U239" s="21" t="str">
        <f t="shared" si="10"/>
        <v/>
      </c>
      <c r="V239" t="str">
        <f t="shared" si="11"/>
        <v/>
      </c>
    </row>
    <row r="240" spans="1:22" ht="15" customHeight="1" x14ac:dyDescent="0.35">
      <c r="A240" s="22"/>
      <c r="B240" s="22"/>
      <c r="C240" s="23"/>
      <c r="D240" t="str">
        <f>IF(C240&lt;&gt;"",IFERROR(VLOOKUP(C240,PO_Workflow!$A:$Q,10,0),""),IF(E240="","","PO-"&amp;TEXT(ROW()-2,"0000")))</f>
        <v/>
      </c>
      <c r="E240" s="16" t="str">
        <f>IF(C240="","",IFERROR(VLOOKUP(C240,PO_Workflow!$A:$Q,3,0),""))</f>
        <v/>
      </c>
      <c r="F240" s="16" t="str">
        <f>IF(C240="","",IFERROR(VLOOKUP(C240,PO_Workflow!$A:$Q,3,0),""))</f>
        <v/>
      </c>
      <c r="G240" s="16" t="str">
        <f>IF(C240="","",IFERROR(VLOOKUP(C240,PO_Workflow!$A:$Q,16,0),""))</f>
        <v/>
      </c>
      <c r="H240" s="16" t="str">
        <f>IF(C240="","",IFERROR(VLOOKUP(C240,PO_Workflow!$A:$Q,5,0),""))</f>
        <v/>
      </c>
      <c r="I240" s="16" t="str">
        <f>IF(C240="","",IFERROR(VLOOKUP(C240,PO_Workflow!$A:$Q,6,0),""))</f>
        <v/>
      </c>
      <c r="J240" s="17" t="str">
        <f>IF(C240="","",IFERROR(VLOOKUP(C240,PO_Workflow!$A:$Q,11,0),""))</f>
        <v/>
      </c>
      <c r="K240" s="17" t="str">
        <f>IF(C240="","",IFERROR(VLOOKUP(C240,PO_Workflow!$A:$Q,12,0),""))</f>
        <v/>
      </c>
      <c r="L240" s="17" t="str">
        <f>IF(C240="","",IFERROR(VLOOKUP(C240,PO_Workflow!$A:$Q,13,0),""))</f>
        <v/>
      </c>
      <c r="M240" s="18" t="str">
        <f t="shared" si="9"/>
        <v/>
      </c>
      <c r="O240" s="19" t="str">
        <f>IF(C240="","",IFERROR(VLOOKUP(C240,PO_Workflow!$A:$Q,7,0),""))</f>
        <v/>
      </c>
      <c r="P240" s="19"/>
      <c r="Q240" s="16" t="str">
        <f>IF(C240="","",IFERROR(VLOOKUP(C240,PO_Workflow!$A:$Q,14,0),""))</f>
        <v/>
      </c>
      <c r="R240" s="20" t="str">
        <f>IF(C240="","",IFERROR(VLOOKUP(C240,PO_Workflow!$A:$Q,15,0),""))</f>
        <v/>
      </c>
      <c r="T240" s="16" t="str">
        <f>IF(C240="","",IFERROR(VLOOKUP(C240,PO_Workflow!$A:$Q,8,0),""))</f>
        <v/>
      </c>
      <c r="U240" s="21" t="str">
        <f t="shared" si="10"/>
        <v/>
      </c>
      <c r="V240" t="str">
        <f t="shared" si="11"/>
        <v/>
      </c>
    </row>
    <row r="241" spans="1:22" ht="15" customHeight="1" x14ac:dyDescent="0.35">
      <c r="A241" s="22"/>
      <c r="B241" s="22"/>
      <c r="C241" s="23"/>
      <c r="D241" t="str">
        <f>IF(C241&lt;&gt;"",IFERROR(VLOOKUP(C241,PO_Workflow!$A:$Q,10,0),""),IF(E241="","","PO-"&amp;TEXT(ROW()-2,"0000")))</f>
        <v/>
      </c>
      <c r="E241" s="16" t="str">
        <f>IF(C241="","",IFERROR(VLOOKUP(C241,PO_Workflow!$A:$Q,3,0),""))</f>
        <v/>
      </c>
      <c r="F241" s="16" t="str">
        <f>IF(C241="","",IFERROR(VLOOKUP(C241,PO_Workflow!$A:$Q,3,0),""))</f>
        <v/>
      </c>
      <c r="G241" s="16" t="str">
        <f>IF(C241="","",IFERROR(VLOOKUP(C241,PO_Workflow!$A:$Q,16,0),""))</f>
        <v/>
      </c>
      <c r="H241" s="16" t="str">
        <f>IF(C241="","",IFERROR(VLOOKUP(C241,PO_Workflow!$A:$Q,5,0),""))</f>
        <v/>
      </c>
      <c r="I241" s="16" t="str">
        <f>IF(C241="","",IFERROR(VLOOKUP(C241,PO_Workflow!$A:$Q,6,0),""))</f>
        <v/>
      </c>
      <c r="J241" s="17" t="str">
        <f>IF(C241="","",IFERROR(VLOOKUP(C241,PO_Workflow!$A:$Q,11,0),""))</f>
        <v/>
      </c>
      <c r="K241" s="17" t="str">
        <f>IF(C241="","",IFERROR(VLOOKUP(C241,PO_Workflow!$A:$Q,12,0),""))</f>
        <v/>
      </c>
      <c r="L241" s="17" t="str">
        <f>IF(C241="","",IFERROR(VLOOKUP(C241,PO_Workflow!$A:$Q,13,0),""))</f>
        <v/>
      </c>
      <c r="M241" s="18" t="str">
        <f t="shared" si="9"/>
        <v/>
      </c>
      <c r="O241" s="19" t="str">
        <f>IF(C241="","",IFERROR(VLOOKUP(C241,PO_Workflow!$A:$Q,7,0),""))</f>
        <v/>
      </c>
      <c r="P241" s="19"/>
      <c r="Q241" s="16" t="str">
        <f>IF(C241="","",IFERROR(VLOOKUP(C241,PO_Workflow!$A:$Q,14,0),""))</f>
        <v/>
      </c>
      <c r="R241" s="20" t="str">
        <f>IF(C241="","",IFERROR(VLOOKUP(C241,PO_Workflow!$A:$Q,15,0),""))</f>
        <v/>
      </c>
      <c r="T241" s="16" t="str">
        <f>IF(C241="","",IFERROR(VLOOKUP(C241,PO_Workflow!$A:$Q,8,0),""))</f>
        <v/>
      </c>
      <c r="U241" s="21" t="str">
        <f t="shared" si="10"/>
        <v/>
      </c>
      <c r="V241" t="str">
        <f t="shared" si="11"/>
        <v/>
      </c>
    </row>
    <row r="242" spans="1:22" ht="15" customHeight="1" x14ac:dyDescent="0.35">
      <c r="A242" s="22"/>
      <c r="B242" s="22"/>
      <c r="C242" s="23"/>
      <c r="D242" t="str">
        <f>IF(C242&lt;&gt;"",IFERROR(VLOOKUP(C242,PO_Workflow!$A:$Q,10,0),""),IF(E242="","","PO-"&amp;TEXT(ROW()-2,"0000")))</f>
        <v/>
      </c>
      <c r="E242" s="16" t="str">
        <f>IF(C242="","",IFERROR(VLOOKUP(C242,PO_Workflow!$A:$Q,3,0),""))</f>
        <v/>
      </c>
      <c r="F242" s="16" t="str">
        <f>IF(C242="","",IFERROR(VLOOKUP(C242,PO_Workflow!$A:$Q,3,0),""))</f>
        <v/>
      </c>
      <c r="G242" s="16" t="str">
        <f>IF(C242="","",IFERROR(VLOOKUP(C242,PO_Workflow!$A:$Q,16,0),""))</f>
        <v/>
      </c>
      <c r="H242" s="16" t="str">
        <f>IF(C242="","",IFERROR(VLOOKUP(C242,PO_Workflow!$A:$Q,5,0),""))</f>
        <v/>
      </c>
      <c r="I242" s="16" t="str">
        <f>IF(C242="","",IFERROR(VLOOKUP(C242,PO_Workflow!$A:$Q,6,0),""))</f>
        <v/>
      </c>
      <c r="J242" s="17" t="str">
        <f>IF(C242="","",IFERROR(VLOOKUP(C242,PO_Workflow!$A:$Q,11,0),""))</f>
        <v/>
      </c>
      <c r="K242" s="17" t="str">
        <f>IF(C242="","",IFERROR(VLOOKUP(C242,PO_Workflow!$A:$Q,12,0),""))</f>
        <v/>
      </c>
      <c r="L242" s="17" t="str">
        <f>IF(C242="","",IFERROR(VLOOKUP(C242,PO_Workflow!$A:$Q,13,0),""))</f>
        <v/>
      </c>
      <c r="M242" s="18" t="str">
        <f t="shared" si="9"/>
        <v/>
      </c>
      <c r="O242" s="19" t="str">
        <f>IF(C242="","",IFERROR(VLOOKUP(C242,PO_Workflow!$A:$Q,7,0),""))</f>
        <v/>
      </c>
      <c r="P242" s="19"/>
      <c r="Q242" s="16" t="str">
        <f>IF(C242="","",IFERROR(VLOOKUP(C242,PO_Workflow!$A:$Q,14,0),""))</f>
        <v/>
      </c>
      <c r="R242" s="20" t="str">
        <f>IF(C242="","",IFERROR(VLOOKUP(C242,PO_Workflow!$A:$Q,15,0),""))</f>
        <v/>
      </c>
      <c r="T242" s="16" t="str">
        <f>IF(C242="","",IFERROR(VLOOKUP(C242,PO_Workflow!$A:$Q,8,0),""))</f>
        <v/>
      </c>
      <c r="U242" s="21" t="str">
        <f t="shared" si="10"/>
        <v/>
      </c>
      <c r="V242" t="str">
        <f t="shared" si="11"/>
        <v/>
      </c>
    </row>
    <row r="243" spans="1:22" ht="15" customHeight="1" x14ac:dyDescent="0.35">
      <c r="A243" s="22"/>
      <c r="B243" s="22"/>
      <c r="C243" s="23"/>
      <c r="D243" t="str">
        <f>IF(C243&lt;&gt;"",IFERROR(VLOOKUP(C243,PO_Workflow!$A:$Q,10,0),""),IF(E243="","","PO-"&amp;TEXT(ROW()-2,"0000")))</f>
        <v/>
      </c>
      <c r="E243" s="16" t="str">
        <f>IF(C243="","",IFERROR(VLOOKUP(C243,PO_Workflow!$A:$Q,3,0),""))</f>
        <v/>
      </c>
      <c r="F243" s="16" t="str">
        <f>IF(C243="","",IFERROR(VLOOKUP(C243,PO_Workflow!$A:$Q,3,0),""))</f>
        <v/>
      </c>
      <c r="G243" s="16" t="str">
        <f>IF(C243="","",IFERROR(VLOOKUP(C243,PO_Workflow!$A:$Q,16,0),""))</f>
        <v/>
      </c>
      <c r="H243" s="16" t="str">
        <f>IF(C243="","",IFERROR(VLOOKUP(C243,PO_Workflow!$A:$Q,5,0),""))</f>
        <v/>
      </c>
      <c r="I243" s="16" t="str">
        <f>IF(C243="","",IFERROR(VLOOKUP(C243,PO_Workflow!$A:$Q,6,0),""))</f>
        <v/>
      </c>
      <c r="J243" s="17" t="str">
        <f>IF(C243="","",IFERROR(VLOOKUP(C243,PO_Workflow!$A:$Q,11,0),""))</f>
        <v/>
      </c>
      <c r="K243" s="17" t="str">
        <f>IF(C243="","",IFERROR(VLOOKUP(C243,PO_Workflow!$A:$Q,12,0),""))</f>
        <v/>
      </c>
      <c r="L243" s="17" t="str">
        <f>IF(C243="","",IFERROR(VLOOKUP(C243,PO_Workflow!$A:$Q,13,0),""))</f>
        <v/>
      </c>
      <c r="M243" s="18" t="str">
        <f t="shared" si="9"/>
        <v/>
      </c>
      <c r="O243" s="19" t="str">
        <f>IF(C243="","",IFERROR(VLOOKUP(C243,PO_Workflow!$A:$Q,7,0),""))</f>
        <v/>
      </c>
      <c r="P243" s="19"/>
      <c r="Q243" s="16" t="str">
        <f>IF(C243="","",IFERROR(VLOOKUP(C243,PO_Workflow!$A:$Q,14,0),""))</f>
        <v/>
      </c>
      <c r="R243" s="20" t="str">
        <f>IF(C243="","",IFERROR(VLOOKUP(C243,PO_Workflow!$A:$Q,15,0),""))</f>
        <v/>
      </c>
      <c r="T243" s="16" t="str">
        <f>IF(C243="","",IFERROR(VLOOKUP(C243,PO_Workflow!$A:$Q,8,0),""))</f>
        <v/>
      </c>
      <c r="U243" s="21" t="str">
        <f t="shared" si="10"/>
        <v/>
      </c>
      <c r="V243" t="str">
        <f t="shared" si="11"/>
        <v/>
      </c>
    </row>
    <row r="244" spans="1:22" ht="15" customHeight="1" x14ac:dyDescent="0.35">
      <c r="A244" s="22"/>
      <c r="B244" s="22"/>
      <c r="C244" s="23"/>
      <c r="D244" t="str">
        <f>IF(C244&lt;&gt;"",IFERROR(VLOOKUP(C244,PO_Workflow!$A:$Q,10,0),""),IF(E244="","","PO-"&amp;TEXT(ROW()-2,"0000")))</f>
        <v/>
      </c>
      <c r="E244" s="16" t="str">
        <f>IF(C244="","",IFERROR(VLOOKUP(C244,PO_Workflow!$A:$Q,3,0),""))</f>
        <v/>
      </c>
      <c r="F244" s="16" t="str">
        <f>IF(C244="","",IFERROR(VLOOKUP(C244,PO_Workflow!$A:$Q,3,0),""))</f>
        <v/>
      </c>
      <c r="G244" s="16" t="str">
        <f>IF(C244="","",IFERROR(VLOOKUP(C244,PO_Workflow!$A:$Q,16,0),""))</f>
        <v/>
      </c>
      <c r="H244" s="16" t="str">
        <f>IF(C244="","",IFERROR(VLOOKUP(C244,PO_Workflow!$A:$Q,5,0),""))</f>
        <v/>
      </c>
      <c r="I244" s="16" t="str">
        <f>IF(C244="","",IFERROR(VLOOKUP(C244,PO_Workflow!$A:$Q,6,0),""))</f>
        <v/>
      </c>
      <c r="J244" s="17" t="str">
        <f>IF(C244="","",IFERROR(VLOOKUP(C244,PO_Workflow!$A:$Q,11,0),""))</f>
        <v/>
      </c>
      <c r="K244" s="17" t="str">
        <f>IF(C244="","",IFERROR(VLOOKUP(C244,PO_Workflow!$A:$Q,12,0),""))</f>
        <v/>
      </c>
      <c r="L244" s="17" t="str">
        <f>IF(C244="","",IFERROR(VLOOKUP(C244,PO_Workflow!$A:$Q,13,0),""))</f>
        <v/>
      </c>
      <c r="M244" s="18" t="str">
        <f t="shared" si="9"/>
        <v/>
      </c>
      <c r="O244" s="19" t="str">
        <f>IF(C244="","",IFERROR(VLOOKUP(C244,PO_Workflow!$A:$Q,7,0),""))</f>
        <v/>
      </c>
      <c r="P244" s="19"/>
      <c r="Q244" s="16" t="str">
        <f>IF(C244="","",IFERROR(VLOOKUP(C244,PO_Workflow!$A:$Q,14,0),""))</f>
        <v/>
      </c>
      <c r="R244" s="20" t="str">
        <f>IF(C244="","",IFERROR(VLOOKUP(C244,PO_Workflow!$A:$Q,15,0),""))</f>
        <v/>
      </c>
      <c r="T244" s="16" t="str">
        <f>IF(C244="","",IFERROR(VLOOKUP(C244,PO_Workflow!$A:$Q,8,0),""))</f>
        <v/>
      </c>
      <c r="U244" s="21" t="str">
        <f t="shared" si="10"/>
        <v/>
      </c>
      <c r="V244" t="str">
        <f t="shared" si="11"/>
        <v/>
      </c>
    </row>
    <row r="245" spans="1:22" ht="15" customHeight="1" x14ac:dyDescent="0.35">
      <c r="A245" s="22"/>
      <c r="B245" s="22"/>
      <c r="C245" s="23"/>
      <c r="D245" t="str">
        <f>IF(C245&lt;&gt;"",IFERROR(VLOOKUP(C245,PO_Workflow!$A:$Q,10,0),""),IF(E245="","","PO-"&amp;TEXT(ROW()-2,"0000")))</f>
        <v/>
      </c>
      <c r="E245" s="16" t="str">
        <f>IF(C245="","",IFERROR(VLOOKUP(C245,PO_Workflow!$A:$Q,3,0),""))</f>
        <v/>
      </c>
      <c r="F245" s="16" t="str">
        <f>IF(C245="","",IFERROR(VLOOKUP(C245,PO_Workflow!$A:$Q,3,0),""))</f>
        <v/>
      </c>
      <c r="G245" s="16" t="str">
        <f>IF(C245="","",IFERROR(VLOOKUP(C245,PO_Workflow!$A:$Q,16,0),""))</f>
        <v/>
      </c>
      <c r="H245" s="16" t="str">
        <f>IF(C245="","",IFERROR(VLOOKUP(C245,PO_Workflow!$A:$Q,5,0),""))</f>
        <v/>
      </c>
      <c r="I245" s="16" t="str">
        <f>IF(C245="","",IFERROR(VLOOKUP(C245,PO_Workflow!$A:$Q,6,0),""))</f>
        <v/>
      </c>
      <c r="J245" s="17" t="str">
        <f>IF(C245="","",IFERROR(VLOOKUP(C245,PO_Workflow!$A:$Q,11,0),""))</f>
        <v/>
      </c>
      <c r="K245" s="17" t="str">
        <f>IF(C245="","",IFERROR(VLOOKUP(C245,PO_Workflow!$A:$Q,12,0),""))</f>
        <v/>
      </c>
      <c r="L245" s="17" t="str">
        <f>IF(C245="","",IFERROR(VLOOKUP(C245,PO_Workflow!$A:$Q,13,0),""))</f>
        <v/>
      </c>
      <c r="M245" s="18" t="str">
        <f t="shared" si="9"/>
        <v/>
      </c>
      <c r="O245" s="19" t="str">
        <f>IF(C245="","",IFERROR(VLOOKUP(C245,PO_Workflow!$A:$Q,7,0),""))</f>
        <v/>
      </c>
      <c r="P245" s="19"/>
      <c r="Q245" s="16" t="str">
        <f>IF(C245="","",IFERROR(VLOOKUP(C245,PO_Workflow!$A:$Q,14,0),""))</f>
        <v/>
      </c>
      <c r="R245" s="20" t="str">
        <f>IF(C245="","",IFERROR(VLOOKUP(C245,PO_Workflow!$A:$Q,15,0),""))</f>
        <v/>
      </c>
      <c r="T245" s="16" t="str">
        <f>IF(C245="","",IFERROR(VLOOKUP(C245,PO_Workflow!$A:$Q,8,0),""))</f>
        <v/>
      </c>
      <c r="U245" s="21" t="str">
        <f t="shared" si="10"/>
        <v/>
      </c>
      <c r="V245" t="str">
        <f t="shared" si="11"/>
        <v/>
      </c>
    </row>
    <row r="246" spans="1:22" ht="15" customHeight="1" x14ac:dyDescent="0.35">
      <c r="A246" s="22"/>
      <c r="B246" s="22"/>
      <c r="C246" s="23"/>
      <c r="D246" t="str">
        <f>IF(C246&lt;&gt;"",IFERROR(VLOOKUP(C246,PO_Workflow!$A:$Q,10,0),""),IF(E246="","","PO-"&amp;TEXT(ROW()-2,"0000")))</f>
        <v/>
      </c>
      <c r="E246" s="16" t="str">
        <f>IF(C246="","",IFERROR(VLOOKUP(C246,PO_Workflow!$A:$Q,3,0),""))</f>
        <v/>
      </c>
      <c r="F246" s="16" t="str">
        <f>IF(C246="","",IFERROR(VLOOKUP(C246,PO_Workflow!$A:$Q,3,0),""))</f>
        <v/>
      </c>
      <c r="G246" s="16" t="str">
        <f>IF(C246="","",IFERROR(VLOOKUP(C246,PO_Workflow!$A:$Q,16,0),""))</f>
        <v/>
      </c>
      <c r="H246" s="16" t="str">
        <f>IF(C246="","",IFERROR(VLOOKUP(C246,PO_Workflow!$A:$Q,5,0),""))</f>
        <v/>
      </c>
      <c r="I246" s="16" t="str">
        <f>IF(C246="","",IFERROR(VLOOKUP(C246,PO_Workflow!$A:$Q,6,0),""))</f>
        <v/>
      </c>
      <c r="J246" s="17" t="str">
        <f>IF(C246="","",IFERROR(VLOOKUP(C246,PO_Workflow!$A:$Q,11,0),""))</f>
        <v/>
      </c>
      <c r="K246" s="17" t="str">
        <f>IF(C246="","",IFERROR(VLOOKUP(C246,PO_Workflow!$A:$Q,12,0),""))</f>
        <v/>
      </c>
      <c r="L246" s="17" t="str">
        <f>IF(C246="","",IFERROR(VLOOKUP(C246,PO_Workflow!$A:$Q,13,0),""))</f>
        <v/>
      </c>
      <c r="M246" s="18" t="str">
        <f t="shared" si="9"/>
        <v/>
      </c>
      <c r="O246" s="19" t="str">
        <f>IF(C246="","",IFERROR(VLOOKUP(C246,PO_Workflow!$A:$Q,7,0),""))</f>
        <v/>
      </c>
      <c r="P246" s="19"/>
      <c r="Q246" s="16" t="str">
        <f>IF(C246="","",IFERROR(VLOOKUP(C246,PO_Workflow!$A:$Q,14,0),""))</f>
        <v/>
      </c>
      <c r="R246" s="20" t="str">
        <f>IF(C246="","",IFERROR(VLOOKUP(C246,PO_Workflow!$A:$Q,15,0),""))</f>
        <v/>
      </c>
      <c r="T246" s="16" t="str">
        <f>IF(C246="","",IFERROR(VLOOKUP(C246,PO_Workflow!$A:$Q,8,0),""))</f>
        <v/>
      </c>
      <c r="U246" s="21" t="str">
        <f t="shared" si="10"/>
        <v/>
      </c>
      <c r="V246" t="str">
        <f t="shared" si="11"/>
        <v/>
      </c>
    </row>
    <row r="247" spans="1:22" ht="15" customHeight="1" x14ac:dyDescent="0.35">
      <c r="A247" s="22"/>
      <c r="B247" s="22"/>
      <c r="C247" s="23"/>
      <c r="D247" t="str">
        <f>IF(C247&lt;&gt;"",IFERROR(VLOOKUP(C247,PO_Workflow!$A:$Q,10,0),""),IF(E247="","","PO-"&amp;TEXT(ROW()-2,"0000")))</f>
        <v/>
      </c>
      <c r="E247" s="16" t="str">
        <f>IF(C247="","",IFERROR(VLOOKUP(C247,PO_Workflow!$A:$Q,3,0),""))</f>
        <v/>
      </c>
      <c r="F247" s="16" t="str">
        <f>IF(C247="","",IFERROR(VLOOKUP(C247,PO_Workflow!$A:$Q,3,0),""))</f>
        <v/>
      </c>
      <c r="G247" s="16" t="str">
        <f>IF(C247="","",IFERROR(VLOOKUP(C247,PO_Workflow!$A:$Q,16,0),""))</f>
        <v/>
      </c>
      <c r="H247" s="16" t="str">
        <f>IF(C247="","",IFERROR(VLOOKUP(C247,PO_Workflow!$A:$Q,5,0),""))</f>
        <v/>
      </c>
      <c r="I247" s="16" t="str">
        <f>IF(C247="","",IFERROR(VLOOKUP(C247,PO_Workflow!$A:$Q,6,0),""))</f>
        <v/>
      </c>
      <c r="J247" s="17" t="str">
        <f>IF(C247="","",IFERROR(VLOOKUP(C247,PO_Workflow!$A:$Q,11,0),""))</f>
        <v/>
      </c>
      <c r="K247" s="17" t="str">
        <f>IF(C247="","",IFERROR(VLOOKUP(C247,PO_Workflow!$A:$Q,12,0),""))</f>
        <v/>
      </c>
      <c r="L247" s="17" t="str">
        <f>IF(C247="","",IFERROR(VLOOKUP(C247,PO_Workflow!$A:$Q,13,0),""))</f>
        <v/>
      </c>
      <c r="M247" s="18" t="str">
        <f t="shared" si="9"/>
        <v/>
      </c>
      <c r="O247" s="19" t="str">
        <f>IF(C247="","",IFERROR(VLOOKUP(C247,PO_Workflow!$A:$Q,7,0),""))</f>
        <v/>
      </c>
      <c r="P247" s="19"/>
      <c r="Q247" s="16" t="str">
        <f>IF(C247="","",IFERROR(VLOOKUP(C247,PO_Workflow!$A:$Q,14,0),""))</f>
        <v/>
      </c>
      <c r="R247" s="20" t="str">
        <f>IF(C247="","",IFERROR(VLOOKUP(C247,PO_Workflow!$A:$Q,15,0),""))</f>
        <v/>
      </c>
      <c r="T247" s="16" t="str">
        <f>IF(C247="","",IFERROR(VLOOKUP(C247,PO_Workflow!$A:$Q,8,0),""))</f>
        <v/>
      </c>
      <c r="U247" s="21" t="str">
        <f t="shared" si="10"/>
        <v/>
      </c>
      <c r="V247" t="str">
        <f t="shared" si="11"/>
        <v/>
      </c>
    </row>
    <row r="248" spans="1:22" ht="15" customHeight="1" x14ac:dyDescent="0.35">
      <c r="A248" s="22"/>
      <c r="B248" s="22"/>
      <c r="C248" s="23"/>
      <c r="D248" t="str">
        <f>IF(C248&lt;&gt;"",IFERROR(VLOOKUP(C248,PO_Workflow!$A:$Q,10,0),""),IF(E248="","","PO-"&amp;TEXT(ROW()-2,"0000")))</f>
        <v/>
      </c>
      <c r="E248" s="16" t="str">
        <f>IF(C248="","",IFERROR(VLOOKUP(C248,PO_Workflow!$A:$Q,3,0),""))</f>
        <v/>
      </c>
      <c r="F248" s="16" t="str">
        <f>IF(C248="","",IFERROR(VLOOKUP(C248,PO_Workflow!$A:$Q,3,0),""))</f>
        <v/>
      </c>
      <c r="G248" s="16" t="str">
        <f>IF(C248="","",IFERROR(VLOOKUP(C248,PO_Workflow!$A:$Q,16,0),""))</f>
        <v/>
      </c>
      <c r="H248" s="16" t="str">
        <f>IF(C248="","",IFERROR(VLOOKUP(C248,PO_Workflow!$A:$Q,5,0),""))</f>
        <v/>
      </c>
      <c r="I248" s="16" t="str">
        <f>IF(C248="","",IFERROR(VLOOKUP(C248,PO_Workflow!$A:$Q,6,0),""))</f>
        <v/>
      </c>
      <c r="J248" s="17" t="str">
        <f>IF(C248="","",IFERROR(VLOOKUP(C248,PO_Workflow!$A:$Q,11,0),""))</f>
        <v/>
      </c>
      <c r="K248" s="17" t="str">
        <f>IF(C248="","",IFERROR(VLOOKUP(C248,PO_Workflow!$A:$Q,12,0),""))</f>
        <v/>
      </c>
      <c r="L248" s="17" t="str">
        <f>IF(C248="","",IFERROR(VLOOKUP(C248,PO_Workflow!$A:$Q,13,0),""))</f>
        <v/>
      </c>
      <c r="M248" s="18" t="str">
        <f t="shared" si="9"/>
        <v/>
      </c>
      <c r="O248" s="19" t="str">
        <f>IF(C248="","",IFERROR(VLOOKUP(C248,PO_Workflow!$A:$Q,7,0),""))</f>
        <v/>
      </c>
      <c r="P248" s="19"/>
      <c r="Q248" s="16" t="str">
        <f>IF(C248="","",IFERROR(VLOOKUP(C248,PO_Workflow!$A:$Q,14,0),""))</f>
        <v/>
      </c>
      <c r="R248" s="20" t="str">
        <f>IF(C248="","",IFERROR(VLOOKUP(C248,PO_Workflow!$A:$Q,15,0),""))</f>
        <v/>
      </c>
      <c r="T248" s="16" t="str">
        <f>IF(C248="","",IFERROR(VLOOKUP(C248,PO_Workflow!$A:$Q,8,0),""))</f>
        <v/>
      </c>
      <c r="U248" s="21" t="str">
        <f t="shared" si="10"/>
        <v/>
      </c>
      <c r="V248" t="str">
        <f t="shared" si="11"/>
        <v/>
      </c>
    </row>
    <row r="249" spans="1:22" ht="15" customHeight="1" x14ac:dyDescent="0.35">
      <c r="A249" s="22"/>
      <c r="B249" s="22"/>
      <c r="C249" s="23"/>
      <c r="D249" t="str">
        <f>IF(C249&lt;&gt;"",IFERROR(VLOOKUP(C249,PO_Workflow!$A:$Q,10,0),""),IF(E249="","","PO-"&amp;TEXT(ROW()-2,"0000")))</f>
        <v/>
      </c>
      <c r="E249" s="16" t="str">
        <f>IF(C249="","",IFERROR(VLOOKUP(C249,PO_Workflow!$A:$Q,3,0),""))</f>
        <v/>
      </c>
      <c r="F249" s="16" t="str">
        <f>IF(C249="","",IFERROR(VLOOKUP(C249,PO_Workflow!$A:$Q,3,0),""))</f>
        <v/>
      </c>
      <c r="G249" s="16" t="str">
        <f>IF(C249="","",IFERROR(VLOOKUP(C249,PO_Workflow!$A:$Q,16,0),""))</f>
        <v/>
      </c>
      <c r="H249" s="16" t="str">
        <f>IF(C249="","",IFERROR(VLOOKUP(C249,PO_Workflow!$A:$Q,5,0),""))</f>
        <v/>
      </c>
      <c r="I249" s="16" t="str">
        <f>IF(C249="","",IFERROR(VLOOKUP(C249,PO_Workflow!$A:$Q,6,0),""))</f>
        <v/>
      </c>
      <c r="J249" s="17" t="str">
        <f>IF(C249="","",IFERROR(VLOOKUP(C249,PO_Workflow!$A:$Q,11,0),""))</f>
        <v/>
      </c>
      <c r="K249" s="17" t="str">
        <f>IF(C249="","",IFERROR(VLOOKUP(C249,PO_Workflow!$A:$Q,12,0),""))</f>
        <v/>
      </c>
      <c r="L249" s="17" t="str">
        <f>IF(C249="","",IFERROR(VLOOKUP(C249,PO_Workflow!$A:$Q,13,0),""))</f>
        <v/>
      </c>
      <c r="M249" s="18" t="str">
        <f t="shared" si="9"/>
        <v/>
      </c>
      <c r="O249" s="19" t="str">
        <f>IF(C249="","",IFERROR(VLOOKUP(C249,PO_Workflow!$A:$Q,7,0),""))</f>
        <v/>
      </c>
      <c r="P249" s="19"/>
      <c r="Q249" s="16" t="str">
        <f>IF(C249="","",IFERROR(VLOOKUP(C249,PO_Workflow!$A:$Q,14,0),""))</f>
        <v/>
      </c>
      <c r="R249" s="20" t="str">
        <f>IF(C249="","",IFERROR(VLOOKUP(C249,PO_Workflow!$A:$Q,15,0),""))</f>
        <v/>
      </c>
      <c r="T249" s="16" t="str">
        <f>IF(C249="","",IFERROR(VLOOKUP(C249,PO_Workflow!$A:$Q,8,0),""))</f>
        <v/>
      </c>
      <c r="U249" s="21" t="str">
        <f t="shared" si="10"/>
        <v/>
      </c>
      <c r="V249" t="str">
        <f t="shared" si="11"/>
        <v/>
      </c>
    </row>
    <row r="250" spans="1:22" ht="15" customHeight="1" x14ac:dyDescent="0.35">
      <c r="A250" s="22"/>
      <c r="B250" s="22"/>
      <c r="C250" s="23"/>
      <c r="D250" t="str">
        <f>IF(C250&lt;&gt;"",IFERROR(VLOOKUP(C250,PO_Workflow!$A:$Q,10,0),""),IF(E250="","","PO-"&amp;TEXT(ROW()-2,"0000")))</f>
        <v/>
      </c>
      <c r="E250" s="16" t="str">
        <f>IF(C250="","",IFERROR(VLOOKUP(C250,PO_Workflow!$A:$Q,3,0),""))</f>
        <v/>
      </c>
      <c r="F250" s="16" t="str">
        <f>IF(C250="","",IFERROR(VLOOKUP(C250,PO_Workflow!$A:$Q,3,0),""))</f>
        <v/>
      </c>
      <c r="G250" s="16" t="str">
        <f>IF(C250="","",IFERROR(VLOOKUP(C250,PO_Workflow!$A:$Q,16,0),""))</f>
        <v/>
      </c>
      <c r="H250" s="16" t="str">
        <f>IF(C250="","",IFERROR(VLOOKUP(C250,PO_Workflow!$A:$Q,5,0),""))</f>
        <v/>
      </c>
      <c r="I250" s="16" t="str">
        <f>IF(C250="","",IFERROR(VLOOKUP(C250,PO_Workflow!$A:$Q,6,0),""))</f>
        <v/>
      </c>
      <c r="J250" s="17" t="str">
        <f>IF(C250="","",IFERROR(VLOOKUP(C250,PO_Workflow!$A:$Q,11,0),""))</f>
        <v/>
      </c>
      <c r="K250" s="17" t="str">
        <f>IF(C250="","",IFERROR(VLOOKUP(C250,PO_Workflow!$A:$Q,12,0),""))</f>
        <v/>
      </c>
      <c r="L250" s="17" t="str">
        <f>IF(C250="","",IFERROR(VLOOKUP(C250,PO_Workflow!$A:$Q,13,0),""))</f>
        <v/>
      </c>
      <c r="M250" s="18" t="str">
        <f t="shared" si="9"/>
        <v/>
      </c>
      <c r="O250" s="19" t="str">
        <f>IF(C250="","",IFERROR(VLOOKUP(C250,PO_Workflow!$A:$Q,7,0),""))</f>
        <v/>
      </c>
      <c r="P250" s="19"/>
      <c r="Q250" s="16" t="str">
        <f>IF(C250="","",IFERROR(VLOOKUP(C250,PO_Workflow!$A:$Q,14,0),""))</f>
        <v/>
      </c>
      <c r="R250" s="20" t="str">
        <f>IF(C250="","",IFERROR(VLOOKUP(C250,PO_Workflow!$A:$Q,15,0),""))</f>
        <v/>
      </c>
      <c r="T250" s="16" t="str">
        <f>IF(C250="","",IFERROR(VLOOKUP(C250,PO_Workflow!$A:$Q,8,0),""))</f>
        <v/>
      </c>
      <c r="U250" s="21" t="str">
        <f t="shared" si="10"/>
        <v/>
      </c>
      <c r="V250" t="str">
        <f t="shared" si="11"/>
        <v/>
      </c>
    </row>
    <row r="251" spans="1:22" ht="15" customHeight="1" x14ac:dyDescent="0.35">
      <c r="A251" s="22"/>
      <c r="B251" s="22"/>
      <c r="C251" s="23"/>
      <c r="D251" t="str">
        <f>IF(C251&lt;&gt;"",IFERROR(VLOOKUP(C251,PO_Workflow!$A:$Q,10,0),""),IF(E251="","","PO-"&amp;TEXT(ROW()-2,"0000")))</f>
        <v/>
      </c>
      <c r="E251" s="16" t="str">
        <f>IF(C251="","",IFERROR(VLOOKUP(C251,PO_Workflow!$A:$Q,3,0),""))</f>
        <v/>
      </c>
      <c r="F251" s="16" t="str">
        <f>IF(C251="","",IFERROR(VLOOKUP(C251,PO_Workflow!$A:$Q,3,0),""))</f>
        <v/>
      </c>
      <c r="G251" s="16" t="str">
        <f>IF(C251="","",IFERROR(VLOOKUP(C251,PO_Workflow!$A:$Q,16,0),""))</f>
        <v/>
      </c>
      <c r="H251" s="16" t="str">
        <f>IF(C251="","",IFERROR(VLOOKUP(C251,PO_Workflow!$A:$Q,5,0),""))</f>
        <v/>
      </c>
      <c r="I251" s="16" t="str">
        <f>IF(C251="","",IFERROR(VLOOKUP(C251,PO_Workflow!$A:$Q,6,0),""))</f>
        <v/>
      </c>
      <c r="J251" s="17" t="str">
        <f>IF(C251="","",IFERROR(VLOOKUP(C251,PO_Workflow!$A:$Q,11,0),""))</f>
        <v/>
      </c>
      <c r="K251" s="17" t="str">
        <f>IF(C251="","",IFERROR(VLOOKUP(C251,PO_Workflow!$A:$Q,12,0),""))</f>
        <v/>
      </c>
      <c r="L251" s="17" t="str">
        <f>IF(C251="","",IFERROR(VLOOKUP(C251,PO_Workflow!$A:$Q,13,0),""))</f>
        <v/>
      </c>
      <c r="M251" s="18" t="str">
        <f t="shared" si="9"/>
        <v/>
      </c>
      <c r="O251" s="19" t="str">
        <f>IF(C251="","",IFERROR(VLOOKUP(C251,PO_Workflow!$A:$Q,7,0),""))</f>
        <v/>
      </c>
      <c r="P251" s="19"/>
      <c r="Q251" s="16" t="str">
        <f>IF(C251="","",IFERROR(VLOOKUP(C251,PO_Workflow!$A:$Q,14,0),""))</f>
        <v/>
      </c>
      <c r="R251" s="20" t="str">
        <f>IF(C251="","",IFERROR(VLOOKUP(C251,PO_Workflow!$A:$Q,15,0),""))</f>
        <v/>
      </c>
      <c r="T251" s="16" t="str">
        <f>IF(C251="","",IFERROR(VLOOKUP(C251,PO_Workflow!$A:$Q,8,0),""))</f>
        <v/>
      </c>
      <c r="U251" s="21" t="str">
        <f t="shared" si="10"/>
        <v/>
      </c>
      <c r="V251" t="str">
        <f t="shared" si="11"/>
        <v/>
      </c>
    </row>
    <row r="252" spans="1:22" ht="15" customHeight="1" x14ac:dyDescent="0.35">
      <c r="A252" s="22"/>
      <c r="B252" s="22"/>
      <c r="C252" s="23"/>
      <c r="D252" t="str">
        <f>IF(C252&lt;&gt;"",IFERROR(VLOOKUP(C252,PO_Workflow!$A:$Q,10,0),""),IF(E252="","","PO-"&amp;TEXT(ROW()-2,"0000")))</f>
        <v/>
      </c>
      <c r="E252" s="16" t="str">
        <f>IF(C252="","",IFERROR(VLOOKUP(C252,PO_Workflow!$A:$Q,3,0),""))</f>
        <v/>
      </c>
      <c r="F252" s="16" t="str">
        <f>IF(C252="","",IFERROR(VLOOKUP(C252,PO_Workflow!$A:$Q,3,0),""))</f>
        <v/>
      </c>
      <c r="G252" s="16" t="str">
        <f>IF(C252="","",IFERROR(VLOOKUP(C252,PO_Workflow!$A:$Q,16,0),""))</f>
        <v/>
      </c>
      <c r="H252" s="16" t="str">
        <f>IF(C252="","",IFERROR(VLOOKUP(C252,PO_Workflow!$A:$Q,5,0),""))</f>
        <v/>
      </c>
      <c r="I252" s="16" t="str">
        <f>IF(C252="","",IFERROR(VLOOKUP(C252,PO_Workflow!$A:$Q,6,0),""))</f>
        <v/>
      </c>
      <c r="J252" s="17" t="str">
        <f>IF(C252="","",IFERROR(VLOOKUP(C252,PO_Workflow!$A:$Q,11,0),""))</f>
        <v/>
      </c>
      <c r="K252" s="17" t="str">
        <f>IF(C252="","",IFERROR(VLOOKUP(C252,PO_Workflow!$A:$Q,12,0),""))</f>
        <v/>
      </c>
      <c r="L252" s="17" t="str">
        <f>IF(C252="","",IFERROR(VLOOKUP(C252,PO_Workflow!$A:$Q,13,0),""))</f>
        <v/>
      </c>
      <c r="M252" s="18" t="str">
        <f t="shared" si="9"/>
        <v/>
      </c>
      <c r="O252" s="19" t="str">
        <f>IF(C252="","",IFERROR(VLOOKUP(C252,PO_Workflow!$A:$Q,7,0),""))</f>
        <v/>
      </c>
      <c r="P252" s="19"/>
      <c r="Q252" s="16" t="str">
        <f>IF(C252="","",IFERROR(VLOOKUP(C252,PO_Workflow!$A:$Q,14,0),""))</f>
        <v/>
      </c>
      <c r="R252" s="20" t="str">
        <f>IF(C252="","",IFERROR(VLOOKUP(C252,PO_Workflow!$A:$Q,15,0),""))</f>
        <v/>
      </c>
      <c r="T252" s="16" t="str">
        <f>IF(C252="","",IFERROR(VLOOKUP(C252,PO_Workflow!$A:$Q,8,0),""))</f>
        <v/>
      </c>
      <c r="U252" s="21" t="str">
        <f t="shared" si="10"/>
        <v/>
      </c>
      <c r="V252" t="str">
        <f t="shared" si="11"/>
        <v/>
      </c>
    </row>
    <row r="253" spans="1:22" ht="15" customHeight="1" x14ac:dyDescent="0.35">
      <c r="A253" s="22"/>
      <c r="B253" s="22"/>
      <c r="C253" s="23"/>
      <c r="D253" t="str">
        <f>IF(C253&lt;&gt;"",IFERROR(VLOOKUP(C253,PO_Workflow!$A:$Q,10,0),""),IF(E253="","","PO-"&amp;TEXT(ROW()-2,"0000")))</f>
        <v/>
      </c>
      <c r="E253" s="16" t="str">
        <f>IF(C253="","",IFERROR(VLOOKUP(C253,PO_Workflow!$A:$Q,3,0),""))</f>
        <v/>
      </c>
      <c r="F253" s="16" t="str">
        <f>IF(C253="","",IFERROR(VLOOKUP(C253,PO_Workflow!$A:$Q,3,0),""))</f>
        <v/>
      </c>
      <c r="G253" s="16" t="str">
        <f>IF(C253="","",IFERROR(VLOOKUP(C253,PO_Workflow!$A:$Q,16,0),""))</f>
        <v/>
      </c>
      <c r="H253" s="16" t="str">
        <f>IF(C253="","",IFERROR(VLOOKUP(C253,PO_Workflow!$A:$Q,5,0),""))</f>
        <v/>
      </c>
      <c r="I253" s="16" t="str">
        <f>IF(C253="","",IFERROR(VLOOKUP(C253,PO_Workflow!$A:$Q,6,0),""))</f>
        <v/>
      </c>
      <c r="J253" s="17" t="str">
        <f>IF(C253="","",IFERROR(VLOOKUP(C253,PO_Workflow!$A:$Q,11,0),""))</f>
        <v/>
      </c>
      <c r="K253" s="17" t="str">
        <f>IF(C253="","",IFERROR(VLOOKUP(C253,PO_Workflow!$A:$Q,12,0),""))</f>
        <v/>
      </c>
      <c r="L253" s="17" t="str">
        <f>IF(C253="","",IFERROR(VLOOKUP(C253,PO_Workflow!$A:$Q,13,0),""))</f>
        <v/>
      </c>
      <c r="M253" s="18" t="str">
        <f t="shared" si="9"/>
        <v/>
      </c>
      <c r="O253" s="19" t="str">
        <f>IF(C253="","",IFERROR(VLOOKUP(C253,PO_Workflow!$A:$Q,7,0),""))</f>
        <v/>
      </c>
      <c r="P253" s="19"/>
      <c r="Q253" s="16" t="str">
        <f>IF(C253="","",IFERROR(VLOOKUP(C253,PO_Workflow!$A:$Q,14,0),""))</f>
        <v/>
      </c>
      <c r="R253" s="20" t="str">
        <f>IF(C253="","",IFERROR(VLOOKUP(C253,PO_Workflow!$A:$Q,15,0),""))</f>
        <v/>
      </c>
      <c r="T253" s="16" t="str">
        <f>IF(C253="","",IFERROR(VLOOKUP(C253,PO_Workflow!$A:$Q,8,0),""))</f>
        <v/>
      </c>
      <c r="U253" s="21" t="str">
        <f t="shared" si="10"/>
        <v/>
      </c>
      <c r="V253" t="str">
        <f t="shared" si="11"/>
        <v/>
      </c>
    </row>
    <row r="254" spans="1:22" ht="15" customHeight="1" x14ac:dyDescent="0.35">
      <c r="A254" s="22"/>
      <c r="B254" s="22"/>
      <c r="C254" s="23"/>
      <c r="D254" t="str">
        <f>IF(C254&lt;&gt;"",IFERROR(VLOOKUP(C254,PO_Workflow!$A:$Q,10,0),""),IF(E254="","","PO-"&amp;TEXT(ROW()-2,"0000")))</f>
        <v/>
      </c>
      <c r="E254" s="16" t="str">
        <f>IF(C254="","",IFERROR(VLOOKUP(C254,PO_Workflow!$A:$Q,3,0),""))</f>
        <v/>
      </c>
      <c r="F254" s="16" t="str">
        <f>IF(C254="","",IFERROR(VLOOKUP(C254,PO_Workflow!$A:$Q,3,0),""))</f>
        <v/>
      </c>
      <c r="G254" s="16" t="str">
        <f>IF(C254="","",IFERROR(VLOOKUP(C254,PO_Workflow!$A:$Q,16,0),""))</f>
        <v/>
      </c>
      <c r="H254" s="16" t="str">
        <f>IF(C254="","",IFERROR(VLOOKUP(C254,PO_Workflow!$A:$Q,5,0),""))</f>
        <v/>
      </c>
      <c r="I254" s="16" t="str">
        <f>IF(C254="","",IFERROR(VLOOKUP(C254,PO_Workflow!$A:$Q,6,0),""))</f>
        <v/>
      </c>
      <c r="J254" s="17" t="str">
        <f>IF(C254="","",IFERROR(VLOOKUP(C254,PO_Workflow!$A:$Q,11,0),""))</f>
        <v/>
      </c>
      <c r="K254" s="17" t="str">
        <f>IF(C254="","",IFERROR(VLOOKUP(C254,PO_Workflow!$A:$Q,12,0),""))</f>
        <v/>
      </c>
      <c r="L254" s="17" t="str">
        <f>IF(C254="","",IFERROR(VLOOKUP(C254,PO_Workflow!$A:$Q,13,0),""))</f>
        <v/>
      </c>
      <c r="M254" s="18" t="str">
        <f t="shared" si="9"/>
        <v/>
      </c>
      <c r="O254" s="19" t="str">
        <f>IF(C254="","",IFERROR(VLOOKUP(C254,PO_Workflow!$A:$Q,7,0),""))</f>
        <v/>
      </c>
      <c r="P254" s="19"/>
      <c r="Q254" s="16" t="str">
        <f>IF(C254="","",IFERROR(VLOOKUP(C254,PO_Workflow!$A:$Q,14,0),""))</f>
        <v/>
      </c>
      <c r="R254" s="20" t="str">
        <f>IF(C254="","",IFERROR(VLOOKUP(C254,PO_Workflow!$A:$Q,15,0),""))</f>
        <v/>
      </c>
      <c r="T254" s="16" t="str">
        <f>IF(C254="","",IFERROR(VLOOKUP(C254,PO_Workflow!$A:$Q,8,0),""))</f>
        <v/>
      </c>
      <c r="U254" s="21" t="str">
        <f t="shared" si="10"/>
        <v/>
      </c>
      <c r="V254" t="str">
        <f t="shared" si="11"/>
        <v/>
      </c>
    </row>
    <row r="255" spans="1:22" ht="15" customHeight="1" x14ac:dyDescent="0.35">
      <c r="A255" s="22"/>
      <c r="B255" s="22"/>
      <c r="C255" s="23"/>
      <c r="D255" t="str">
        <f>IF(C255&lt;&gt;"",IFERROR(VLOOKUP(C255,PO_Workflow!$A:$Q,10,0),""),IF(E255="","","PO-"&amp;TEXT(ROW()-2,"0000")))</f>
        <v/>
      </c>
      <c r="E255" s="16" t="str">
        <f>IF(C255="","",IFERROR(VLOOKUP(C255,PO_Workflow!$A:$Q,3,0),""))</f>
        <v/>
      </c>
      <c r="F255" s="16" t="str">
        <f>IF(C255="","",IFERROR(VLOOKUP(C255,PO_Workflow!$A:$Q,3,0),""))</f>
        <v/>
      </c>
      <c r="G255" s="16" t="str">
        <f>IF(C255="","",IFERROR(VLOOKUP(C255,PO_Workflow!$A:$Q,16,0),""))</f>
        <v/>
      </c>
      <c r="H255" s="16" t="str">
        <f>IF(C255="","",IFERROR(VLOOKUP(C255,PO_Workflow!$A:$Q,5,0),""))</f>
        <v/>
      </c>
      <c r="I255" s="16" t="str">
        <f>IF(C255="","",IFERROR(VLOOKUP(C255,PO_Workflow!$A:$Q,6,0),""))</f>
        <v/>
      </c>
      <c r="J255" s="17" t="str">
        <f>IF(C255="","",IFERROR(VLOOKUP(C255,PO_Workflow!$A:$Q,11,0),""))</f>
        <v/>
      </c>
      <c r="K255" s="17" t="str">
        <f>IF(C255="","",IFERROR(VLOOKUP(C255,PO_Workflow!$A:$Q,12,0),""))</f>
        <v/>
      </c>
      <c r="L255" s="17" t="str">
        <f>IF(C255="","",IFERROR(VLOOKUP(C255,PO_Workflow!$A:$Q,13,0),""))</f>
        <v/>
      </c>
      <c r="M255" s="18" t="str">
        <f t="shared" si="9"/>
        <v/>
      </c>
      <c r="O255" s="19" t="str">
        <f>IF(C255="","",IFERROR(VLOOKUP(C255,PO_Workflow!$A:$Q,7,0),""))</f>
        <v/>
      </c>
      <c r="P255" s="19"/>
      <c r="Q255" s="16" t="str">
        <f>IF(C255="","",IFERROR(VLOOKUP(C255,PO_Workflow!$A:$Q,14,0),""))</f>
        <v/>
      </c>
      <c r="R255" s="20" t="str">
        <f>IF(C255="","",IFERROR(VLOOKUP(C255,PO_Workflow!$A:$Q,15,0),""))</f>
        <v/>
      </c>
      <c r="T255" s="16" t="str">
        <f>IF(C255="","",IFERROR(VLOOKUP(C255,PO_Workflow!$A:$Q,8,0),""))</f>
        <v/>
      </c>
      <c r="U255" s="21" t="str">
        <f t="shared" si="10"/>
        <v/>
      </c>
      <c r="V255" t="str">
        <f t="shared" si="11"/>
        <v/>
      </c>
    </row>
    <row r="256" spans="1:22" ht="15" customHeight="1" x14ac:dyDescent="0.35">
      <c r="A256" s="22"/>
      <c r="B256" s="22"/>
      <c r="C256" s="23"/>
      <c r="D256" t="str">
        <f>IF(C256&lt;&gt;"",IFERROR(VLOOKUP(C256,PO_Workflow!$A:$Q,10,0),""),IF(E256="","","PO-"&amp;TEXT(ROW()-2,"0000")))</f>
        <v/>
      </c>
      <c r="E256" s="16" t="str">
        <f>IF(C256="","",IFERROR(VLOOKUP(C256,PO_Workflow!$A:$Q,3,0),""))</f>
        <v/>
      </c>
      <c r="F256" s="16" t="str">
        <f>IF(C256="","",IFERROR(VLOOKUP(C256,PO_Workflow!$A:$Q,3,0),""))</f>
        <v/>
      </c>
      <c r="G256" s="16" t="str">
        <f>IF(C256="","",IFERROR(VLOOKUP(C256,PO_Workflow!$A:$Q,16,0),""))</f>
        <v/>
      </c>
      <c r="H256" s="16" t="str">
        <f>IF(C256="","",IFERROR(VLOOKUP(C256,PO_Workflow!$A:$Q,5,0),""))</f>
        <v/>
      </c>
      <c r="I256" s="16" t="str">
        <f>IF(C256="","",IFERROR(VLOOKUP(C256,PO_Workflow!$A:$Q,6,0),""))</f>
        <v/>
      </c>
      <c r="J256" s="17" t="str">
        <f>IF(C256="","",IFERROR(VLOOKUP(C256,PO_Workflow!$A:$Q,11,0),""))</f>
        <v/>
      </c>
      <c r="K256" s="17" t="str">
        <f>IF(C256="","",IFERROR(VLOOKUP(C256,PO_Workflow!$A:$Q,12,0),""))</f>
        <v/>
      </c>
      <c r="L256" s="17" t="str">
        <f>IF(C256="","",IFERROR(VLOOKUP(C256,PO_Workflow!$A:$Q,13,0),""))</f>
        <v/>
      </c>
      <c r="M256" s="18" t="str">
        <f t="shared" si="9"/>
        <v/>
      </c>
      <c r="O256" s="19" t="str">
        <f>IF(C256="","",IFERROR(VLOOKUP(C256,PO_Workflow!$A:$Q,7,0),""))</f>
        <v/>
      </c>
      <c r="P256" s="19"/>
      <c r="Q256" s="16" t="str">
        <f>IF(C256="","",IFERROR(VLOOKUP(C256,PO_Workflow!$A:$Q,14,0),""))</f>
        <v/>
      </c>
      <c r="R256" s="20" t="str">
        <f>IF(C256="","",IFERROR(VLOOKUP(C256,PO_Workflow!$A:$Q,15,0),""))</f>
        <v/>
      </c>
      <c r="T256" s="16" t="str">
        <f>IF(C256="","",IFERROR(VLOOKUP(C256,PO_Workflow!$A:$Q,8,0),""))</f>
        <v/>
      </c>
      <c r="U256" s="21" t="str">
        <f t="shared" si="10"/>
        <v/>
      </c>
      <c r="V256" t="str">
        <f t="shared" si="11"/>
        <v/>
      </c>
    </row>
    <row r="257" spans="1:22" ht="15" customHeight="1" x14ac:dyDescent="0.35">
      <c r="A257" s="22"/>
      <c r="B257" s="22"/>
      <c r="C257" s="23"/>
      <c r="D257" t="str">
        <f>IF(C257&lt;&gt;"",IFERROR(VLOOKUP(C257,PO_Workflow!$A:$Q,10,0),""),IF(E257="","","PO-"&amp;TEXT(ROW()-2,"0000")))</f>
        <v/>
      </c>
      <c r="E257" s="16" t="str">
        <f>IF(C257="","",IFERROR(VLOOKUP(C257,PO_Workflow!$A:$Q,3,0),""))</f>
        <v/>
      </c>
      <c r="F257" s="16" t="str">
        <f>IF(C257="","",IFERROR(VLOOKUP(C257,PO_Workflow!$A:$Q,3,0),""))</f>
        <v/>
      </c>
      <c r="G257" s="16" t="str">
        <f>IF(C257="","",IFERROR(VLOOKUP(C257,PO_Workflow!$A:$Q,16,0),""))</f>
        <v/>
      </c>
      <c r="H257" s="16" t="str">
        <f>IF(C257="","",IFERROR(VLOOKUP(C257,PO_Workflow!$A:$Q,5,0),""))</f>
        <v/>
      </c>
      <c r="I257" s="16" t="str">
        <f>IF(C257="","",IFERROR(VLOOKUP(C257,PO_Workflow!$A:$Q,6,0),""))</f>
        <v/>
      </c>
      <c r="J257" s="17" t="str">
        <f>IF(C257="","",IFERROR(VLOOKUP(C257,PO_Workflow!$A:$Q,11,0),""))</f>
        <v/>
      </c>
      <c r="K257" s="17" t="str">
        <f>IF(C257="","",IFERROR(VLOOKUP(C257,PO_Workflow!$A:$Q,12,0),""))</f>
        <v/>
      </c>
      <c r="L257" s="17" t="str">
        <f>IF(C257="","",IFERROR(VLOOKUP(C257,PO_Workflow!$A:$Q,13,0),""))</f>
        <v/>
      </c>
      <c r="M257" s="18" t="str">
        <f t="shared" si="9"/>
        <v/>
      </c>
      <c r="O257" s="19" t="str">
        <f>IF(C257="","",IFERROR(VLOOKUP(C257,PO_Workflow!$A:$Q,7,0),""))</f>
        <v/>
      </c>
      <c r="P257" s="19"/>
      <c r="Q257" s="16" t="str">
        <f>IF(C257="","",IFERROR(VLOOKUP(C257,PO_Workflow!$A:$Q,14,0),""))</f>
        <v/>
      </c>
      <c r="R257" s="20" t="str">
        <f>IF(C257="","",IFERROR(VLOOKUP(C257,PO_Workflow!$A:$Q,15,0),""))</f>
        <v/>
      </c>
      <c r="T257" s="16" t="str">
        <f>IF(C257="","",IFERROR(VLOOKUP(C257,PO_Workflow!$A:$Q,8,0),""))</f>
        <v/>
      </c>
      <c r="U257" s="21" t="str">
        <f t="shared" si="10"/>
        <v/>
      </c>
      <c r="V257" t="str">
        <f t="shared" si="11"/>
        <v/>
      </c>
    </row>
    <row r="258" spans="1:22" ht="15" customHeight="1" x14ac:dyDescent="0.35">
      <c r="A258" s="22"/>
      <c r="B258" s="22"/>
      <c r="C258" s="23"/>
      <c r="D258" t="str">
        <f>IF(C258&lt;&gt;"",IFERROR(VLOOKUP(C258,PO_Workflow!$A:$Q,10,0),""),IF(E258="","","PO-"&amp;TEXT(ROW()-2,"0000")))</f>
        <v/>
      </c>
      <c r="E258" s="16" t="str">
        <f>IF(C258="","",IFERROR(VLOOKUP(C258,PO_Workflow!$A:$Q,3,0),""))</f>
        <v/>
      </c>
      <c r="F258" s="16" t="str">
        <f>IF(C258="","",IFERROR(VLOOKUP(C258,PO_Workflow!$A:$Q,3,0),""))</f>
        <v/>
      </c>
      <c r="G258" s="16" t="str">
        <f>IF(C258="","",IFERROR(VLOOKUP(C258,PO_Workflow!$A:$Q,16,0),""))</f>
        <v/>
      </c>
      <c r="H258" s="16" t="str">
        <f>IF(C258="","",IFERROR(VLOOKUP(C258,PO_Workflow!$A:$Q,5,0),""))</f>
        <v/>
      </c>
      <c r="I258" s="16" t="str">
        <f>IF(C258="","",IFERROR(VLOOKUP(C258,PO_Workflow!$A:$Q,6,0),""))</f>
        <v/>
      </c>
      <c r="J258" s="17" t="str">
        <f>IF(C258="","",IFERROR(VLOOKUP(C258,PO_Workflow!$A:$Q,11,0),""))</f>
        <v/>
      </c>
      <c r="K258" s="17" t="str">
        <f>IF(C258="","",IFERROR(VLOOKUP(C258,PO_Workflow!$A:$Q,12,0),""))</f>
        <v/>
      </c>
      <c r="L258" s="17" t="str">
        <f>IF(C258="","",IFERROR(VLOOKUP(C258,PO_Workflow!$A:$Q,13,0),""))</f>
        <v/>
      </c>
      <c r="M258" s="18" t="str">
        <f t="shared" si="9"/>
        <v/>
      </c>
      <c r="O258" s="19" t="str">
        <f>IF(C258="","",IFERROR(VLOOKUP(C258,PO_Workflow!$A:$Q,7,0),""))</f>
        <v/>
      </c>
      <c r="P258" s="19"/>
      <c r="Q258" s="16" t="str">
        <f>IF(C258="","",IFERROR(VLOOKUP(C258,PO_Workflow!$A:$Q,14,0),""))</f>
        <v/>
      </c>
      <c r="R258" s="20" t="str">
        <f>IF(C258="","",IFERROR(VLOOKUP(C258,PO_Workflow!$A:$Q,15,0),""))</f>
        <v/>
      </c>
      <c r="T258" s="16" t="str">
        <f>IF(C258="","",IFERROR(VLOOKUP(C258,PO_Workflow!$A:$Q,8,0),""))</f>
        <v/>
      </c>
      <c r="U258" s="21" t="str">
        <f t="shared" si="10"/>
        <v/>
      </c>
      <c r="V258" t="str">
        <f t="shared" si="11"/>
        <v/>
      </c>
    </row>
    <row r="259" spans="1:22" ht="15" customHeight="1" x14ac:dyDescent="0.35">
      <c r="A259" s="22"/>
      <c r="B259" s="22"/>
      <c r="C259" s="23"/>
      <c r="D259" t="str">
        <f>IF(C259&lt;&gt;"",IFERROR(VLOOKUP(C259,PO_Workflow!$A:$Q,10,0),""),IF(E259="","","PO-"&amp;TEXT(ROW()-2,"0000")))</f>
        <v/>
      </c>
      <c r="E259" s="16" t="str">
        <f>IF(C259="","",IFERROR(VLOOKUP(C259,PO_Workflow!$A:$Q,3,0),""))</f>
        <v/>
      </c>
      <c r="F259" s="16" t="str">
        <f>IF(C259="","",IFERROR(VLOOKUP(C259,PO_Workflow!$A:$Q,3,0),""))</f>
        <v/>
      </c>
      <c r="G259" s="16" t="str">
        <f>IF(C259="","",IFERROR(VLOOKUP(C259,PO_Workflow!$A:$Q,16,0),""))</f>
        <v/>
      </c>
      <c r="H259" s="16" t="str">
        <f>IF(C259="","",IFERROR(VLOOKUP(C259,PO_Workflow!$A:$Q,5,0),""))</f>
        <v/>
      </c>
      <c r="I259" s="16" t="str">
        <f>IF(C259="","",IFERROR(VLOOKUP(C259,PO_Workflow!$A:$Q,6,0),""))</f>
        <v/>
      </c>
      <c r="J259" s="17" t="str">
        <f>IF(C259="","",IFERROR(VLOOKUP(C259,PO_Workflow!$A:$Q,11,0),""))</f>
        <v/>
      </c>
      <c r="K259" s="17" t="str">
        <f>IF(C259="","",IFERROR(VLOOKUP(C259,PO_Workflow!$A:$Q,12,0),""))</f>
        <v/>
      </c>
      <c r="L259" s="17" t="str">
        <f>IF(C259="","",IFERROR(VLOOKUP(C259,PO_Workflow!$A:$Q,13,0),""))</f>
        <v/>
      </c>
      <c r="M259" s="18" t="str">
        <f t="shared" si="9"/>
        <v/>
      </c>
      <c r="O259" s="19" t="str">
        <f>IF(C259="","",IFERROR(VLOOKUP(C259,PO_Workflow!$A:$Q,7,0),""))</f>
        <v/>
      </c>
      <c r="P259" s="19"/>
      <c r="Q259" s="16" t="str">
        <f>IF(C259="","",IFERROR(VLOOKUP(C259,PO_Workflow!$A:$Q,14,0),""))</f>
        <v/>
      </c>
      <c r="R259" s="20" t="str">
        <f>IF(C259="","",IFERROR(VLOOKUP(C259,PO_Workflow!$A:$Q,15,0),""))</f>
        <v/>
      </c>
      <c r="T259" s="16" t="str">
        <f>IF(C259="","",IFERROR(VLOOKUP(C259,PO_Workflow!$A:$Q,8,0),""))</f>
        <v/>
      </c>
      <c r="U259" s="21" t="str">
        <f t="shared" si="10"/>
        <v/>
      </c>
      <c r="V259" t="str">
        <f t="shared" si="11"/>
        <v/>
      </c>
    </row>
    <row r="260" spans="1:22" ht="15" customHeight="1" x14ac:dyDescent="0.35">
      <c r="A260" s="22"/>
      <c r="B260" s="22"/>
      <c r="C260" s="23"/>
      <c r="D260" t="str">
        <f>IF(C260&lt;&gt;"",IFERROR(VLOOKUP(C260,PO_Workflow!$A:$Q,10,0),""),IF(E260="","","PO-"&amp;TEXT(ROW()-2,"0000")))</f>
        <v/>
      </c>
      <c r="E260" s="16" t="str">
        <f>IF(C260="","",IFERROR(VLOOKUP(C260,PO_Workflow!$A:$Q,3,0),""))</f>
        <v/>
      </c>
      <c r="F260" s="16" t="str">
        <f>IF(C260="","",IFERROR(VLOOKUP(C260,PO_Workflow!$A:$Q,3,0),""))</f>
        <v/>
      </c>
      <c r="G260" s="16" t="str">
        <f>IF(C260="","",IFERROR(VLOOKUP(C260,PO_Workflow!$A:$Q,16,0),""))</f>
        <v/>
      </c>
      <c r="H260" s="16" t="str">
        <f>IF(C260="","",IFERROR(VLOOKUP(C260,PO_Workflow!$A:$Q,5,0),""))</f>
        <v/>
      </c>
      <c r="I260" s="16" t="str">
        <f>IF(C260="","",IFERROR(VLOOKUP(C260,PO_Workflow!$A:$Q,6,0),""))</f>
        <v/>
      </c>
      <c r="J260" s="17" t="str">
        <f>IF(C260="","",IFERROR(VLOOKUP(C260,PO_Workflow!$A:$Q,11,0),""))</f>
        <v/>
      </c>
      <c r="K260" s="17" t="str">
        <f>IF(C260="","",IFERROR(VLOOKUP(C260,PO_Workflow!$A:$Q,12,0),""))</f>
        <v/>
      </c>
      <c r="L260" s="17" t="str">
        <f>IF(C260="","",IFERROR(VLOOKUP(C260,PO_Workflow!$A:$Q,13,0),""))</f>
        <v/>
      </c>
      <c r="M260" s="18" t="str">
        <f t="shared" si="9"/>
        <v/>
      </c>
      <c r="O260" s="19" t="str">
        <f>IF(C260="","",IFERROR(VLOOKUP(C260,PO_Workflow!$A:$Q,7,0),""))</f>
        <v/>
      </c>
      <c r="P260" s="19"/>
      <c r="Q260" s="16" t="str">
        <f>IF(C260="","",IFERROR(VLOOKUP(C260,PO_Workflow!$A:$Q,14,0),""))</f>
        <v/>
      </c>
      <c r="R260" s="20" t="str">
        <f>IF(C260="","",IFERROR(VLOOKUP(C260,PO_Workflow!$A:$Q,15,0),""))</f>
        <v/>
      </c>
      <c r="T260" s="16" t="str">
        <f>IF(C260="","",IFERROR(VLOOKUP(C260,PO_Workflow!$A:$Q,8,0),""))</f>
        <v/>
      </c>
      <c r="U260" s="21" t="str">
        <f t="shared" si="10"/>
        <v/>
      </c>
      <c r="V260" t="str">
        <f t="shared" si="11"/>
        <v/>
      </c>
    </row>
    <row r="261" spans="1:22" ht="15" customHeight="1" x14ac:dyDescent="0.35">
      <c r="A261" s="22"/>
      <c r="B261" s="22"/>
      <c r="C261" s="23"/>
      <c r="D261" t="str">
        <f>IF(C261&lt;&gt;"",IFERROR(VLOOKUP(C261,PO_Workflow!$A:$Q,10,0),""),IF(E261="","","PO-"&amp;TEXT(ROW()-2,"0000")))</f>
        <v/>
      </c>
      <c r="E261" s="16" t="str">
        <f>IF(C261="","",IFERROR(VLOOKUP(C261,PO_Workflow!$A:$Q,3,0),""))</f>
        <v/>
      </c>
      <c r="F261" s="16" t="str">
        <f>IF(C261="","",IFERROR(VLOOKUP(C261,PO_Workflow!$A:$Q,3,0),""))</f>
        <v/>
      </c>
      <c r="G261" s="16" t="str">
        <f>IF(C261="","",IFERROR(VLOOKUP(C261,PO_Workflow!$A:$Q,16,0),""))</f>
        <v/>
      </c>
      <c r="H261" s="16" t="str">
        <f>IF(C261="","",IFERROR(VLOOKUP(C261,PO_Workflow!$A:$Q,5,0),""))</f>
        <v/>
      </c>
      <c r="I261" s="16" t="str">
        <f>IF(C261="","",IFERROR(VLOOKUP(C261,PO_Workflow!$A:$Q,6,0),""))</f>
        <v/>
      </c>
      <c r="J261" s="17" t="str">
        <f>IF(C261="","",IFERROR(VLOOKUP(C261,PO_Workflow!$A:$Q,11,0),""))</f>
        <v/>
      </c>
      <c r="K261" s="17" t="str">
        <f>IF(C261="","",IFERROR(VLOOKUP(C261,PO_Workflow!$A:$Q,12,0),""))</f>
        <v/>
      </c>
      <c r="L261" s="17" t="str">
        <f>IF(C261="","",IFERROR(VLOOKUP(C261,PO_Workflow!$A:$Q,13,0),""))</f>
        <v/>
      </c>
      <c r="M261" s="18" t="str">
        <f t="shared" si="9"/>
        <v/>
      </c>
      <c r="O261" s="19" t="str">
        <f>IF(C261="","",IFERROR(VLOOKUP(C261,PO_Workflow!$A:$Q,7,0),""))</f>
        <v/>
      </c>
      <c r="P261" s="19"/>
      <c r="Q261" s="16" t="str">
        <f>IF(C261="","",IFERROR(VLOOKUP(C261,PO_Workflow!$A:$Q,14,0),""))</f>
        <v/>
      </c>
      <c r="R261" s="20" t="str">
        <f>IF(C261="","",IFERROR(VLOOKUP(C261,PO_Workflow!$A:$Q,15,0),""))</f>
        <v/>
      </c>
      <c r="T261" s="16" t="str">
        <f>IF(C261="","",IFERROR(VLOOKUP(C261,PO_Workflow!$A:$Q,8,0),""))</f>
        <v/>
      </c>
      <c r="U261" s="21" t="str">
        <f t="shared" si="10"/>
        <v/>
      </c>
      <c r="V261" t="str">
        <f t="shared" si="11"/>
        <v/>
      </c>
    </row>
    <row r="262" spans="1:22" ht="15" customHeight="1" x14ac:dyDescent="0.35">
      <c r="A262" s="22"/>
      <c r="B262" s="22"/>
      <c r="C262" s="23"/>
      <c r="D262" t="str">
        <f>IF(C262&lt;&gt;"",IFERROR(VLOOKUP(C262,PO_Workflow!$A:$Q,10,0),""),IF(E262="","","PO-"&amp;TEXT(ROW()-2,"0000")))</f>
        <v/>
      </c>
      <c r="E262" s="16" t="str">
        <f>IF(C262="","",IFERROR(VLOOKUP(C262,PO_Workflow!$A:$Q,3,0),""))</f>
        <v/>
      </c>
      <c r="F262" s="16" t="str">
        <f>IF(C262="","",IFERROR(VLOOKUP(C262,PO_Workflow!$A:$Q,3,0),""))</f>
        <v/>
      </c>
      <c r="G262" s="16" t="str">
        <f>IF(C262="","",IFERROR(VLOOKUP(C262,PO_Workflow!$A:$Q,16,0),""))</f>
        <v/>
      </c>
      <c r="H262" s="16" t="str">
        <f>IF(C262="","",IFERROR(VLOOKUP(C262,PO_Workflow!$A:$Q,5,0),""))</f>
        <v/>
      </c>
      <c r="I262" s="16" t="str">
        <f>IF(C262="","",IFERROR(VLOOKUP(C262,PO_Workflow!$A:$Q,6,0),""))</f>
        <v/>
      </c>
      <c r="J262" s="17" t="str">
        <f>IF(C262="","",IFERROR(VLOOKUP(C262,PO_Workflow!$A:$Q,11,0),""))</f>
        <v/>
      </c>
      <c r="K262" s="17" t="str">
        <f>IF(C262="","",IFERROR(VLOOKUP(C262,PO_Workflow!$A:$Q,12,0),""))</f>
        <v/>
      </c>
      <c r="L262" s="17" t="str">
        <f>IF(C262="","",IFERROR(VLOOKUP(C262,PO_Workflow!$A:$Q,13,0),""))</f>
        <v/>
      </c>
      <c r="M262" s="18" t="str">
        <f t="shared" si="9"/>
        <v/>
      </c>
      <c r="O262" s="19" t="str">
        <f>IF(C262="","",IFERROR(VLOOKUP(C262,PO_Workflow!$A:$Q,7,0),""))</f>
        <v/>
      </c>
      <c r="P262" s="19"/>
      <c r="Q262" s="16" t="str">
        <f>IF(C262="","",IFERROR(VLOOKUP(C262,PO_Workflow!$A:$Q,14,0),""))</f>
        <v/>
      </c>
      <c r="R262" s="20" t="str">
        <f>IF(C262="","",IFERROR(VLOOKUP(C262,PO_Workflow!$A:$Q,15,0),""))</f>
        <v/>
      </c>
      <c r="T262" s="16" t="str">
        <f>IF(C262="","",IFERROR(VLOOKUP(C262,PO_Workflow!$A:$Q,8,0),""))</f>
        <v/>
      </c>
      <c r="U262" s="21" t="str">
        <f t="shared" si="10"/>
        <v/>
      </c>
      <c r="V262" t="str">
        <f t="shared" si="11"/>
        <v/>
      </c>
    </row>
    <row r="263" spans="1:22" ht="15" customHeight="1" x14ac:dyDescent="0.35">
      <c r="A263" s="22"/>
      <c r="B263" s="22"/>
      <c r="C263" s="23"/>
      <c r="D263" t="str">
        <f>IF(C263&lt;&gt;"",IFERROR(VLOOKUP(C263,PO_Workflow!$A:$Q,10,0),""),IF(E263="","","PO-"&amp;TEXT(ROW()-2,"0000")))</f>
        <v/>
      </c>
      <c r="E263" s="16" t="str">
        <f>IF(C263="","",IFERROR(VLOOKUP(C263,PO_Workflow!$A:$Q,3,0),""))</f>
        <v/>
      </c>
      <c r="F263" s="16" t="str">
        <f>IF(C263="","",IFERROR(VLOOKUP(C263,PO_Workflow!$A:$Q,3,0),""))</f>
        <v/>
      </c>
      <c r="G263" s="16" t="str">
        <f>IF(C263="","",IFERROR(VLOOKUP(C263,PO_Workflow!$A:$Q,16,0),""))</f>
        <v/>
      </c>
      <c r="H263" s="16" t="str">
        <f>IF(C263="","",IFERROR(VLOOKUP(C263,PO_Workflow!$A:$Q,5,0),""))</f>
        <v/>
      </c>
      <c r="I263" s="16" t="str">
        <f>IF(C263="","",IFERROR(VLOOKUP(C263,PO_Workflow!$A:$Q,6,0),""))</f>
        <v/>
      </c>
      <c r="J263" s="17" t="str">
        <f>IF(C263="","",IFERROR(VLOOKUP(C263,PO_Workflow!$A:$Q,11,0),""))</f>
        <v/>
      </c>
      <c r="K263" s="17" t="str">
        <f>IF(C263="","",IFERROR(VLOOKUP(C263,PO_Workflow!$A:$Q,12,0),""))</f>
        <v/>
      </c>
      <c r="L263" s="17" t="str">
        <f>IF(C263="","",IFERROR(VLOOKUP(C263,PO_Workflow!$A:$Q,13,0),""))</f>
        <v/>
      </c>
      <c r="M263" s="18" t="str">
        <f t="shared" si="9"/>
        <v/>
      </c>
      <c r="O263" s="19" t="str">
        <f>IF(C263="","",IFERROR(VLOOKUP(C263,PO_Workflow!$A:$Q,7,0),""))</f>
        <v/>
      </c>
      <c r="P263" s="19"/>
      <c r="Q263" s="16" t="str">
        <f>IF(C263="","",IFERROR(VLOOKUP(C263,PO_Workflow!$A:$Q,14,0),""))</f>
        <v/>
      </c>
      <c r="R263" s="20" t="str">
        <f>IF(C263="","",IFERROR(VLOOKUP(C263,PO_Workflow!$A:$Q,15,0),""))</f>
        <v/>
      </c>
      <c r="T263" s="16" t="str">
        <f>IF(C263="","",IFERROR(VLOOKUP(C263,PO_Workflow!$A:$Q,8,0),""))</f>
        <v/>
      </c>
      <c r="U263" s="21" t="str">
        <f t="shared" si="10"/>
        <v/>
      </c>
      <c r="V263" t="str">
        <f t="shared" si="11"/>
        <v/>
      </c>
    </row>
    <row r="264" spans="1:22" ht="15" customHeight="1" x14ac:dyDescent="0.35">
      <c r="A264" s="22"/>
      <c r="B264" s="22"/>
      <c r="C264" s="23"/>
      <c r="D264" t="str">
        <f>IF(C264&lt;&gt;"",IFERROR(VLOOKUP(C264,PO_Workflow!$A:$Q,10,0),""),IF(E264="","","PO-"&amp;TEXT(ROW()-2,"0000")))</f>
        <v/>
      </c>
      <c r="E264" s="16" t="str">
        <f>IF(C264="","",IFERROR(VLOOKUP(C264,PO_Workflow!$A:$Q,3,0),""))</f>
        <v/>
      </c>
      <c r="F264" s="16" t="str">
        <f>IF(C264="","",IFERROR(VLOOKUP(C264,PO_Workflow!$A:$Q,3,0),""))</f>
        <v/>
      </c>
      <c r="G264" s="16" t="str">
        <f>IF(C264="","",IFERROR(VLOOKUP(C264,PO_Workflow!$A:$Q,16,0),""))</f>
        <v/>
      </c>
      <c r="H264" s="16" t="str">
        <f>IF(C264="","",IFERROR(VLOOKUP(C264,PO_Workflow!$A:$Q,5,0),""))</f>
        <v/>
      </c>
      <c r="I264" s="16" t="str">
        <f>IF(C264="","",IFERROR(VLOOKUP(C264,PO_Workflow!$A:$Q,6,0),""))</f>
        <v/>
      </c>
      <c r="J264" s="17" t="str">
        <f>IF(C264="","",IFERROR(VLOOKUP(C264,PO_Workflow!$A:$Q,11,0),""))</f>
        <v/>
      </c>
      <c r="K264" s="17" t="str">
        <f>IF(C264="","",IFERROR(VLOOKUP(C264,PO_Workflow!$A:$Q,12,0),""))</f>
        <v/>
      </c>
      <c r="L264" s="17" t="str">
        <f>IF(C264="","",IFERROR(VLOOKUP(C264,PO_Workflow!$A:$Q,13,0),""))</f>
        <v/>
      </c>
      <c r="M264" s="18" t="str">
        <f t="shared" si="9"/>
        <v/>
      </c>
      <c r="O264" s="19" t="str">
        <f>IF(C264="","",IFERROR(VLOOKUP(C264,PO_Workflow!$A:$Q,7,0),""))</f>
        <v/>
      </c>
      <c r="P264" s="19"/>
      <c r="Q264" s="16" t="str">
        <f>IF(C264="","",IFERROR(VLOOKUP(C264,PO_Workflow!$A:$Q,14,0),""))</f>
        <v/>
      </c>
      <c r="R264" s="20" t="str">
        <f>IF(C264="","",IFERROR(VLOOKUP(C264,PO_Workflow!$A:$Q,15,0),""))</f>
        <v/>
      </c>
      <c r="T264" s="16" t="str">
        <f>IF(C264="","",IFERROR(VLOOKUP(C264,PO_Workflow!$A:$Q,8,0),""))</f>
        <v/>
      </c>
      <c r="U264" s="21" t="str">
        <f t="shared" si="10"/>
        <v/>
      </c>
      <c r="V264" t="str">
        <f t="shared" si="11"/>
        <v/>
      </c>
    </row>
    <row r="265" spans="1:22" ht="15" customHeight="1" x14ac:dyDescent="0.35">
      <c r="A265" s="22"/>
      <c r="B265" s="22"/>
      <c r="C265" s="23"/>
      <c r="D265" t="str">
        <f>IF(C265&lt;&gt;"",IFERROR(VLOOKUP(C265,PO_Workflow!$A:$Q,10,0),""),IF(E265="","","PO-"&amp;TEXT(ROW()-2,"0000")))</f>
        <v/>
      </c>
      <c r="E265" s="16" t="str">
        <f>IF(C265="","",IFERROR(VLOOKUP(C265,PO_Workflow!$A:$Q,3,0),""))</f>
        <v/>
      </c>
      <c r="F265" s="16" t="str">
        <f>IF(C265="","",IFERROR(VLOOKUP(C265,PO_Workflow!$A:$Q,3,0),""))</f>
        <v/>
      </c>
      <c r="G265" s="16" t="str">
        <f>IF(C265="","",IFERROR(VLOOKUP(C265,PO_Workflow!$A:$Q,16,0),""))</f>
        <v/>
      </c>
      <c r="H265" s="16" t="str">
        <f>IF(C265="","",IFERROR(VLOOKUP(C265,PO_Workflow!$A:$Q,5,0),""))</f>
        <v/>
      </c>
      <c r="I265" s="16" t="str">
        <f>IF(C265="","",IFERROR(VLOOKUP(C265,PO_Workflow!$A:$Q,6,0),""))</f>
        <v/>
      </c>
      <c r="J265" s="17" t="str">
        <f>IF(C265="","",IFERROR(VLOOKUP(C265,PO_Workflow!$A:$Q,11,0),""))</f>
        <v/>
      </c>
      <c r="K265" s="17" t="str">
        <f>IF(C265="","",IFERROR(VLOOKUP(C265,PO_Workflow!$A:$Q,12,0),""))</f>
        <v/>
      </c>
      <c r="L265" s="17" t="str">
        <f>IF(C265="","",IFERROR(VLOOKUP(C265,PO_Workflow!$A:$Q,13,0),""))</f>
        <v/>
      </c>
      <c r="M265" s="18" t="str">
        <f t="shared" si="9"/>
        <v/>
      </c>
      <c r="O265" s="19" t="str">
        <f>IF(C265="","",IFERROR(VLOOKUP(C265,PO_Workflow!$A:$Q,7,0),""))</f>
        <v/>
      </c>
      <c r="P265" s="19"/>
      <c r="Q265" s="16" t="str">
        <f>IF(C265="","",IFERROR(VLOOKUP(C265,PO_Workflow!$A:$Q,14,0),""))</f>
        <v/>
      </c>
      <c r="R265" s="20" t="str">
        <f>IF(C265="","",IFERROR(VLOOKUP(C265,PO_Workflow!$A:$Q,15,0),""))</f>
        <v/>
      </c>
      <c r="T265" s="16" t="str">
        <f>IF(C265="","",IFERROR(VLOOKUP(C265,PO_Workflow!$A:$Q,8,0),""))</f>
        <v/>
      </c>
      <c r="U265" s="21" t="str">
        <f t="shared" si="10"/>
        <v/>
      </c>
      <c r="V265" t="str">
        <f t="shared" si="11"/>
        <v/>
      </c>
    </row>
    <row r="266" spans="1:22" ht="15" customHeight="1" x14ac:dyDescent="0.35">
      <c r="A266" s="22"/>
      <c r="B266" s="22"/>
      <c r="C266" s="23"/>
      <c r="D266" t="str">
        <f>IF(C266&lt;&gt;"",IFERROR(VLOOKUP(C266,PO_Workflow!$A:$Q,10,0),""),IF(E266="","","PO-"&amp;TEXT(ROW()-2,"0000")))</f>
        <v/>
      </c>
      <c r="E266" s="16" t="str">
        <f>IF(C266="","",IFERROR(VLOOKUP(C266,PO_Workflow!$A:$Q,3,0),""))</f>
        <v/>
      </c>
      <c r="F266" s="16" t="str">
        <f>IF(C266="","",IFERROR(VLOOKUP(C266,PO_Workflow!$A:$Q,3,0),""))</f>
        <v/>
      </c>
      <c r="G266" s="16" t="str">
        <f>IF(C266="","",IFERROR(VLOOKUP(C266,PO_Workflow!$A:$Q,16,0),""))</f>
        <v/>
      </c>
      <c r="H266" s="16" t="str">
        <f>IF(C266="","",IFERROR(VLOOKUP(C266,PO_Workflow!$A:$Q,5,0),""))</f>
        <v/>
      </c>
      <c r="I266" s="16" t="str">
        <f>IF(C266="","",IFERROR(VLOOKUP(C266,PO_Workflow!$A:$Q,6,0),""))</f>
        <v/>
      </c>
      <c r="J266" s="17" t="str">
        <f>IF(C266="","",IFERROR(VLOOKUP(C266,PO_Workflow!$A:$Q,11,0),""))</f>
        <v/>
      </c>
      <c r="K266" s="17" t="str">
        <f>IF(C266="","",IFERROR(VLOOKUP(C266,PO_Workflow!$A:$Q,12,0),""))</f>
        <v/>
      </c>
      <c r="L266" s="17" t="str">
        <f>IF(C266="","",IFERROR(VLOOKUP(C266,PO_Workflow!$A:$Q,13,0),""))</f>
        <v/>
      </c>
      <c r="M266" s="18" t="str">
        <f t="shared" si="9"/>
        <v/>
      </c>
      <c r="O266" s="19" t="str">
        <f>IF(C266="","",IFERROR(VLOOKUP(C266,PO_Workflow!$A:$Q,7,0),""))</f>
        <v/>
      </c>
      <c r="P266" s="19"/>
      <c r="Q266" s="16" t="str">
        <f>IF(C266="","",IFERROR(VLOOKUP(C266,PO_Workflow!$A:$Q,14,0),""))</f>
        <v/>
      </c>
      <c r="R266" s="20" t="str">
        <f>IF(C266="","",IFERROR(VLOOKUP(C266,PO_Workflow!$A:$Q,15,0),""))</f>
        <v/>
      </c>
      <c r="T266" s="16" t="str">
        <f>IF(C266="","",IFERROR(VLOOKUP(C266,PO_Workflow!$A:$Q,8,0),""))</f>
        <v/>
      </c>
      <c r="U266" s="21" t="str">
        <f t="shared" si="10"/>
        <v/>
      </c>
      <c r="V266" t="str">
        <f t="shared" si="11"/>
        <v/>
      </c>
    </row>
    <row r="267" spans="1:22" ht="15" customHeight="1" x14ac:dyDescent="0.35">
      <c r="A267" s="22"/>
      <c r="B267" s="22"/>
      <c r="C267" s="23"/>
      <c r="D267" t="str">
        <f>IF(C267&lt;&gt;"",IFERROR(VLOOKUP(C267,PO_Workflow!$A:$Q,10,0),""),IF(E267="","","PO-"&amp;TEXT(ROW()-2,"0000")))</f>
        <v/>
      </c>
      <c r="E267" s="16" t="str">
        <f>IF(C267="","",IFERROR(VLOOKUP(C267,PO_Workflow!$A:$Q,3,0),""))</f>
        <v/>
      </c>
      <c r="F267" s="16" t="str">
        <f>IF(C267="","",IFERROR(VLOOKUP(C267,PO_Workflow!$A:$Q,3,0),""))</f>
        <v/>
      </c>
      <c r="G267" s="16" t="str">
        <f>IF(C267="","",IFERROR(VLOOKUP(C267,PO_Workflow!$A:$Q,16,0),""))</f>
        <v/>
      </c>
      <c r="H267" s="16" t="str">
        <f>IF(C267="","",IFERROR(VLOOKUP(C267,PO_Workflow!$A:$Q,5,0),""))</f>
        <v/>
      </c>
      <c r="I267" s="16" t="str">
        <f>IF(C267="","",IFERROR(VLOOKUP(C267,PO_Workflow!$A:$Q,6,0),""))</f>
        <v/>
      </c>
      <c r="J267" s="17" t="str">
        <f>IF(C267="","",IFERROR(VLOOKUP(C267,PO_Workflow!$A:$Q,11,0),""))</f>
        <v/>
      </c>
      <c r="K267" s="17" t="str">
        <f>IF(C267="","",IFERROR(VLOOKUP(C267,PO_Workflow!$A:$Q,12,0),""))</f>
        <v/>
      </c>
      <c r="L267" s="17" t="str">
        <f>IF(C267="","",IFERROR(VLOOKUP(C267,PO_Workflow!$A:$Q,13,0),""))</f>
        <v/>
      </c>
      <c r="M267" s="18" t="str">
        <f t="shared" si="9"/>
        <v/>
      </c>
      <c r="O267" s="19" t="str">
        <f>IF(C267="","",IFERROR(VLOOKUP(C267,PO_Workflow!$A:$Q,7,0),""))</f>
        <v/>
      </c>
      <c r="P267" s="19"/>
      <c r="Q267" s="16" t="str">
        <f>IF(C267="","",IFERROR(VLOOKUP(C267,PO_Workflow!$A:$Q,14,0),""))</f>
        <v/>
      </c>
      <c r="R267" s="20" t="str">
        <f>IF(C267="","",IFERROR(VLOOKUP(C267,PO_Workflow!$A:$Q,15,0),""))</f>
        <v/>
      </c>
      <c r="T267" s="16" t="str">
        <f>IF(C267="","",IFERROR(VLOOKUP(C267,PO_Workflow!$A:$Q,8,0),""))</f>
        <v/>
      </c>
      <c r="U267" s="21" t="str">
        <f t="shared" si="10"/>
        <v/>
      </c>
      <c r="V267" t="str">
        <f t="shared" si="11"/>
        <v/>
      </c>
    </row>
    <row r="268" spans="1:22" ht="15" customHeight="1" x14ac:dyDescent="0.35">
      <c r="A268" s="22"/>
      <c r="B268" s="22"/>
      <c r="C268" s="23"/>
      <c r="D268" t="str">
        <f>IF(C268&lt;&gt;"",IFERROR(VLOOKUP(C268,PO_Workflow!$A:$Q,10,0),""),IF(E268="","","PO-"&amp;TEXT(ROW()-2,"0000")))</f>
        <v/>
      </c>
      <c r="E268" s="16" t="str">
        <f>IF(C268="","",IFERROR(VLOOKUP(C268,PO_Workflow!$A:$Q,3,0),""))</f>
        <v/>
      </c>
      <c r="F268" s="16" t="str">
        <f>IF(C268="","",IFERROR(VLOOKUP(C268,PO_Workflow!$A:$Q,3,0),""))</f>
        <v/>
      </c>
      <c r="G268" s="16" t="str">
        <f>IF(C268="","",IFERROR(VLOOKUP(C268,PO_Workflow!$A:$Q,16,0),""))</f>
        <v/>
      </c>
      <c r="H268" s="16" t="str">
        <f>IF(C268="","",IFERROR(VLOOKUP(C268,PO_Workflow!$A:$Q,5,0),""))</f>
        <v/>
      </c>
      <c r="I268" s="16" t="str">
        <f>IF(C268="","",IFERROR(VLOOKUP(C268,PO_Workflow!$A:$Q,6,0),""))</f>
        <v/>
      </c>
      <c r="J268" s="17" t="str">
        <f>IF(C268="","",IFERROR(VLOOKUP(C268,PO_Workflow!$A:$Q,11,0),""))</f>
        <v/>
      </c>
      <c r="K268" s="17" t="str">
        <f>IF(C268="","",IFERROR(VLOOKUP(C268,PO_Workflow!$A:$Q,12,0),""))</f>
        <v/>
      </c>
      <c r="L268" s="17" t="str">
        <f>IF(C268="","",IFERROR(VLOOKUP(C268,PO_Workflow!$A:$Q,13,0),""))</f>
        <v/>
      </c>
      <c r="M268" s="18" t="str">
        <f t="shared" si="9"/>
        <v/>
      </c>
      <c r="O268" s="19" t="str">
        <f>IF(C268="","",IFERROR(VLOOKUP(C268,PO_Workflow!$A:$Q,7,0),""))</f>
        <v/>
      </c>
      <c r="P268" s="19"/>
      <c r="Q268" s="16" t="str">
        <f>IF(C268="","",IFERROR(VLOOKUP(C268,PO_Workflow!$A:$Q,14,0),""))</f>
        <v/>
      </c>
      <c r="R268" s="20" t="str">
        <f>IF(C268="","",IFERROR(VLOOKUP(C268,PO_Workflow!$A:$Q,15,0),""))</f>
        <v/>
      </c>
      <c r="T268" s="16" t="str">
        <f>IF(C268="","",IFERROR(VLOOKUP(C268,PO_Workflow!$A:$Q,8,0),""))</f>
        <v/>
      </c>
      <c r="U268" s="21" t="str">
        <f t="shared" si="10"/>
        <v/>
      </c>
      <c r="V268" t="str">
        <f t="shared" si="11"/>
        <v/>
      </c>
    </row>
    <row r="269" spans="1:22" ht="15" customHeight="1" x14ac:dyDescent="0.35">
      <c r="A269" s="22"/>
      <c r="B269" s="22"/>
      <c r="C269" s="23"/>
      <c r="D269" t="str">
        <f>IF(C269&lt;&gt;"",IFERROR(VLOOKUP(C269,PO_Workflow!$A:$Q,10,0),""),IF(E269="","","PO-"&amp;TEXT(ROW()-2,"0000")))</f>
        <v/>
      </c>
      <c r="E269" s="16" t="str">
        <f>IF(C269="","",IFERROR(VLOOKUP(C269,PO_Workflow!$A:$Q,3,0),""))</f>
        <v/>
      </c>
      <c r="F269" s="16" t="str">
        <f>IF(C269="","",IFERROR(VLOOKUP(C269,PO_Workflow!$A:$Q,3,0),""))</f>
        <v/>
      </c>
      <c r="G269" s="16" t="str">
        <f>IF(C269="","",IFERROR(VLOOKUP(C269,PO_Workflow!$A:$Q,16,0),""))</f>
        <v/>
      </c>
      <c r="H269" s="16" t="str">
        <f>IF(C269="","",IFERROR(VLOOKUP(C269,PO_Workflow!$A:$Q,5,0),""))</f>
        <v/>
      </c>
      <c r="I269" s="16" t="str">
        <f>IF(C269="","",IFERROR(VLOOKUP(C269,PO_Workflow!$A:$Q,6,0),""))</f>
        <v/>
      </c>
      <c r="J269" s="17" t="str">
        <f>IF(C269="","",IFERROR(VLOOKUP(C269,PO_Workflow!$A:$Q,11,0),""))</f>
        <v/>
      </c>
      <c r="K269" s="17" t="str">
        <f>IF(C269="","",IFERROR(VLOOKUP(C269,PO_Workflow!$A:$Q,12,0),""))</f>
        <v/>
      </c>
      <c r="L269" s="17" t="str">
        <f>IF(C269="","",IFERROR(VLOOKUP(C269,PO_Workflow!$A:$Q,13,0),""))</f>
        <v/>
      </c>
      <c r="M269" s="18" t="str">
        <f t="shared" si="9"/>
        <v/>
      </c>
      <c r="O269" s="19" t="str">
        <f>IF(C269="","",IFERROR(VLOOKUP(C269,PO_Workflow!$A:$Q,7,0),""))</f>
        <v/>
      </c>
      <c r="P269" s="19"/>
      <c r="Q269" s="16" t="str">
        <f>IF(C269="","",IFERROR(VLOOKUP(C269,PO_Workflow!$A:$Q,14,0),""))</f>
        <v/>
      </c>
      <c r="R269" s="20" t="str">
        <f>IF(C269="","",IFERROR(VLOOKUP(C269,PO_Workflow!$A:$Q,15,0),""))</f>
        <v/>
      </c>
      <c r="T269" s="16" t="str">
        <f>IF(C269="","",IFERROR(VLOOKUP(C269,PO_Workflow!$A:$Q,8,0),""))</f>
        <v/>
      </c>
      <c r="U269" s="21" t="str">
        <f t="shared" si="10"/>
        <v/>
      </c>
      <c r="V269" t="str">
        <f t="shared" si="11"/>
        <v/>
      </c>
    </row>
    <row r="270" spans="1:22" ht="15" customHeight="1" x14ac:dyDescent="0.35">
      <c r="A270" s="22"/>
      <c r="B270" s="22"/>
      <c r="C270" s="23"/>
      <c r="D270" t="str">
        <f>IF(C270&lt;&gt;"",IFERROR(VLOOKUP(C270,PO_Workflow!$A:$Q,10,0),""),IF(E270="","","PO-"&amp;TEXT(ROW()-2,"0000")))</f>
        <v/>
      </c>
      <c r="E270" s="16" t="str">
        <f>IF(C270="","",IFERROR(VLOOKUP(C270,PO_Workflow!$A:$Q,3,0),""))</f>
        <v/>
      </c>
      <c r="F270" s="16" t="str">
        <f>IF(C270="","",IFERROR(VLOOKUP(C270,PO_Workflow!$A:$Q,3,0),""))</f>
        <v/>
      </c>
      <c r="G270" s="16" t="str">
        <f>IF(C270="","",IFERROR(VLOOKUP(C270,PO_Workflow!$A:$Q,16,0),""))</f>
        <v/>
      </c>
      <c r="H270" s="16" t="str">
        <f>IF(C270="","",IFERROR(VLOOKUP(C270,PO_Workflow!$A:$Q,5,0),""))</f>
        <v/>
      </c>
      <c r="I270" s="16" t="str">
        <f>IF(C270="","",IFERROR(VLOOKUP(C270,PO_Workflow!$A:$Q,6,0),""))</f>
        <v/>
      </c>
      <c r="J270" s="17" t="str">
        <f>IF(C270="","",IFERROR(VLOOKUP(C270,PO_Workflow!$A:$Q,11,0),""))</f>
        <v/>
      </c>
      <c r="K270" s="17" t="str">
        <f>IF(C270="","",IFERROR(VLOOKUP(C270,PO_Workflow!$A:$Q,12,0),""))</f>
        <v/>
      </c>
      <c r="L270" s="17" t="str">
        <f>IF(C270="","",IFERROR(VLOOKUP(C270,PO_Workflow!$A:$Q,13,0),""))</f>
        <v/>
      </c>
      <c r="M270" s="18" t="str">
        <f t="shared" si="9"/>
        <v/>
      </c>
      <c r="O270" s="19" t="str">
        <f>IF(C270="","",IFERROR(VLOOKUP(C270,PO_Workflow!$A:$Q,7,0),""))</f>
        <v/>
      </c>
      <c r="P270" s="19"/>
      <c r="Q270" s="16" t="str">
        <f>IF(C270="","",IFERROR(VLOOKUP(C270,PO_Workflow!$A:$Q,14,0),""))</f>
        <v/>
      </c>
      <c r="R270" s="20" t="str">
        <f>IF(C270="","",IFERROR(VLOOKUP(C270,PO_Workflow!$A:$Q,15,0),""))</f>
        <v/>
      </c>
      <c r="T270" s="16" t="str">
        <f>IF(C270="","",IFERROR(VLOOKUP(C270,PO_Workflow!$A:$Q,8,0),""))</f>
        <v/>
      </c>
      <c r="U270" s="21" t="str">
        <f t="shared" si="10"/>
        <v/>
      </c>
      <c r="V270" t="str">
        <f t="shared" si="11"/>
        <v/>
      </c>
    </row>
    <row r="271" spans="1:22" ht="15" customHeight="1" x14ac:dyDescent="0.35">
      <c r="A271" s="22"/>
      <c r="B271" s="22"/>
      <c r="C271" s="23"/>
      <c r="D271" t="str">
        <f>IF(C271&lt;&gt;"",IFERROR(VLOOKUP(C271,PO_Workflow!$A:$Q,10,0),""),IF(E271="","","PO-"&amp;TEXT(ROW()-2,"0000")))</f>
        <v/>
      </c>
      <c r="E271" s="16" t="str">
        <f>IF(C271="","",IFERROR(VLOOKUP(C271,PO_Workflow!$A:$Q,3,0),""))</f>
        <v/>
      </c>
      <c r="F271" s="16" t="str">
        <f>IF(C271="","",IFERROR(VLOOKUP(C271,PO_Workflow!$A:$Q,3,0),""))</f>
        <v/>
      </c>
      <c r="G271" s="16" t="str">
        <f>IF(C271="","",IFERROR(VLOOKUP(C271,PO_Workflow!$A:$Q,16,0),""))</f>
        <v/>
      </c>
      <c r="H271" s="16" t="str">
        <f>IF(C271="","",IFERROR(VLOOKUP(C271,PO_Workflow!$A:$Q,5,0),""))</f>
        <v/>
      </c>
      <c r="I271" s="16" t="str">
        <f>IF(C271="","",IFERROR(VLOOKUP(C271,PO_Workflow!$A:$Q,6,0),""))</f>
        <v/>
      </c>
      <c r="J271" s="17" t="str">
        <f>IF(C271="","",IFERROR(VLOOKUP(C271,PO_Workflow!$A:$Q,11,0),""))</f>
        <v/>
      </c>
      <c r="K271" s="17" t="str">
        <f>IF(C271="","",IFERROR(VLOOKUP(C271,PO_Workflow!$A:$Q,12,0),""))</f>
        <v/>
      </c>
      <c r="L271" s="17" t="str">
        <f>IF(C271="","",IFERROR(VLOOKUP(C271,PO_Workflow!$A:$Q,13,0),""))</f>
        <v/>
      </c>
      <c r="M271" s="18" t="str">
        <f t="shared" si="9"/>
        <v/>
      </c>
      <c r="O271" s="19" t="str">
        <f>IF(C271="","",IFERROR(VLOOKUP(C271,PO_Workflow!$A:$Q,7,0),""))</f>
        <v/>
      </c>
      <c r="P271" s="19"/>
      <c r="Q271" s="16" t="str">
        <f>IF(C271="","",IFERROR(VLOOKUP(C271,PO_Workflow!$A:$Q,14,0),""))</f>
        <v/>
      </c>
      <c r="R271" s="20" t="str">
        <f>IF(C271="","",IFERROR(VLOOKUP(C271,PO_Workflow!$A:$Q,15,0),""))</f>
        <v/>
      </c>
      <c r="T271" s="16" t="str">
        <f>IF(C271="","",IFERROR(VLOOKUP(C271,PO_Workflow!$A:$Q,8,0),""))</f>
        <v/>
      </c>
      <c r="U271" s="21" t="str">
        <f t="shared" si="10"/>
        <v/>
      </c>
      <c r="V271" t="str">
        <f t="shared" si="11"/>
        <v/>
      </c>
    </row>
    <row r="272" spans="1:22" ht="15" customHeight="1" x14ac:dyDescent="0.35">
      <c r="A272" s="22"/>
      <c r="B272" s="22"/>
      <c r="C272" s="23"/>
      <c r="D272" t="str">
        <f>IF(C272&lt;&gt;"",IFERROR(VLOOKUP(C272,PO_Workflow!$A:$Q,10,0),""),IF(E272="","","PO-"&amp;TEXT(ROW()-2,"0000")))</f>
        <v/>
      </c>
      <c r="E272" s="16" t="str">
        <f>IF(C272="","",IFERROR(VLOOKUP(C272,PO_Workflow!$A:$Q,3,0),""))</f>
        <v/>
      </c>
      <c r="F272" s="16" t="str">
        <f>IF(C272="","",IFERROR(VLOOKUP(C272,PO_Workflow!$A:$Q,3,0),""))</f>
        <v/>
      </c>
      <c r="G272" s="16" t="str">
        <f>IF(C272="","",IFERROR(VLOOKUP(C272,PO_Workflow!$A:$Q,16,0),""))</f>
        <v/>
      </c>
      <c r="H272" s="16" t="str">
        <f>IF(C272="","",IFERROR(VLOOKUP(C272,PO_Workflow!$A:$Q,5,0),""))</f>
        <v/>
      </c>
      <c r="I272" s="16" t="str">
        <f>IF(C272="","",IFERROR(VLOOKUP(C272,PO_Workflow!$A:$Q,6,0),""))</f>
        <v/>
      </c>
      <c r="J272" s="17" t="str">
        <f>IF(C272="","",IFERROR(VLOOKUP(C272,PO_Workflow!$A:$Q,11,0),""))</f>
        <v/>
      </c>
      <c r="K272" s="17" t="str">
        <f>IF(C272="","",IFERROR(VLOOKUP(C272,PO_Workflow!$A:$Q,12,0),""))</f>
        <v/>
      </c>
      <c r="L272" s="17" t="str">
        <f>IF(C272="","",IFERROR(VLOOKUP(C272,PO_Workflow!$A:$Q,13,0),""))</f>
        <v/>
      </c>
      <c r="M272" s="18" t="str">
        <f t="shared" si="9"/>
        <v/>
      </c>
      <c r="O272" s="19" t="str">
        <f>IF(C272="","",IFERROR(VLOOKUP(C272,PO_Workflow!$A:$Q,7,0),""))</f>
        <v/>
      </c>
      <c r="P272" s="19"/>
      <c r="Q272" s="16" t="str">
        <f>IF(C272="","",IFERROR(VLOOKUP(C272,PO_Workflow!$A:$Q,14,0),""))</f>
        <v/>
      </c>
      <c r="R272" s="20" t="str">
        <f>IF(C272="","",IFERROR(VLOOKUP(C272,PO_Workflow!$A:$Q,15,0),""))</f>
        <v/>
      </c>
      <c r="T272" s="16" t="str">
        <f>IF(C272="","",IFERROR(VLOOKUP(C272,PO_Workflow!$A:$Q,8,0),""))</f>
        <v/>
      </c>
      <c r="U272" s="21" t="str">
        <f t="shared" si="10"/>
        <v/>
      </c>
      <c r="V272" t="str">
        <f t="shared" si="11"/>
        <v/>
      </c>
    </row>
    <row r="273" spans="1:22" ht="15" customHeight="1" x14ac:dyDescent="0.35">
      <c r="A273" s="22"/>
      <c r="B273" s="22"/>
      <c r="C273" s="23"/>
      <c r="D273" t="str">
        <f>IF(C273&lt;&gt;"",IFERROR(VLOOKUP(C273,PO_Workflow!$A:$Q,10,0),""),IF(E273="","","PO-"&amp;TEXT(ROW()-2,"0000")))</f>
        <v/>
      </c>
      <c r="E273" s="16" t="str">
        <f>IF(C273="","",IFERROR(VLOOKUP(C273,PO_Workflow!$A:$Q,3,0),""))</f>
        <v/>
      </c>
      <c r="F273" s="16" t="str">
        <f>IF(C273="","",IFERROR(VLOOKUP(C273,PO_Workflow!$A:$Q,3,0),""))</f>
        <v/>
      </c>
      <c r="G273" s="16" t="str">
        <f>IF(C273="","",IFERROR(VLOOKUP(C273,PO_Workflow!$A:$Q,16,0),""))</f>
        <v/>
      </c>
      <c r="H273" s="16" t="str">
        <f>IF(C273="","",IFERROR(VLOOKUP(C273,PO_Workflow!$A:$Q,5,0),""))</f>
        <v/>
      </c>
      <c r="I273" s="16" t="str">
        <f>IF(C273="","",IFERROR(VLOOKUP(C273,PO_Workflow!$A:$Q,6,0),""))</f>
        <v/>
      </c>
      <c r="J273" s="17" t="str">
        <f>IF(C273="","",IFERROR(VLOOKUP(C273,PO_Workflow!$A:$Q,11,0),""))</f>
        <v/>
      </c>
      <c r="K273" s="17" t="str">
        <f>IF(C273="","",IFERROR(VLOOKUP(C273,PO_Workflow!$A:$Q,12,0),""))</f>
        <v/>
      </c>
      <c r="L273" s="17" t="str">
        <f>IF(C273="","",IFERROR(VLOOKUP(C273,PO_Workflow!$A:$Q,13,0),""))</f>
        <v/>
      </c>
      <c r="M273" s="18" t="str">
        <f t="shared" si="9"/>
        <v/>
      </c>
      <c r="O273" s="19" t="str">
        <f>IF(C273="","",IFERROR(VLOOKUP(C273,PO_Workflow!$A:$Q,7,0),""))</f>
        <v/>
      </c>
      <c r="P273" s="19"/>
      <c r="Q273" s="16" t="str">
        <f>IF(C273="","",IFERROR(VLOOKUP(C273,PO_Workflow!$A:$Q,14,0),""))</f>
        <v/>
      </c>
      <c r="R273" s="20" t="str">
        <f>IF(C273="","",IFERROR(VLOOKUP(C273,PO_Workflow!$A:$Q,15,0),""))</f>
        <v/>
      </c>
      <c r="T273" s="16" t="str">
        <f>IF(C273="","",IFERROR(VLOOKUP(C273,PO_Workflow!$A:$Q,8,0),""))</f>
        <v/>
      </c>
      <c r="U273" s="21" t="str">
        <f t="shared" si="10"/>
        <v/>
      </c>
      <c r="V273" t="str">
        <f t="shared" si="11"/>
        <v/>
      </c>
    </row>
    <row r="274" spans="1:22" ht="15" customHeight="1" x14ac:dyDescent="0.35">
      <c r="A274" s="22"/>
      <c r="B274" s="22"/>
      <c r="C274" s="23"/>
      <c r="D274" t="str">
        <f>IF(C274&lt;&gt;"",IFERROR(VLOOKUP(C274,PO_Workflow!$A:$Q,10,0),""),IF(E274="","","PO-"&amp;TEXT(ROW()-2,"0000")))</f>
        <v/>
      </c>
      <c r="E274" s="16" t="str">
        <f>IF(C274="","",IFERROR(VLOOKUP(C274,PO_Workflow!$A:$Q,3,0),""))</f>
        <v/>
      </c>
      <c r="F274" s="16" t="str">
        <f>IF(C274="","",IFERROR(VLOOKUP(C274,PO_Workflow!$A:$Q,3,0),""))</f>
        <v/>
      </c>
      <c r="G274" s="16" t="str">
        <f>IF(C274="","",IFERROR(VLOOKUP(C274,PO_Workflow!$A:$Q,16,0),""))</f>
        <v/>
      </c>
      <c r="H274" s="16" t="str">
        <f>IF(C274="","",IFERROR(VLOOKUP(C274,PO_Workflow!$A:$Q,5,0),""))</f>
        <v/>
      </c>
      <c r="I274" s="16" t="str">
        <f>IF(C274="","",IFERROR(VLOOKUP(C274,PO_Workflow!$A:$Q,6,0),""))</f>
        <v/>
      </c>
      <c r="J274" s="17" t="str">
        <f>IF(C274="","",IFERROR(VLOOKUP(C274,PO_Workflow!$A:$Q,11,0),""))</f>
        <v/>
      </c>
      <c r="K274" s="17" t="str">
        <f>IF(C274="","",IFERROR(VLOOKUP(C274,PO_Workflow!$A:$Q,12,0),""))</f>
        <v/>
      </c>
      <c r="L274" s="17" t="str">
        <f>IF(C274="","",IFERROR(VLOOKUP(C274,PO_Workflow!$A:$Q,13,0),""))</f>
        <v/>
      </c>
      <c r="M274" s="18" t="str">
        <f t="shared" si="9"/>
        <v/>
      </c>
      <c r="O274" s="19" t="str">
        <f>IF(C274="","",IFERROR(VLOOKUP(C274,PO_Workflow!$A:$Q,7,0),""))</f>
        <v/>
      </c>
      <c r="P274" s="19"/>
      <c r="Q274" s="16" t="str">
        <f>IF(C274="","",IFERROR(VLOOKUP(C274,PO_Workflow!$A:$Q,14,0),""))</f>
        <v/>
      </c>
      <c r="R274" s="20" t="str">
        <f>IF(C274="","",IFERROR(VLOOKUP(C274,PO_Workflow!$A:$Q,15,0),""))</f>
        <v/>
      </c>
      <c r="T274" s="16" t="str">
        <f>IF(C274="","",IFERROR(VLOOKUP(C274,PO_Workflow!$A:$Q,8,0),""))</f>
        <v/>
      </c>
      <c r="U274" s="21" t="str">
        <f t="shared" si="10"/>
        <v/>
      </c>
      <c r="V274" t="str">
        <f t="shared" si="11"/>
        <v/>
      </c>
    </row>
    <row r="275" spans="1:22" ht="15" customHeight="1" x14ac:dyDescent="0.35">
      <c r="A275" s="22"/>
      <c r="B275" s="22"/>
      <c r="C275" s="23"/>
      <c r="D275" t="str">
        <f>IF(C275&lt;&gt;"",IFERROR(VLOOKUP(C275,PO_Workflow!$A:$Q,10,0),""),IF(E275="","","PO-"&amp;TEXT(ROW()-2,"0000")))</f>
        <v/>
      </c>
      <c r="E275" s="16" t="str">
        <f>IF(C275="","",IFERROR(VLOOKUP(C275,PO_Workflow!$A:$Q,3,0),""))</f>
        <v/>
      </c>
      <c r="F275" s="16" t="str">
        <f>IF(C275="","",IFERROR(VLOOKUP(C275,PO_Workflow!$A:$Q,3,0),""))</f>
        <v/>
      </c>
      <c r="G275" s="16" t="str">
        <f>IF(C275="","",IFERROR(VLOOKUP(C275,PO_Workflow!$A:$Q,16,0),""))</f>
        <v/>
      </c>
      <c r="H275" s="16" t="str">
        <f>IF(C275="","",IFERROR(VLOOKUP(C275,PO_Workflow!$A:$Q,5,0),""))</f>
        <v/>
      </c>
      <c r="I275" s="16" t="str">
        <f>IF(C275="","",IFERROR(VLOOKUP(C275,PO_Workflow!$A:$Q,6,0),""))</f>
        <v/>
      </c>
      <c r="J275" s="17" t="str">
        <f>IF(C275="","",IFERROR(VLOOKUP(C275,PO_Workflow!$A:$Q,11,0),""))</f>
        <v/>
      </c>
      <c r="K275" s="17" t="str">
        <f>IF(C275="","",IFERROR(VLOOKUP(C275,PO_Workflow!$A:$Q,12,0),""))</f>
        <v/>
      </c>
      <c r="L275" s="17" t="str">
        <f>IF(C275="","",IFERROR(VLOOKUP(C275,PO_Workflow!$A:$Q,13,0),""))</f>
        <v/>
      </c>
      <c r="M275" s="18" t="str">
        <f t="shared" si="9"/>
        <v/>
      </c>
      <c r="O275" s="19" t="str">
        <f>IF(C275="","",IFERROR(VLOOKUP(C275,PO_Workflow!$A:$Q,7,0),""))</f>
        <v/>
      </c>
      <c r="P275" s="19"/>
      <c r="Q275" s="16" t="str">
        <f>IF(C275="","",IFERROR(VLOOKUP(C275,PO_Workflow!$A:$Q,14,0),""))</f>
        <v/>
      </c>
      <c r="R275" s="20" t="str">
        <f>IF(C275="","",IFERROR(VLOOKUP(C275,PO_Workflow!$A:$Q,15,0),""))</f>
        <v/>
      </c>
      <c r="T275" s="16" t="str">
        <f>IF(C275="","",IFERROR(VLOOKUP(C275,PO_Workflow!$A:$Q,8,0),""))</f>
        <v/>
      </c>
      <c r="U275" s="21" t="str">
        <f t="shared" si="10"/>
        <v/>
      </c>
      <c r="V275" t="str">
        <f t="shared" si="11"/>
        <v/>
      </c>
    </row>
    <row r="276" spans="1:22" ht="15" customHeight="1" x14ac:dyDescent="0.35">
      <c r="A276" s="22"/>
      <c r="B276" s="22"/>
      <c r="C276" s="23"/>
      <c r="D276" t="str">
        <f>IF(C276&lt;&gt;"",IFERROR(VLOOKUP(C276,PO_Workflow!$A:$Q,10,0),""),IF(E276="","","PO-"&amp;TEXT(ROW()-2,"0000")))</f>
        <v/>
      </c>
      <c r="E276" s="16" t="str">
        <f>IF(C276="","",IFERROR(VLOOKUP(C276,PO_Workflow!$A:$Q,3,0),""))</f>
        <v/>
      </c>
      <c r="F276" s="16" t="str">
        <f>IF(C276="","",IFERROR(VLOOKUP(C276,PO_Workflow!$A:$Q,3,0),""))</f>
        <v/>
      </c>
      <c r="G276" s="16" t="str">
        <f>IF(C276="","",IFERROR(VLOOKUP(C276,PO_Workflow!$A:$Q,16,0),""))</f>
        <v/>
      </c>
      <c r="H276" s="16" t="str">
        <f>IF(C276="","",IFERROR(VLOOKUP(C276,PO_Workflow!$A:$Q,5,0),""))</f>
        <v/>
      </c>
      <c r="I276" s="16" t="str">
        <f>IF(C276="","",IFERROR(VLOOKUP(C276,PO_Workflow!$A:$Q,6,0),""))</f>
        <v/>
      </c>
      <c r="J276" s="17" t="str">
        <f>IF(C276="","",IFERROR(VLOOKUP(C276,PO_Workflow!$A:$Q,11,0),""))</f>
        <v/>
      </c>
      <c r="K276" s="17" t="str">
        <f>IF(C276="","",IFERROR(VLOOKUP(C276,PO_Workflow!$A:$Q,12,0),""))</f>
        <v/>
      </c>
      <c r="L276" s="17" t="str">
        <f>IF(C276="","",IFERROR(VLOOKUP(C276,PO_Workflow!$A:$Q,13,0),""))</f>
        <v/>
      </c>
      <c r="M276" s="18" t="str">
        <f t="shared" si="9"/>
        <v/>
      </c>
      <c r="O276" s="19" t="str">
        <f>IF(C276="","",IFERROR(VLOOKUP(C276,PO_Workflow!$A:$Q,7,0),""))</f>
        <v/>
      </c>
      <c r="P276" s="19"/>
      <c r="Q276" s="16" t="str">
        <f>IF(C276="","",IFERROR(VLOOKUP(C276,PO_Workflow!$A:$Q,14,0),""))</f>
        <v/>
      </c>
      <c r="R276" s="20" t="str">
        <f>IF(C276="","",IFERROR(VLOOKUP(C276,PO_Workflow!$A:$Q,15,0),""))</f>
        <v/>
      </c>
      <c r="T276" s="16" t="str">
        <f>IF(C276="","",IFERROR(VLOOKUP(C276,PO_Workflow!$A:$Q,8,0),""))</f>
        <v/>
      </c>
      <c r="U276" s="21" t="str">
        <f t="shared" si="10"/>
        <v/>
      </c>
      <c r="V276" t="str">
        <f t="shared" si="11"/>
        <v/>
      </c>
    </row>
    <row r="277" spans="1:22" ht="15" customHeight="1" x14ac:dyDescent="0.35">
      <c r="A277" s="22"/>
      <c r="B277" s="22"/>
      <c r="C277" s="23"/>
      <c r="D277" t="str">
        <f>IF(C277&lt;&gt;"",IFERROR(VLOOKUP(C277,PO_Workflow!$A:$Q,10,0),""),IF(E277="","","PO-"&amp;TEXT(ROW()-2,"0000")))</f>
        <v/>
      </c>
      <c r="E277" s="16" t="str">
        <f>IF(C277="","",IFERROR(VLOOKUP(C277,PO_Workflow!$A:$Q,3,0),""))</f>
        <v/>
      </c>
      <c r="F277" s="16" t="str">
        <f>IF(C277="","",IFERROR(VLOOKUP(C277,PO_Workflow!$A:$Q,3,0),""))</f>
        <v/>
      </c>
      <c r="G277" s="16" t="str">
        <f>IF(C277="","",IFERROR(VLOOKUP(C277,PO_Workflow!$A:$Q,16,0),""))</f>
        <v/>
      </c>
      <c r="H277" s="16" t="str">
        <f>IF(C277="","",IFERROR(VLOOKUP(C277,PO_Workflow!$A:$Q,5,0),""))</f>
        <v/>
      </c>
      <c r="I277" s="16" t="str">
        <f>IF(C277="","",IFERROR(VLOOKUP(C277,PO_Workflow!$A:$Q,6,0),""))</f>
        <v/>
      </c>
      <c r="J277" s="17" t="str">
        <f>IF(C277="","",IFERROR(VLOOKUP(C277,PO_Workflow!$A:$Q,11,0),""))</f>
        <v/>
      </c>
      <c r="K277" s="17" t="str">
        <f>IF(C277="","",IFERROR(VLOOKUP(C277,PO_Workflow!$A:$Q,12,0),""))</f>
        <v/>
      </c>
      <c r="L277" s="17" t="str">
        <f>IF(C277="","",IFERROR(VLOOKUP(C277,PO_Workflow!$A:$Q,13,0),""))</f>
        <v/>
      </c>
      <c r="M277" s="18" t="str">
        <f t="shared" si="9"/>
        <v/>
      </c>
      <c r="O277" s="19" t="str">
        <f>IF(C277="","",IFERROR(VLOOKUP(C277,PO_Workflow!$A:$Q,7,0),""))</f>
        <v/>
      </c>
      <c r="P277" s="19"/>
      <c r="Q277" s="16" t="str">
        <f>IF(C277="","",IFERROR(VLOOKUP(C277,PO_Workflow!$A:$Q,14,0),""))</f>
        <v/>
      </c>
      <c r="R277" s="20" t="str">
        <f>IF(C277="","",IFERROR(VLOOKUP(C277,PO_Workflow!$A:$Q,15,0),""))</f>
        <v/>
      </c>
      <c r="T277" s="16" t="str">
        <f>IF(C277="","",IFERROR(VLOOKUP(C277,PO_Workflow!$A:$Q,8,0),""))</f>
        <v/>
      </c>
      <c r="U277" s="21" t="str">
        <f t="shared" si="10"/>
        <v/>
      </c>
      <c r="V277" t="str">
        <f t="shared" si="11"/>
        <v/>
      </c>
    </row>
    <row r="278" spans="1:22" ht="15" customHeight="1" x14ac:dyDescent="0.35">
      <c r="A278" s="22"/>
      <c r="B278" s="22"/>
      <c r="C278" s="23"/>
      <c r="D278" t="str">
        <f>IF(C278&lt;&gt;"",IFERROR(VLOOKUP(C278,PO_Workflow!$A:$Q,10,0),""),IF(E278="","","PO-"&amp;TEXT(ROW()-2,"0000")))</f>
        <v/>
      </c>
      <c r="E278" s="16" t="str">
        <f>IF(C278="","",IFERROR(VLOOKUP(C278,PO_Workflow!$A:$Q,3,0),""))</f>
        <v/>
      </c>
      <c r="F278" s="16" t="str">
        <f>IF(C278="","",IFERROR(VLOOKUP(C278,PO_Workflow!$A:$Q,3,0),""))</f>
        <v/>
      </c>
      <c r="G278" s="16" t="str">
        <f>IF(C278="","",IFERROR(VLOOKUP(C278,PO_Workflow!$A:$Q,16,0),""))</f>
        <v/>
      </c>
      <c r="H278" s="16" t="str">
        <f>IF(C278="","",IFERROR(VLOOKUP(C278,PO_Workflow!$A:$Q,5,0),""))</f>
        <v/>
      </c>
      <c r="I278" s="16" t="str">
        <f>IF(C278="","",IFERROR(VLOOKUP(C278,PO_Workflow!$A:$Q,6,0),""))</f>
        <v/>
      </c>
      <c r="J278" s="17" t="str">
        <f>IF(C278="","",IFERROR(VLOOKUP(C278,PO_Workflow!$A:$Q,11,0),""))</f>
        <v/>
      </c>
      <c r="K278" s="17" t="str">
        <f>IF(C278="","",IFERROR(VLOOKUP(C278,PO_Workflow!$A:$Q,12,0),""))</f>
        <v/>
      </c>
      <c r="L278" s="17" t="str">
        <f>IF(C278="","",IFERROR(VLOOKUP(C278,PO_Workflow!$A:$Q,13,0),""))</f>
        <v/>
      </c>
      <c r="M278" s="18" t="str">
        <f t="shared" si="9"/>
        <v/>
      </c>
      <c r="O278" s="19" t="str">
        <f>IF(C278="","",IFERROR(VLOOKUP(C278,PO_Workflow!$A:$Q,7,0),""))</f>
        <v/>
      </c>
      <c r="P278" s="19"/>
      <c r="Q278" s="16" t="str">
        <f>IF(C278="","",IFERROR(VLOOKUP(C278,PO_Workflow!$A:$Q,14,0),""))</f>
        <v/>
      </c>
      <c r="R278" s="20" t="str">
        <f>IF(C278="","",IFERROR(VLOOKUP(C278,PO_Workflow!$A:$Q,15,0),""))</f>
        <v/>
      </c>
      <c r="T278" s="16" t="str">
        <f>IF(C278="","",IFERROR(VLOOKUP(C278,PO_Workflow!$A:$Q,8,0),""))</f>
        <v/>
      </c>
      <c r="U278" s="21" t="str">
        <f t="shared" si="10"/>
        <v/>
      </c>
      <c r="V278" t="str">
        <f t="shared" si="11"/>
        <v/>
      </c>
    </row>
    <row r="279" spans="1:22" ht="15" customHeight="1" x14ac:dyDescent="0.35">
      <c r="A279" s="22"/>
      <c r="B279" s="22"/>
      <c r="C279" s="23"/>
      <c r="D279" t="str">
        <f>IF(C279&lt;&gt;"",IFERROR(VLOOKUP(C279,PO_Workflow!$A:$Q,10,0),""),IF(E279="","","PO-"&amp;TEXT(ROW()-2,"0000")))</f>
        <v/>
      </c>
      <c r="E279" s="16" t="str">
        <f>IF(C279="","",IFERROR(VLOOKUP(C279,PO_Workflow!$A:$Q,3,0),""))</f>
        <v/>
      </c>
      <c r="F279" s="16" t="str">
        <f>IF(C279="","",IFERROR(VLOOKUP(C279,PO_Workflow!$A:$Q,3,0),""))</f>
        <v/>
      </c>
      <c r="G279" s="16" t="str">
        <f>IF(C279="","",IFERROR(VLOOKUP(C279,PO_Workflow!$A:$Q,16,0),""))</f>
        <v/>
      </c>
      <c r="H279" s="16" t="str">
        <f>IF(C279="","",IFERROR(VLOOKUP(C279,PO_Workflow!$A:$Q,5,0),""))</f>
        <v/>
      </c>
      <c r="I279" s="16" t="str">
        <f>IF(C279="","",IFERROR(VLOOKUP(C279,PO_Workflow!$A:$Q,6,0),""))</f>
        <v/>
      </c>
      <c r="J279" s="17" t="str">
        <f>IF(C279="","",IFERROR(VLOOKUP(C279,PO_Workflow!$A:$Q,11,0),""))</f>
        <v/>
      </c>
      <c r="K279" s="17" t="str">
        <f>IF(C279="","",IFERROR(VLOOKUP(C279,PO_Workflow!$A:$Q,12,0),""))</f>
        <v/>
      </c>
      <c r="L279" s="17" t="str">
        <f>IF(C279="","",IFERROR(VLOOKUP(C279,PO_Workflow!$A:$Q,13,0),""))</f>
        <v/>
      </c>
      <c r="M279" s="18" t="str">
        <f t="shared" si="9"/>
        <v/>
      </c>
      <c r="O279" s="19" t="str">
        <f>IF(C279="","",IFERROR(VLOOKUP(C279,PO_Workflow!$A:$Q,7,0),""))</f>
        <v/>
      </c>
      <c r="P279" s="19"/>
      <c r="Q279" s="16" t="str">
        <f>IF(C279="","",IFERROR(VLOOKUP(C279,PO_Workflow!$A:$Q,14,0),""))</f>
        <v/>
      </c>
      <c r="R279" s="20" t="str">
        <f>IF(C279="","",IFERROR(VLOOKUP(C279,PO_Workflow!$A:$Q,15,0),""))</f>
        <v/>
      </c>
      <c r="T279" s="16" t="str">
        <f>IF(C279="","",IFERROR(VLOOKUP(C279,PO_Workflow!$A:$Q,8,0),""))</f>
        <v/>
      </c>
      <c r="U279" s="21" t="str">
        <f t="shared" si="10"/>
        <v/>
      </c>
      <c r="V279" t="str">
        <f t="shared" si="11"/>
        <v/>
      </c>
    </row>
    <row r="280" spans="1:22" ht="15" customHeight="1" x14ac:dyDescent="0.35">
      <c r="A280" s="22"/>
      <c r="B280" s="22"/>
      <c r="C280" s="23"/>
      <c r="D280" t="str">
        <f>IF(C280&lt;&gt;"",IFERROR(VLOOKUP(C280,PO_Workflow!$A:$Q,10,0),""),IF(E280="","","PO-"&amp;TEXT(ROW()-2,"0000")))</f>
        <v/>
      </c>
      <c r="E280" s="16" t="str">
        <f>IF(C280="","",IFERROR(VLOOKUP(C280,PO_Workflow!$A:$Q,3,0),""))</f>
        <v/>
      </c>
      <c r="F280" s="16" t="str">
        <f>IF(C280="","",IFERROR(VLOOKUP(C280,PO_Workflow!$A:$Q,3,0),""))</f>
        <v/>
      </c>
      <c r="G280" s="16" t="str">
        <f>IF(C280="","",IFERROR(VLOOKUP(C280,PO_Workflow!$A:$Q,16,0),""))</f>
        <v/>
      </c>
      <c r="H280" s="16" t="str">
        <f>IF(C280="","",IFERROR(VLOOKUP(C280,PO_Workflow!$A:$Q,5,0),""))</f>
        <v/>
      </c>
      <c r="I280" s="16" t="str">
        <f>IF(C280="","",IFERROR(VLOOKUP(C280,PO_Workflow!$A:$Q,6,0),""))</f>
        <v/>
      </c>
      <c r="J280" s="17" t="str">
        <f>IF(C280="","",IFERROR(VLOOKUP(C280,PO_Workflow!$A:$Q,11,0),""))</f>
        <v/>
      </c>
      <c r="K280" s="17" t="str">
        <f>IF(C280="","",IFERROR(VLOOKUP(C280,PO_Workflow!$A:$Q,12,0),""))</f>
        <v/>
      </c>
      <c r="L280" s="17" t="str">
        <f>IF(C280="","",IFERROR(VLOOKUP(C280,PO_Workflow!$A:$Q,13,0),""))</f>
        <v/>
      </c>
      <c r="M280" s="18" t="str">
        <f t="shared" si="9"/>
        <v/>
      </c>
      <c r="O280" s="19" t="str">
        <f>IF(C280="","",IFERROR(VLOOKUP(C280,PO_Workflow!$A:$Q,7,0),""))</f>
        <v/>
      </c>
      <c r="P280" s="19"/>
      <c r="Q280" s="16" t="str">
        <f>IF(C280="","",IFERROR(VLOOKUP(C280,PO_Workflow!$A:$Q,14,0),""))</f>
        <v/>
      </c>
      <c r="R280" s="20" t="str">
        <f>IF(C280="","",IFERROR(VLOOKUP(C280,PO_Workflow!$A:$Q,15,0),""))</f>
        <v/>
      </c>
      <c r="T280" s="16" t="str">
        <f>IF(C280="","",IFERROR(VLOOKUP(C280,PO_Workflow!$A:$Q,8,0),""))</f>
        <v/>
      </c>
      <c r="U280" s="21" t="str">
        <f t="shared" si="10"/>
        <v/>
      </c>
      <c r="V280" t="str">
        <f t="shared" si="11"/>
        <v/>
      </c>
    </row>
    <row r="281" spans="1:22" ht="15" customHeight="1" x14ac:dyDescent="0.35">
      <c r="A281" s="22"/>
      <c r="B281" s="22"/>
      <c r="C281" s="23"/>
      <c r="D281" t="str">
        <f>IF(C281&lt;&gt;"",IFERROR(VLOOKUP(C281,PO_Workflow!$A:$Q,10,0),""),IF(E281="","","PO-"&amp;TEXT(ROW()-2,"0000")))</f>
        <v/>
      </c>
      <c r="E281" s="16" t="str">
        <f>IF(C281="","",IFERROR(VLOOKUP(C281,PO_Workflow!$A:$Q,3,0),""))</f>
        <v/>
      </c>
      <c r="F281" s="16" t="str">
        <f>IF(C281="","",IFERROR(VLOOKUP(C281,PO_Workflow!$A:$Q,3,0),""))</f>
        <v/>
      </c>
      <c r="G281" s="16" t="str">
        <f>IF(C281="","",IFERROR(VLOOKUP(C281,PO_Workflow!$A:$Q,16,0),""))</f>
        <v/>
      </c>
      <c r="H281" s="16" t="str">
        <f>IF(C281="","",IFERROR(VLOOKUP(C281,PO_Workflow!$A:$Q,5,0),""))</f>
        <v/>
      </c>
      <c r="I281" s="16" t="str">
        <f>IF(C281="","",IFERROR(VLOOKUP(C281,PO_Workflow!$A:$Q,6,0),""))</f>
        <v/>
      </c>
      <c r="J281" s="17" t="str">
        <f>IF(C281="","",IFERROR(VLOOKUP(C281,PO_Workflow!$A:$Q,11,0),""))</f>
        <v/>
      </c>
      <c r="K281" s="17" t="str">
        <f>IF(C281="","",IFERROR(VLOOKUP(C281,PO_Workflow!$A:$Q,12,0),""))</f>
        <v/>
      </c>
      <c r="L281" s="17" t="str">
        <f>IF(C281="","",IFERROR(VLOOKUP(C281,PO_Workflow!$A:$Q,13,0),""))</f>
        <v/>
      </c>
      <c r="M281" s="18" t="str">
        <f t="shared" ref="M281:M344" si="12">IF(OR(K281="",L281=""),"",((YEAR(L281)-YEAR(K281))*12)+MONTH(L281)-MONTH(K281)+1)</f>
        <v/>
      </c>
      <c r="O281" s="19" t="str">
        <f>IF(C281="","",IFERROR(VLOOKUP(C281,PO_Workflow!$A:$Q,7,0),""))</f>
        <v/>
      </c>
      <c r="P281" s="19"/>
      <c r="Q281" s="16" t="str">
        <f>IF(C281="","",IFERROR(VLOOKUP(C281,PO_Workflow!$A:$Q,14,0),""))</f>
        <v/>
      </c>
      <c r="R281" s="20" t="str">
        <f>IF(C281="","",IFERROR(VLOOKUP(C281,PO_Workflow!$A:$Q,15,0),""))</f>
        <v/>
      </c>
      <c r="T281" s="16" t="str">
        <f>IF(C281="","",IFERROR(VLOOKUP(C281,PO_Workflow!$A:$Q,8,0),""))</f>
        <v/>
      </c>
      <c r="U281" s="21" t="str">
        <f t="shared" ref="U281:U301" si="13">IF(C281="","","Ref: "&amp;C281)</f>
        <v/>
      </c>
      <c r="V281" t="str">
        <f t="shared" ref="V281:V301" si="14">IF(AND(C281="",E281=""),"",IF(OR(F281="",G281="",H281="",O281="",Q281=""),"Pending Validation",IF(AND(F281&lt;&gt;"",G281&lt;&gt;"",O281&gt;0),"Validated","Mismatch")))</f>
        <v/>
      </c>
    </row>
    <row r="282" spans="1:22" ht="15" customHeight="1" x14ac:dyDescent="0.35">
      <c r="A282" s="22"/>
      <c r="B282" s="22"/>
      <c r="C282" s="23"/>
      <c r="D282" t="str">
        <f>IF(C282&lt;&gt;"",IFERROR(VLOOKUP(C282,PO_Workflow!$A:$Q,10,0),""),IF(E282="","","PO-"&amp;TEXT(ROW()-2,"0000")))</f>
        <v/>
      </c>
      <c r="E282" s="16" t="str">
        <f>IF(C282="","",IFERROR(VLOOKUP(C282,PO_Workflow!$A:$Q,3,0),""))</f>
        <v/>
      </c>
      <c r="F282" s="16" t="str">
        <f>IF(C282="","",IFERROR(VLOOKUP(C282,PO_Workflow!$A:$Q,3,0),""))</f>
        <v/>
      </c>
      <c r="G282" s="16" t="str">
        <f>IF(C282="","",IFERROR(VLOOKUP(C282,PO_Workflow!$A:$Q,16,0),""))</f>
        <v/>
      </c>
      <c r="H282" s="16" t="str">
        <f>IF(C282="","",IFERROR(VLOOKUP(C282,PO_Workflow!$A:$Q,5,0),""))</f>
        <v/>
      </c>
      <c r="I282" s="16" t="str">
        <f>IF(C282="","",IFERROR(VLOOKUP(C282,PO_Workflow!$A:$Q,6,0),""))</f>
        <v/>
      </c>
      <c r="J282" s="17" t="str">
        <f>IF(C282="","",IFERROR(VLOOKUP(C282,PO_Workflow!$A:$Q,11,0),""))</f>
        <v/>
      </c>
      <c r="K282" s="17" t="str">
        <f>IF(C282="","",IFERROR(VLOOKUP(C282,PO_Workflow!$A:$Q,12,0),""))</f>
        <v/>
      </c>
      <c r="L282" s="17" t="str">
        <f>IF(C282="","",IFERROR(VLOOKUP(C282,PO_Workflow!$A:$Q,13,0),""))</f>
        <v/>
      </c>
      <c r="M282" s="18" t="str">
        <f t="shared" si="12"/>
        <v/>
      </c>
      <c r="O282" s="19" t="str">
        <f>IF(C282="","",IFERROR(VLOOKUP(C282,PO_Workflow!$A:$Q,7,0),""))</f>
        <v/>
      </c>
      <c r="P282" s="19"/>
      <c r="Q282" s="16" t="str">
        <f>IF(C282="","",IFERROR(VLOOKUP(C282,PO_Workflow!$A:$Q,14,0),""))</f>
        <v/>
      </c>
      <c r="R282" s="20" t="str">
        <f>IF(C282="","",IFERROR(VLOOKUP(C282,PO_Workflow!$A:$Q,15,0),""))</f>
        <v/>
      </c>
      <c r="T282" s="16" t="str">
        <f>IF(C282="","",IFERROR(VLOOKUP(C282,PO_Workflow!$A:$Q,8,0),""))</f>
        <v/>
      </c>
      <c r="U282" s="21" t="str">
        <f t="shared" si="13"/>
        <v/>
      </c>
      <c r="V282" t="str">
        <f t="shared" si="14"/>
        <v/>
      </c>
    </row>
    <row r="283" spans="1:22" ht="15" customHeight="1" x14ac:dyDescent="0.35">
      <c r="A283" s="22"/>
      <c r="B283" s="22"/>
      <c r="C283" s="23"/>
      <c r="D283" t="str">
        <f>IF(C283&lt;&gt;"",IFERROR(VLOOKUP(C283,PO_Workflow!$A:$Q,10,0),""),IF(E283="","","PO-"&amp;TEXT(ROW()-2,"0000")))</f>
        <v/>
      </c>
      <c r="E283" s="16" t="str">
        <f>IF(C283="","",IFERROR(VLOOKUP(C283,PO_Workflow!$A:$Q,3,0),""))</f>
        <v/>
      </c>
      <c r="F283" s="16" t="str">
        <f>IF(C283="","",IFERROR(VLOOKUP(C283,PO_Workflow!$A:$Q,3,0),""))</f>
        <v/>
      </c>
      <c r="G283" s="16" t="str">
        <f>IF(C283="","",IFERROR(VLOOKUP(C283,PO_Workflow!$A:$Q,16,0),""))</f>
        <v/>
      </c>
      <c r="H283" s="16" t="str">
        <f>IF(C283="","",IFERROR(VLOOKUP(C283,PO_Workflow!$A:$Q,5,0),""))</f>
        <v/>
      </c>
      <c r="I283" s="16" t="str">
        <f>IF(C283="","",IFERROR(VLOOKUP(C283,PO_Workflow!$A:$Q,6,0),""))</f>
        <v/>
      </c>
      <c r="J283" s="17" t="str">
        <f>IF(C283="","",IFERROR(VLOOKUP(C283,PO_Workflow!$A:$Q,11,0),""))</f>
        <v/>
      </c>
      <c r="K283" s="17" t="str">
        <f>IF(C283="","",IFERROR(VLOOKUP(C283,PO_Workflow!$A:$Q,12,0),""))</f>
        <v/>
      </c>
      <c r="L283" s="17" t="str">
        <f>IF(C283="","",IFERROR(VLOOKUP(C283,PO_Workflow!$A:$Q,13,0),""))</f>
        <v/>
      </c>
      <c r="M283" s="18" t="str">
        <f t="shared" si="12"/>
        <v/>
      </c>
      <c r="O283" s="19" t="str">
        <f>IF(C283="","",IFERROR(VLOOKUP(C283,PO_Workflow!$A:$Q,7,0),""))</f>
        <v/>
      </c>
      <c r="P283" s="19"/>
      <c r="Q283" s="16" t="str">
        <f>IF(C283="","",IFERROR(VLOOKUP(C283,PO_Workflow!$A:$Q,14,0),""))</f>
        <v/>
      </c>
      <c r="R283" s="20" t="str">
        <f>IF(C283="","",IFERROR(VLOOKUP(C283,PO_Workflow!$A:$Q,15,0),""))</f>
        <v/>
      </c>
      <c r="T283" s="16" t="str">
        <f>IF(C283="","",IFERROR(VLOOKUP(C283,PO_Workflow!$A:$Q,8,0),""))</f>
        <v/>
      </c>
      <c r="U283" s="21" t="str">
        <f t="shared" si="13"/>
        <v/>
      </c>
      <c r="V283" t="str">
        <f t="shared" si="14"/>
        <v/>
      </c>
    </row>
    <row r="284" spans="1:22" ht="15" customHeight="1" x14ac:dyDescent="0.35">
      <c r="A284" s="22"/>
      <c r="B284" s="22"/>
      <c r="C284" s="23"/>
      <c r="D284" t="str">
        <f>IF(C284&lt;&gt;"",IFERROR(VLOOKUP(C284,PO_Workflow!$A:$Q,10,0),""),IF(E284="","","PO-"&amp;TEXT(ROW()-2,"0000")))</f>
        <v/>
      </c>
      <c r="E284" s="16" t="str">
        <f>IF(C284="","",IFERROR(VLOOKUP(C284,PO_Workflow!$A:$Q,3,0),""))</f>
        <v/>
      </c>
      <c r="F284" s="16" t="str">
        <f>IF(C284="","",IFERROR(VLOOKUP(C284,PO_Workflow!$A:$Q,3,0),""))</f>
        <v/>
      </c>
      <c r="G284" s="16" t="str">
        <f>IF(C284="","",IFERROR(VLOOKUP(C284,PO_Workflow!$A:$Q,16,0),""))</f>
        <v/>
      </c>
      <c r="H284" s="16" t="str">
        <f>IF(C284="","",IFERROR(VLOOKUP(C284,PO_Workflow!$A:$Q,5,0),""))</f>
        <v/>
      </c>
      <c r="I284" s="16" t="str">
        <f>IF(C284="","",IFERROR(VLOOKUP(C284,PO_Workflow!$A:$Q,6,0),""))</f>
        <v/>
      </c>
      <c r="J284" s="17" t="str">
        <f>IF(C284="","",IFERROR(VLOOKUP(C284,PO_Workflow!$A:$Q,11,0),""))</f>
        <v/>
      </c>
      <c r="K284" s="17" t="str">
        <f>IF(C284="","",IFERROR(VLOOKUP(C284,PO_Workflow!$A:$Q,12,0),""))</f>
        <v/>
      </c>
      <c r="L284" s="17" t="str">
        <f>IF(C284="","",IFERROR(VLOOKUP(C284,PO_Workflow!$A:$Q,13,0),""))</f>
        <v/>
      </c>
      <c r="M284" s="18" t="str">
        <f t="shared" si="12"/>
        <v/>
      </c>
      <c r="O284" s="19" t="str">
        <f>IF(C284="","",IFERROR(VLOOKUP(C284,PO_Workflow!$A:$Q,7,0),""))</f>
        <v/>
      </c>
      <c r="P284" s="19"/>
      <c r="Q284" s="16" t="str">
        <f>IF(C284="","",IFERROR(VLOOKUP(C284,PO_Workflow!$A:$Q,14,0),""))</f>
        <v/>
      </c>
      <c r="R284" s="20" t="str">
        <f>IF(C284="","",IFERROR(VLOOKUP(C284,PO_Workflow!$A:$Q,15,0),""))</f>
        <v/>
      </c>
      <c r="T284" s="16" t="str">
        <f>IF(C284="","",IFERROR(VLOOKUP(C284,PO_Workflow!$A:$Q,8,0),""))</f>
        <v/>
      </c>
      <c r="U284" s="21" t="str">
        <f t="shared" si="13"/>
        <v/>
      </c>
      <c r="V284" t="str">
        <f t="shared" si="14"/>
        <v/>
      </c>
    </row>
    <row r="285" spans="1:22" ht="15" customHeight="1" x14ac:dyDescent="0.35">
      <c r="A285" s="22"/>
      <c r="B285" s="22"/>
      <c r="C285" s="23"/>
      <c r="D285" t="str">
        <f>IF(C285&lt;&gt;"",IFERROR(VLOOKUP(C285,PO_Workflow!$A:$Q,10,0),""),IF(E285="","","PO-"&amp;TEXT(ROW()-2,"0000")))</f>
        <v/>
      </c>
      <c r="E285" s="16" t="str">
        <f>IF(C285="","",IFERROR(VLOOKUP(C285,PO_Workflow!$A:$Q,3,0),""))</f>
        <v/>
      </c>
      <c r="F285" s="16" t="str">
        <f>IF(C285="","",IFERROR(VLOOKUP(C285,PO_Workflow!$A:$Q,3,0),""))</f>
        <v/>
      </c>
      <c r="G285" s="16" t="str">
        <f>IF(C285="","",IFERROR(VLOOKUP(C285,PO_Workflow!$A:$Q,16,0),""))</f>
        <v/>
      </c>
      <c r="H285" s="16" t="str">
        <f>IF(C285="","",IFERROR(VLOOKUP(C285,PO_Workflow!$A:$Q,5,0),""))</f>
        <v/>
      </c>
      <c r="I285" s="16" t="str">
        <f>IF(C285="","",IFERROR(VLOOKUP(C285,PO_Workflow!$A:$Q,6,0),""))</f>
        <v/>
      </c>
      <c r="J285" s="17" t="str">
        <f>IF(C285="","",IFERROR(VLOOKUP(C285,PO_Workflow!$A:$Q,11,0),""))</f>
        <v/>
      </c>
      <c r="K285" s="17" t="str">
        <f>IF(C285="","",IFERROR(VLOOKUP(C285,PO_Workflow!$A:$Q,12,0),""))</f>
        <v/>
      </c>
      <c r="L285" s="17" t="str">
        <f>IF(C285="","",IFERROR(VLOOKUP(C285,PO_Workflow!$A:$Q,13,0),""))</f>
        <v/>
      </c>
      <c r="M285" s="18" t="str">
        <f t="shared" si="12"/>
        <v/>
      </c>
      <c r="O285" s="19" t="str">
        <f>IF(C285="","",IFERROR(VLOOKUP(C285,PO_Workflow!$A:$Q,7,0),""))</f>
        <v/>
      </c>
      <c r="P285" s="19"/>
      <c r="Q285" s="16" t="str">
        <f>IF(C285="","",IFERROR(VLOOKUP(C285,PO_Workflow!$A:$Q,14,0),""))</f>
        <v/>
      </c>
      <c r="R285" s="20" t="str">
        <f>IF(C285="","",IFERROR(VLOOKUP(C285,PO_Workflow!$A:$Q,15,0),""))</f>
        <v/>
      </c>
      <c r="T285" s="16" t="str">
        <f>IF(C285="","",IFERROR(VLOOKUP(C285,PO_Workflow!$A:$Q,8,0),""))</f>
        <v/>
      </c>
      <c r="U285" s="21" t="str">
        <f t="shared" si="13"/>
        <v/>
      </c>
      <c r="V285" t="str">
        <f t="shared" si="14"/>
        <v/>
      </c>
    </row>
    <row r="286" spans="1:22" ht="15" customHeight="1" x14ac:dyDescent="0.35">
      <c r="A286" s="22"/>
      <c r="B286" s="22"/>
      <c r="C286" s="23"/>
      <c r="D286" t="str">
        <f>IF(C286&lt;&gt;"",IFERROR(VLOOKUP(C286,PO_Workflow!$A:$Q,10,0),""),IF(E286="","","PO-"&amp;TEXT(ROW()-2,"0000")))</f>
        <v/>
      </c>
      <c r="E286" s="16" t="str">
        <f>IF(C286="","",IFERROR(VLOOKUP(C286,PO_Workflow!$A:$Q,3,0),""))</f>
        <v/>
      </c>
      <c r="F286" s="16" t="str">
        <f>IF(C286="","",IFERROR(VLOOKUP(C286,PO_Workflow!$A:$Q,3,0),""))</f>
        <v/>
      </c>
      <c r="G286" s="16" t="str">
        <f>IF(C286="","",IFERROR(VLOOKUP(C286,PO_Workflow!$A:$Q,16,0),""))</f>
        <v/>
      </c>
      <c r="H286" s="16" t="str">
        <f>IF(C286="","",IFERROR(VLOOKUP(C286,PO_Workflow!$A:$Q,5,0),""))</f>
        <v/>
      </c>
      <c r="I286" s="16" t="str">
        <f>IF(C286="","",IFERROR(VLOOKUP(C286,PO_Workflow!$A:$Q,6,0),""))</f>
        <v/>
      </c>
      <c r="J286" s="17" t="str">
        <f>IF(C286="","",IFERROR(VLOOKUP(C286,PO_Workflow!$A:$Q,11,0),""))</f>
        <v/>
      </c>
      <c r="K286" s="17" t="str">
        <f>IF(C286="","",IFERROR(VLOOKUP(C286,PO_Workflow!$A:$Q,12,0),""))</f>
        <v/>
      </c>
      <c r="L286" s="17" t="str">
        <f>IF(C286="","",IFERROR(VLOOKUP(C286,PO_Workflow!$A:$Q,13,0),""))</f>
        <v/>
      </c>
      <c r="M286" s="18" t="str">
        <f t="shared" si="12"/>
        <v/>
      </c>
      <c r="O286" s="19" t="str">
        <f>IF(C286="","",IFERROR(VLOOKUP(C286,PO_Workflow!$A:$Q,7,0),""))</f>
        <v/>
      </c>
      <c r="P286" s="19"/>
      <c r="Q286" s="16" t="str">
        <f>IF(C286="","",IFERROR(VLOOKUP(C286,PO_Workflow!$A:$Q,14,0),""))</f>
        <v/>
      </c>
      <c r="R286" s="20" t="str">
        <f>IF(C286="","",IFERROR(VLOOKUP(C286,PO_Workflow!$A:$Q,15,0),""))</f>
        <v/>
      </c>
      <c r="T286" s="16" t="str">
        <f>IF(C286="","",IFERROR(VLOOKUP(C286,PO_Workflow!$A:$Q,8,0),""))</f>
        <v/>
      </c>
      <c r="U286" s="21" t="str">
        <f t="shared" si="13"/>
        <v/>
      </c>
      <c r="V286" t="str">
        <f t="shared" si="14"/>
        <v/>
      </c>
    </row>
    <row r="287" spans="1:22" ht="15" customHeight="1" x14ac:dyDescent="0.35">
      <c r="A287" s="22"/>
      <c r="B287" s="22"/>
      <c r="C287" s="23"/>
      <c r="D287" t="str">
        <f>IF(C287&lt;&gt;"",IFERROR(VLOOKUP(C287,PO_Workflow!$A:$Q,10,0),""),IF(E287="","","PO-"&amp;TEXT(ROW()-2,"0000")))</f>
        <v/>
      </c>
      <c r="E287" s="16" t="str">
        <f>IF(C287="","",IFERROR(VLOOKUP(C287,PO_Workflow!$A:$Q,3,0),""))</f>
        <v/>
      </c>
      <c r="F287" s="16" t="str">
        <f>IF(C287="","",IFERROR(VLOOKUP(C287,PO_Workflow!$A:$Q,3,0),""))</f>
        <v/>
      </c>
      <c r="G287" s="16" t="str">
        <f>IF(C287="","",IFERROR(VLOOKUP(C287,PO_Workflow!$A:$Q,16,0),""))</f>
        <v/>
      </c>
      <c r="H287" s="16" t="str">
        <f>IF(C287="","",IFERROR(VLOOKUP(C287,PO_Workflow!$A:$Q,5,0),""))</f>
        <v/>
      </c>
      <c r="I287" s="16" t="str">
        <f>IF(C287="","",IFERROR(VLOOKUP(C287,PO_Workflow!$A:$Q,6,0),""))</f>
        <v/>
      </c>
      <c r="J287" s="17" t="str">
        <f>IF(C287="","",IFERROR(VLOOKUP(C287,PO_Workflow!$A:$Q,11,0),""))</f>
        <v/>
      </c>
      <c r="K287" s="17" t="str">
        <f>IF(C287="","",IFERROR(VLOOKUP(C287,PO_Workflow!$A:$Q,12,0),""))</f>
        <v/>
      </c>
      <c r="L287" s="17" t="str">
        <f>IF(C287="","",IFERROR(VLOOKUP(C287,PO_Workflow!$A:$Q,13,0),""))</f>
        <v/>
      </c>
      <c r="M287" s="18" t="str">
        <f t="shared" si="12"/>
        <v/>
      </c>
      <c r="O287" s="19" t="str">
        <f>IF(C287="","",IFERROR(VLOOKUP(C287,PO_Workflow!$A:$Q,7,0),""))</f>
        <v/>
      </c>
      <c r="P287" s="19"/>
      <c r="Q287" s="16" t="str">
        <f>IF(C287="","",IFERROR(VLOOKUP(C287,PO_Workflow!$A:$Q,14,0),""))</f>
        <v/>
      </c>
      <c r="R287" s="20" t="str">
        <f>IF(C287="","",IFERROR(VLOOKUP(C287,PO_Workflow!$A:$Q,15,0),""))</f>
        <v/>
      </c>
      <c r="T287" s="16" t="str">
        <f>IF(C287="","",IFERROR(VLOOKUP(C287,PO_Workflow!$A:$Q,8,0),""))</f>
        <v/>
      </c>
      <c r="U287" s="21" t="str">
        <f t="shared" si="13"/>
        <v/>
      </c>
      <c r="V287" t="str">
        <f t="shared" si="14"/>
        <v/>
      </c>
    </row>
    <row r="288" spans="1:22" ht="15" customHeight="1" x14ac:dyDescent="0.35">
      <c r="A288" s="22"/>
      <c r="B288" s="22"/>
      <c r="C288" s="23"/>
      <c r="D288" t="str">
        <f>IF(C288&lt;&gt;"",IFERROR(VLOOKUP(C288,PO_Workflow!$A:$Q,10,0),""),IF(E288="","","PO-"&amp;TEXT(ROW()-2,"0000")))</f>
        <v/>
      </c>
      <c r="E288" s="16" t="str">
        <f>IF(C288="","",IFERROR(VLOOKUP(C288,PO_Workflow!$A:$Q,3,0),""))</f>
        <v/>
      </c>
      <c r="F288" s="16" t="str">
        <f>IF(C288="","",IFERROR(VLOOKUP(C288,PO_Workflow!$A:$Q,3,0),""))</f>
        <v/>
      </c>
      <c r="G288" s="16" t="str">
        <f>IF(C288="","",IFERROR(VLOOKUP(C288,PO_Workflow!$A:$Q,16,0),""))</f>
        <v/>
      </c>
      <c r="H288" s="16" t="str">
        <f>IF(C288="","",IFERROR(VLOOKUP(C288,PO_Workflow!$A:$Q,5,0),""))</f>
        <v/>
      </c>
      <c r="I288" s="16" t="str">
        <f>IF(C288="","",IFERROR(VLOOKUP(C288,PO_Workflow!$A:$Q,6,0),""))</f>
        <v/>
      </c>
      <c r="J288" s="17" t="str">
        <f>IF(C288="","",IFERROR(VLOOKUP(C288,PO_Workflow!$A:$Q,11,0),""))</f>
        <v/>
      </c>
      <c r="K288" s="17" t="str">
        <f>IF(C288="","",IFERROR(VLOOKUP(C288,PO_Workflow!$A:$Q,12,0),""))</f>
        <v/>
      </c>
      <c r="L288" s="17" t="str">
        <f>IF(C288="","",IFERROR(VLOOKUP(C288,PO_Workflow!$A:$Q,13,0),""))</f>
        <v/>
      </c>
      <c r="M288" s="18" t="str">
        <f t="shared" si="12"/>
        <v/>
      </c>
      <c r="O288" s="19" t="str">
        <f>IF(C288="","",IFERROR(VLOOKUP(C288,PO_Workflow!$A:$Q,7,0),""))</f>
        <v/>
      </c>
      <c r="P288" s="19"/>
      <c r="Q288" s="16" t="str">
        <f>IF(C288="","",IFERROR(VLOOKUP(C288,PO_Workflow!$A:$Q,14,0),""))</f>
        <v/>
      </c>
      <c r="R288" s="20" t="str">
        <f>IF(C288="","",IFERROR(VLOOKUP(C288,PO_Workflow!$A:$Q,15,0),""))</f>
        <v/>
      </c>
      <c r="T288" s="16" t="str">
        <f>IF(C288="","",IFERROR(VLOOKUP(C288,PO_Workflow!$A:$Q,8,0),""))</f>
        <v/>
      </c>
      <c r="U288" s="21" t="str">
        <f t="shared" si="13"/>
        <v/>
      </c>
      <c r="V288" t="str">
        <f t="shared" si="14"/>
        <v/>
      </c>
    </row>
    <row r="289" spans="1:22" ht="15" customHeight="1" x14ac:dyDescent="0.35">
      <c r="A289" s="22"/>
      <c r="B289" s="22"/>
      <c r="C289" s="23"/>
      <c r="D289" t="str">
        <f>IF(C289&lt;&gt;"",IFERROR(VLOOKUP(C289,PO_Workflow!$A:$Q,10,0),""),IF(E289="","","PO-"&amp;TEXT(ROW()-2,"0000")))</f>
        <v/>
      </c>
      <c r="E289" s="16" t="str">
        <f>IF(C289="","",IFERROR(VLOOKUP(C289,PO_Workflow!$A:$Q,3,0),""))</f>
        <v/>
      </c>
      <c r="F289" s="16" t="str">
        <f>IF(C289="","",IFERROR(VLOOKUP(C289,PO_Workflow!$A:$Q,3,0),""))</f>
        <v/>
      </c>
      <c r="G289" s="16" t="str">
        <f>IF(C289="","",IFERROR(VLOOKUP(C289,PO_Workflow!$A:$Q,16,0),""))</f>
        <v/>
      </c>
      <c r="H289" s="16" t="str">
        <f>IF(C289="","",IFERROR(VLOOKUP(C289,PO_Workflow!$A:$Q,5,0),""))</f>
        <v/>
      </c>
      <c r="I289" s="16" t="str">
        <f>IF(C289="","",IFERROR(VLOOKUP(C289,PO_Workflow!$A:$Q,6,0),""))</f>
        <v/>
      </c>
      <c r="J289" s="17" t="str">
        <f>IF(C289="","",IFERROR(VLOOKUP(C289,PO_Workflow!$A:$Q,11,0),""))</f>
        <v/>
      </c>
      <c r="K289" s="17" t="str">
        <f>IF(C289="","",IFERROR(VLOOKUP(C289,PO_Workflow!$A:$Q,12,0),""))</f>
        <v/>
      </c>
      <c r="L289" s="17" t="str">
        <f>IF(C289="","",IFERROR(VLOOKUP(C289,PO_Workflow!$A:$Q,13,0),""))</f>
        <v/>
      </c>
      <c r="M289" s="18" t="str">
        <f t="shared" si="12"/>
        <v/>
      </c>
      <c r="O289" s="19" t="str">
        <f>IF(C289="","",IFERROR(VLOOKUP(C289,PO_Workflow!$A:$Q,7,0),""))</f>
        <v/>
      </c>
      <c r="P289" s="19"/>
      <c r="Q289" s="16" t="str">
        <f>IF(C289="","",IFERROR(VLOOKUP(C289,PO_Workflow!$A:$Q,14,0),""))</f>
        <v/>
      </c>
      <c r="R289" s="20" t="str">
        <f>IF(C289="","",IFERROR(VLOOKUP(C289,PO_Workflow!$A:$Q,15,0),""))</f>
        <v/>
      </c>
      <c r="T289" s="16" t="str">
        <f>IF(C289="","",IFERROR(VLOOKUP(C289,PO_Workflow!$A:$Q,8,0),""))</f>
        <v/>
      </c>
      <c r="U289" s="21" t="str">
        <f t="shared" si="13"/>
        <v/>
      </c>
      <c r="V289" t="str">
        <f t="shared" si="14"/>
        <v/>
      </c>
    </row>
    <row r="290" spans="1:22" ht="15" customHeight="1" x14ac:dyDescent="0.35">
      <c r="A290" s="22"/>
      <c r="B290" s="22"/>
      <c r="C290" s="23"/>
      <c r="D290" t="str">
        <f>IF(C290&lt;&gt;"",IFERROR(VLOOKUP(C290,PO_Workflow!$A:$Q,10,0),""),IF(E290="","","PO-"&amp;TEXT(ROW()-2,"0000")))</f>
        <v/>
      </c>
      <c r="E290" s="16" t="str">
        <f>IF(C290="","",IFERROR(VLOOKUP(C290,PO_Workflow!$A:$Q,3,0),""))</f>
        <v/>
      </c>
      <c r="F290" s="16" t="str">
        <f>IF(C290="","",IFERROR(VLOOKUP(C290,PO_Workflow!$A:$Q,3,0),""))</f>
        <v/>
      </c>
      <c r="G290" s="16" t="str">
        <f>IF(C290="","",IFERROR(VLOOKUP(C290,PO_Workflow!$A:$Q,16,0),""))</f>
        <v/>
      </c>
      <c r="H290" s="16" t="str">
        <f>IF(C290="","",IFERROR(VLOOKUP(C290,PO_Workflow!$A:$Q,5,0),""))</f>
        <v/>
      </c>
      <c r="I290" s="16" t="str">
        <f>IF(C290="","",IFERROR(VLOOKUP(C290,PO_Workflow!$A:$Q,6,0),""))</f>
        <v/>
      </c>
      <c r="J290" s="17" t="str">
        <f>IF(C290="","",IFERROR(VLOOKUP(C290,PO_Workflow!$A:$Q,11,0),""))</f>
        <v/>
      </c>
      <c r="K290" s="17" t="str">
        <f>IF(C290="","",IFERROR(VLOOKUP(C290,PO_Workflow!$A:$Q,12,0),""))</f>
        <v/>
      </c>
      <c r="L290" s="17" t="str">
        <f>IF(C290="","",IFERROR(VLOOKUP(C290,PO_Workflow!$A:$Q,13,0),""))</f>
        <v/>
      </c>
      <c r="M290" s="18" t="str">
        <f t="shared" si="12"/>
        <v/>
      </c>
      <c r="O290" s="19" t="str">
        <f>IF(C290="","",IFERROR(VLOOKUP(C290,PO_Workflow!$A:$Q,7,0),""))</f>
        <v/>
      </c>
      <c r="P290" s="19"/>
      <c r="Q290" s="16" t="str">
        <f>IF(C290="","",IFERROR(VLOOKUP(C290,PO_Workflow!$A:$Q,14,0),""))</f>
        <v/>
      </c>
      <c r="R290" s="20" t="str">
        <f>IF(C290="","",IFERROR(VLOOKUP(C290,PO_Workflow!$A:$Q,15,0),""))</f>
        <v/>
      </c>
      <c r="T290" s="16" t="str">
        <f>IF(C290="","",IFERROR(VLOOKUP(C290,PO_Workflow!$A:$Q,8,0),""))</f>
        <v/>
      </c>
      <c r="U290" s="21" t="str">
        <f t="shared" si="13"/>
        <v/>
      </c>
      <c r="V290" t="str">
        <f t="shared" si="14"/>
        <v/>
      </c>
    </row>
    <row r="291" spans="1:22" ht="15" customHeight="1" x14ac:dyDescent="0.35">
      <c r="A291" s="22"/>
      <c r="B291" s="22"/>
      <c r="C291" s="23"/>
      <c r="D291" t="str">
        <f>IF(C291&lt;&gt;"",IFERROR(VLOOKUP(C291,PO_Workflow!$A:$Q,10,0),""),IF(E291="","","PO-"&amp;TEXT(ROW()-2,"0000")))</f>
        <v/>
      </c>
      <c r="E291" s="16" t="str">
        <f>IF(C291="","",IFERROR(VLOOKUP(C291,PO_Workflow!$A:$Q,3,0),""))</f>
        <v/>
      </c>
      <c r="F291" s="16" t="str">
        <f>IF(C291="","",IFERROR(VLOOKUP(C291,PO_Workflow!$A:$Q,3,0),""))</f>
        <v/>
      </c>
      <c r="G291" s="16" t="str">
        <f>IF(C291="","",IFERROR(VLOOKUP(C291,PO_Workflow!$A:$Q,16,0),""))</f>
        <v/>
      </c>
      <c r="H291" s="16" t="str">
        <f>IF(C291="","",IFERROR(VLOOKUP(C291,PO_Workflow!$A:$Q,5,0),""))</f>
        <v/>
      </c>
      <c r="I291" s="16" t="str">
        <f>IF(C291="","",IFERROR(VLOOKUP(C291,PO_Workflow!$A:$Q,6,0),""))</f>
        <v/>
      </c>
      <c r="J291" s="17" t="str">
        <f>IF(C291="","",IFERROR(VLOOKUP(C291,PO_Workflow!$A:$Q,11,0),""))</f>
        <v/>
      </c>
      <c r="K291" s="17" t="str">
        <f>IF(C291="","",IFERROR(VLOOKUP(C291,PO_Workflow!$A:$Q,12,0),""))</f>
        <v/>
      </c>
      <c r="L291" s="17" t="str">
        <f>IF(C291="","",IFERROR(VLOOKUP(C291,PO_Workflow!$A:$Q,13,0),""))</f>
        <v/>
      </c>
      <c r="M291" s="18" t="str">
        <f t="shared" si="12"/>
        <v/>
      </c>
      <c r="O291" s="19" t="str">
        <f>IF(C291="","",IFERROR(VLOOKUP(C291,PO_Workflow!$A:$Q,7,0),""))</f>
        <v/>
      </c>
      <c r="P291" s="19"/>
      <c r="Q291" s="16" t="str">
        <f>IF(C291="","",IFERROR(VLOOKUP(C291,PO_Workflow!$A:$Q,14,0),""))</f>
        <v/>
      </c>
      <c r="R291" s="20" t="str">
        <f>IF(C291="","",IFERROR(VLOOKUP(C291,PO_Workflow!$A:$Q,15,0),""))</f>
        <v/>
      </c>
      <c r="T291" s="16" t="str">
        <f>IF(C291="","",IFERROR(VLOOKUP(C291,PO_Workflow!$A:$Q,8,0),""))</f>
        <v/>
      </c>
      <c r="U291" s="21" t="str">
        <f t="shared" si="13"/>
        <v/>
      </c>
      <c r="V291" t="str">
        <f t="shared" si="14"/>
        <v/>
      </c>
    </row>
    <row r="292" spans="1:22" ht="15" customHeight="1" x14ac:dyDescent="0.35">
      <c r="A292" s="22"/>
      <c r="B292" s="22"/>
      <c r="C292" s="23"/>
      <c r="D292" t="str">
        <f>IF(C292&lt;&gt;"",IFERROR(VLOOKUP(C292,PO_Workflow!$A:$Q,10,0),""),IF(E292="","","PO-"&amp;TEXT(ROW()-2,"0000")))</f>
        <v/>
      </c>
      <c r="E292" s="16" t="str">
        <f>IF(C292="","",IFERROR(VLOOKUP(C292,PO_Workflow!$A:$Q,3,0),""))</f>
        <v/>
      </c>
      <c r="F292" s="16" t="str">
        <f>IF(C292="","",IFERROR(VLOOKUP(C292,PO_Workflow!$A:$Q,3,0),""))</f>
        <v/>
      </c>
      <c r="G292" s="16" t="str">
        <f>IF(C292="","",IFERROR(VLOOKUP(C292,PO_Workflow!$A:$Q,16,0),""))</f>
        <v/>
      </c>
      <c r="H292" s="16" t="str">
        <f>IF(C292="","",IFERROR(VLOOKUP(C292,PO_Workflow!$A:$Q,5,0),""))</f>
        <v/>
      </c>
      <c r="I292" s="16" t="str">
        <f>IF(C292="","",IFERROR(VLOOKUP(C292,PO_Workflow!$A:$Q,6,0),""))</f>
        <v/>
      </c>
      <c r="J292" s="17" t="str">
        <f>IF(C292="","",IFERROR(VLOOKUP(C292,PO_Workflow!$A:$Q,11,0),""))</f>
        <v/>
      </c>
      <c r="K292" s="17" t="str">
        <f>IF(C292="","",IFERROR(VLOOKUP(C292,PO_Workflow!$A:$Q,12,0),""))</f>
        <v/>
      </c>
      <c r="L292" s="17" t="str">
        <f>IF(C292="","",IFERROR(VLOOKUP(C292,PO_Workflow!$A:$Q,13,0),""))</f>
        <v/>
      </c>
      <c r="M292" s="18" t="str">
        <f t="shared" si="12"/>
        <v/>
      </c>
      <c r="O292" s="19" t="str">
        <f>IF(C292="","",IFERROR(VLOOKUP(C292,PO_Workflow!$A:$Q,7,0),""))</f>
        <v/>
      </c>
      <c r="P292" s="19"/>
      <c r="Q292" s="16" t="str">
        <f>IF(C292="","",IFERROR(VLOOKUP(C292,PO_Workflow!$A:$Q,14,0),""))</f>
        <v/>
      </c>
      <c r="R292" s="20" t="str">
        <f>IF(C292="","",IFERROR(VLOOKUP(C292,PO_Workflow!$A:$Q,15,0),""))</f>
        <v/>
      </c>
      <c r="T292" s="16" t="str">
        <f>IF(C292="","",IFERROR(VLOOKUP(C292,PO_Workflow!$A:$Q,8,0),""))</f>
        <v/>
      </c>
      <c r="U292" s="21" t="str">
        <f t="shared" si="13"/>
        <v/>
      </c>
      <c r="V292" t="str">
        <f t="shared" si="14"/>
        <v/>
      </c>
    </row>
    <row r="293" spans="1:22" ht="15" customHeight="1" x14ac:dyDescent="0.35">
      <c r="A293" s="22"/>
      <c r="B293" s="22"/>
      <c r="C293" s="23"/>
      <c r="D293" t="str">
        <f>IF(C293&lt;&gt;"",IFERROR(VLOOKUP(C293,PO_Workflow!$A:$Q,10,0),""),IF(E293="","","PO-"&amp;TEXT(ROW()-2,"0000")))</f>
        <v/>
      </c>
      <c r="E293" s="16" t="str">
        <f>IF(C293="","",IFERROR(VLOOKUP(C293,PO_Workflow!$A:$Q,3,0),""))</f>
        <v/>
      </c>
      <c r="F293" s="16" t="str">
        <f>IF(C293="","",IFERROR(VLOOKUP(C293,PO_Workflow!$A:$Q,3,0),""))</f>
        <v/>
      </c>
      <c r="G293" s="16" t="str">
        <f>IF(C293="","",IFERROR(VLOOKUP(C293,PO_Workflow!$A:$Q,16,0),""))</f>
        <v/>
      </c>
      <c r="H293" s="16" t="str">
        <f>IF(C293="","",IFERROR(VLOOKUP(C293,PO_Workflow!$A:$Q,5,0),""))</f>
        <v/>
      </c>
      <c r="I293" s="16" t="str">
        <f>IF(C293="","",IFERROR(VLOOKUP(C293,PO_Workflow!$A:$Q,6,0),""))</f>
        <v/>
      </c>
      <c r="J293" s="17" t="str">
        <f>IF(C293="","",IFERROR(VLOOKUP(C293,PO_Workflow!$A:$Q,11,0),""))</f>
        <v/>
      </c>
      <c r="K293" s="17" t="str">
        <f>IF(C293="","",IFERROR(VLOOKUP(C293,PO_Workflow!$A:$Q,12,0),""))</f>
        <v/>
      </c>
      <c r="L293" s="17" t="str">
        <f>IF(C293="","",IFERROR(VLOOKUP(C293,PO_Workflow!$A:$Q,13,0),""))</f>
        <v/>
      </c>
      <c r="M293" s="18" t="str">
        <f t="shared" si="12"/>
        <v/>
      </c>
      <c r="O293" s="19" t="str">
        <f>IF(C293="","",IFERROR(VLOOKUP(C293,PO_Workflow!$A:$Q,7,0),""))</f>
        <v/>
      </c>
      <c r="P293" s="19"/>
      <c r="Q293" s="16" t="str">
        <f>IF(C293="","",IFERROR(VLOOKUP(C293,PO_Workflow!$A:$Q,14,0),""))</f>
        <v/>
      </c>
      <c r="R293" s="20" t="str">
        <f>IF(C293="","",IFERROR(VLOOKUP(C293,PO_Workflow!$A:$Q,15,0),""))</f>
        <v/>
      </c>
      <c r="T293" s="16" t="str">
        <f>IF(C293="","",IFERROR(VLOOKUP(C293,PO_Workflow!$A:$Q,8,0),""))</f>
        <v/>
      </c>
      <c r="U293" s="21" t="str">
        <f t="shared" si="13"/>
        <v/>
      </c>
      <c r="V293" t="str">
        <f t="shared" si="14"/>
        <v/>
      </c>
    </row>
    <row r="294" spans="1:22" ht="15" customHeight="1" x14ac:dyDescent="0.35">
      <c r="A294" s="22"/>
      <c r="B294" s="22"/>
      <c r="C294" s="23"/>
      <c r="D294" t="str">
        <f>IF(C294&lt;&gt;"",IFERROR(VLOOKUP(C294,PO_Workflow!$A:$Q,10,0),""),IF(E294="","","PO-"&amp;TEXT(ROW()-2,"0000")))</f>
        <v/>
      </c>
      <c r="E294" s="16" t="str">
        <f>IF(C294="","",IFERROR(VLOOKUP(C294,PO_Workflow!$A:$Q,3,0),""))</f>
        <v/>
      </c>
      <c r="F294" s="16" t="str">
        <f>IF(C294="","",IFERROR(VLOOKUP(C294,PO_Workflow!$A:$Q,3,0),""))</f>
        <v/>
      </c>
      <c r="G294" s="16" t="str">
        <f>IF(C294="","",IFERROR(VLOOKUP(C294,PO_Workflow!$A:$Q,16,0),""))</f>
        <v/>
      </c>
      <c r="H294" s="16" t="str">
        <f>IF(C294="","",IFERROR(VLOOKUP(C294,PO_Workflow!$A:$Q,5,0),""))</f>
        <v/>
      </c>
      <c r="I294" s="16" t="str">
        <f>IF(C294="","",IFERROR(VLOOKUP(C294,PO_Workflow!$A:$Q,6,0),""))</f>
        <v/>
      </c>
      <c r="J294" s="17" t="str">
        <f>IF(C294="","",IFERROR(VLOOKUP(C294,PO_Workflow!$A:$Q,11,0),""))</f>
        <v/>
      </c>
      <c r="K294" s="17" t="str">
        <f>IF(C294="","",IFERROR(VLOOKUP(C294,PO_Workflow!$A:$Q,12,0),""))</f>
        <v/>
      </c>
      <c r="L294" s="17" t="str">
        <f>IF(C294="","",IFERROR(VLOOKUP(C294,PO_Workflow!$A:$Q,13,0),""))</f>
        <v/>
      </c>
      <c r="M294" s="18" t="str">
        <f t="shared" si="12"/>
        <v/>
      </c>
      <c r="O294" s="19" t="str">
        <f>IF(C294="","",IFERROR(VLOOKUP(C294,PO_Workflow!$A:$Q,7,0),""))</f>
        <v/>
      </c>
      <c r="P294" s="19"/>
      <c r="Q294" s="16" t="str">
        <f>IF(C294="","",IFERROR(VLOOKUP(C294,PO_Workflow!$A:$Q,14,0),""))</f>
        <v/>
      </c>
      <c r="R294" s="20" t="str">
        <f>IF(C294="","",IFERROR(VLOOKUP(C294,PO_Workflow!$A:$Q,15,0),""))</f>
        <v/>
      </c>
      <c r="T294" s="16" t="str">
        <f>IF(C294="","",IFERROR(VLOOKUP(C294,PO_Workflow!$A:$Q,8,0),""))</f>
        <v/>
      </c>
      <c r="U294" s="21" t="str">
        <f t="shared" si="13"/>
        <v/>
      </c>
      <c r="V294" t="str">
        <f t="shared" si="14"/>
        <v/>
      </c>
    </row>
    <row r="295" spans="1:22" ht="15" customHeight="1" x14ac:dyDescent="0.35">
      <c r="A295" s="22"/>
      <c r="B295" s="22"/>
      <c r="C295" s="23"/>
      <c r="D295" t="str">
        <f>IF(C295&lt;&gt;"",IFERROR(VLOOKUP(C295,PO_Workflow!$A:$Q,10,0),""),IF(E295="","","PO-"&amp;TEXT(ROW()-2,"0000")))</f>
        <v/>
      </c>
      <c r="E295" s="16" t="str">
        <f>IF(C295="","",IFERROR(VLOOKUP(C295,PO_Workflow!$A:$Q,3,0),""))</f>
        <v/>
      </c>
      <c r="F295" s="16" t="str">
        <f>IF(C295="","",IFERROR(VLOOKUP(C295,PO_Workflow!$A:$Q,3,0),""))</f>
        <v/>
      </c>
      <c r="G295" s="16" t="str">
        <f>IF(C295="","",IFERROR(VLOOKUP(C295,PO_Workflow!$A:$Q,16,0),""))</f>
        <v/>
      </c>
      <c r="H295" s="16" t="str">
        <f>IF(C295="","",IFERROR(VLOOKUP(C295,PO_Workflow!$A:$Q,5,0),""))</f>
        <v/>
      </c>
      <c r="I295" s="16" t="str">
        <f>IF(C295="","",IFERROR(VLOOKUP(C295,PO_Workflow!$A:$Q,6,0),""))</f>
        <v/>
      </c>
      <c r="J295" s="17" t="str">
        <f>IF(C295="","",IFERROR(VLOOKUP(C295,PO_Workflow!$A:$Q,11,0),""))</f>
        <v/>
      </c>
      <c r="K295" s="17" t="str">
        <f>IF(C295="","",IFERROR(VLOOKUP(C295,PO_Workflow!$A:$Q,12,0),""))</f>
        <v/>
      </c>
      <c r="L295" s="17" t="str">
        <f>IF(C295="","",IFERROR(VLOOKUP(C295,PO_Workflow!$A:$Q,13,0),""))</f>
        <v/>
      </c>
      <c r="M295" s="18" t="str">
        <f t="shared" si="12"/>
        <v/>
      </c>
      <c r="O295" s="19" t="str">
        <f>IF(C295="","",IFERROR(VLOOKUP(C295,PO_Workflow!$A:$Q,7,0),""))</f>
        <v/>
      </c>
      <c r="P295" s="19"/>
      <c r="Q295" s="16" t="str">
        <f>IF(C295="","",IFERROR(VLOOKUP(C295,PO_Workflow!$A:$Q,14,0),""))</f>
        <v/>
      </c>
      <c r="R295" s="20" t="str">
        <f>IF(C295="","",IFERROR(VLOOKUP(C295,PO_Workflow!$A:$Q,15,0),""))</f>
        <v/>
      </c>
      <c r="T295" s="16" t="str">
        <f>IF(C295="","",IFERROR(VLOOKUP(C295,PO_Workflow!$A:$Q,8,0),""))</f>
        <v/>
      </c>
      <c r="U295" s="21" t="str">
        <f t="shared" si="13"/>
        <v/>
      </c>
      <c r="V295" t="str">
        <f t="shared" si="14"/>
        <v/>
      </c>
    </row>
    <row r="296" spans="1:22" ht="15" customHeight="1" x14ac:dyDescent="0.35">
      <c r="A296" s="22"/>
      <c r="B296" s="22"/>
      <c r="C296" s="23"/>
      <c r="D296" t="str">
        <f>IF(C296&lt;&gt;"",IFERROR(VLOOKUP(C296,PO_Workflow!$A:$Q,10,0),""),IF(E296="","","PO-"&amp;TEXT(ROW()-2,"0000")))</f>
        <v/>
      </c>
      <c r="E296" s="16" t="str">
        <f>IF(C296="","",IFERROR(VLOOKUP(C296,PO_Workflow!$A:$Q,3,0),""))</f>
        <v/>
      </c>
      <c r="F296" s="16" t="str">
        <f>IF(C296="","",IFERROR(VLOOKUP(C296,PO_Workflow!$A:$Q,3,0),""))</f>
        <v/>
      </c>
      <c r="G296" s="16" t="str">
        <f>IF(C296="","",IFERROR(VLOOKUP(C296,PO_Workflow!$A:$Q,16,0),""))</f>
        <v/>
      </c>
      <c r="H296" s="16" t="str">
        <f>IF(C296="","",IFERROR(VLOOKUP(C296,PO_Workflow!$A:$Q,5,0),""))</f>
        <v/>
      </c>
      <c r="I296" s="16" t="str">
        <f>IF(C296="","",IFERROR(VLOOKUP(C296,PO_Workflow!$A:$Q,6,0),""))</f>
        <v/>
      </c>
      <c r="J296" s="17" t="str">
        <f>IF(C296="","",IFERROR(VLOOKUP(C296,PO_Workflow!$A:$Q,11,0),""))</f>
        <v/>
      </c>
      <c r="K296" s="17" t="str">
        <f>IF(C296="","",IFERROR(VLOOKUP(C296,PO_Workflow!$A:$Q,12,0),""))</f>
        <v/>
      </c>
      <c r="L296" s="17" t="str">
        <f>IF(C296="","",IFERROR(VLOOKUP(C296,PO_Workflow!$A:$Q,13,0),""))</f>
        <v/>
      </c>
      <c r="M296" s="18" t="str">
        <f t="shared" si="12"/>
        <v/>
      </c>
      <c r="O296" s="19" t="str">
        <f>IF(C296="","",IFERROR(VLOOKUP(C296,PO_Workflow!$A:$Q,7,0),""))</f>
        <v/>
      </c>
      <c r="P296" s="19"/>
      <c r="Q296" s="16" t="str">
        <f>IF(C296="","",IFERROR(VLOOKUP(C296,PO_Workflow!$A:$Q,14,0),""))</f>
        <v/>
      </c>
      <c r="R296" s="20" t="str">
        <f>IF(C296="","",IFERROR(VLOOKUP(C296,PO_Workflow!$A:$Q,15,0),""))</f>
        <v/>
      </c>
      <c r="T296" s="16" t="str">
        <f>IF(C296="","",IFERROR(VLOOKUP(C296,PO_Workflow!$A:$Q,8,0),""))</f>
        <v/>
      </c>
      <c r="U296" s="21" t="str">
        <f t="shared" si="13"/>
        <v/>
      </c>
      <c r="V296" t="str">
        <f t="shared" si="14"/>
        <v/>
      </c>
    </row>
    <row r="297" spans="1:22" ht="15" customHeight="1" x14ac:dyDescent="0.35">
      <c r="A297" s="22"/>
      <c r="B297" s="22"/>
      <c r="C297" s="23"/>
      <c r="D297" t="str">
        <f>IF(C297&lt;&gt;"",IFERROR(VLOOKUP(C297,PO_Workflow!$A:$Q,10,0),""),IF(E297="","","PO-"&amp;TEXT(ROW()-2,"0000")))</f>
        <v/>
      </c>
      <c r="E297" s="16" t="str">
        <f>IF(C297="","",IFERROR(VLOOKUP(C297,PO_Workflow!$A:$Q,3,0),""))</f>
        <v/>
      </c>
      <c r="F297" s="16" t="str">
        <f>IF(C297="","",IFERROR(VLOOKUP(C297,PO_Workflow!$A:$Q,3,0),""))</f>
        <v/>
      </c>
      <c r="G297" s="16" t="str">
        <f>IF(C297="","",IFERROR(VLOOKUP(C297,PO_Workflow!$A:$Q,16,0),""))</f>
        <v/>
      </c>
      <c r="H297" s="16" t="str">
        <f>IF(C297="","",IFERROR(VLOOKUP(C297,PO_Workflow!$A:$Q,5,0),""))</f>
        <v/>
      </c>
      <c r="I297" s="16" t="str">
        <f>IF(C297="","",IFERROR(VLOOKUP(C297,PO_Workflow!$A:$Q,6,0),""))</f>
        <v/>
      </c>
      <c r="J297" s="17" t="str">
        <f>IF(C297="","",IFERROR(VLOOKUP(C297,PO_Workflow!$A:$Q,11,0),""))</f>
        <v/>
      </c>
      <c r="K297" s="17" t="str">
        <f>IF(C297="","",IFERROR(VLOOKUP(C297,PO_Workflow!$A:$Q,12,0),""))</f>
        <v/>
      </c>
      <c r="L297" s="17" t="str">
        <f>IF(C297="","",IFERROR(VLOOKUP(C297,PO_Workflow!$A:$Q,13,0),""))</f>
        <v/>
      </c>
      <c r="M297" s="18" t="str">
        <f t="shared" si="12"/>
        <v/>
      </c>
      <c r="O297" s="19" t="str">
        <f>IF(C297="","",IFERROR(VLOOKUP(C297,PO_Workflow!$A:$Q,7,0),""))</f>
        <v/>
      </c>
      <c r="P297" s="19"/>
      <c r="Q297" s="16" t="str">
        <f>IF(C297="","",IFERROR(VLOOKUP(C297,PO_Workflow!$A:$Q,14,0),""))</f>
        <v/>
      </c>
      <c r="R297" s="20" t="str">
        <f>IF(C297="","",IFERROR(VLOOKUP(C297,PO_Workflow!$A:$Q,15,0),""))</f>
        <v/>
      </c>
      <c r="T297" s="16" t="str">
        <f>IF(C297="","",IFERROR(VLOOKUP(C297,PO_Workflow!$A:$Q,8,0),""))</f>
        <v/>
      </c>
      <c r="U297" s="21" t="str">
        <f t="shared" si="13"/>
        <v/>
      </c>
      <c r="V297" t="str">
        <f t="shared" si="14"/>
        <v/>
      </c>
    </row>
    <row r="298" spans="1:22" ht="15" customHeight="1" x14ac:dyDescent="0.35">
      <c r="A298" s="22"/>
      <c r="B298" s="22"/>
      <c r="C298" s="23"/>
      <c r="D298" t="str">
        <f>IF(C298&lt;&gt;"",IFERROR(VLOOKUP(C298,PO_Workflow!$A:$Q,10,0),""),IF(E298="","","PO-"&amp;TEXT(ROW()-2,"0000")))</f>
        <v/>
      </c>
      <c r="E298" s="16" t="str">
        <f>IF(C298="","",IFERROR(VLOOKUP(C298,PO_Workflow!$A:$Q,3,0),""))</f>
        <v/>
      </c>
      <c r="F298" s="16" t="str">
        <f>IF(C298="","",IFERROR(VLOOKUP(C298,PO_Workflow!$A:$Q,3,0),""))</f>
        <v/>
      </c>
      <c r="G298" s="16" t="str">
        <f>IF(C298="","",IFERROR(VLOOKUP(C298,PO_Workflow!$A:$Q,16,0),""))</f>
        <v/>
      </c>
      <c r="H298" s="16" t="str">
        <f>IF(C298="","",IFERROR(VLOOKUP(C298,PO_Workflow!$A:$Q,5,0),""))</f>
        <v/>
      </c>
      <c r="I298" s="16" t="str">
        <f>IF(C298="","",IFERROR(VLOOKUP(C298,PO_Workflow!$A:$Q,6,0),""))</f>
        <v/>
      </c>
      <c r="J298" s="17" t="str">
        <f>IF(C298="","",IFERROR(VLOOKUP(C298,PO_Workflow!$A:$Q,11,0),""))</f>
        <v/>
      </c>
      <c r="K298" s="17" t="str">
        <f>IF(C298="","",IFERROR(VLOOKUP(C298,PO_Workflow!$A:$Q,12,0),""))</f>
        <v/>
      </c>
      <c r="L298" s="17" t="str">
        <f>IF(C298="","",IFERROR(VLOOKUP(C298,PO_Workflow!$A:$Q,13,0),""))</f>
        <v/>
      </c>
      <c r="M298" s="18" t="str">
        <f t="shared" si="12"/>
        <v/>
      </c>
      <c r="O298" s="19" t="str">
        <f>IF(C298="","",IFERROR(VLOOKUP(C298,PO_Workflow!$A:$Q,7,0),""))</f>
        <v/>
      </c>
      <c r="P298" s="19"/>
      <c r="Q298" s="16" t="str">
        <f>IF(C298="","",IFERROR(VLOOKUP(C298,PO_Workflow!$A:$Q,14,0),""))</f>
        <v/>
      </c>
      <c r="R298" s="20" t="str">
        <f>IF(C298="","",IFERROR(VLOOKUP(C298,PO_Workflow!$A:$Q,15,0),""))</f>
        <v/>
      </c>
      <c r="T298" s="16" t="str">
        <f>IF(C298="","",IFERROR(VLOOKUP(C298,PO_Workflow!$A:$Q,8,0),""))</f>
        <v/>
      </c>
      <c r="U298" s="21" t="str">
        <f t="shared" si="13"/>
        <v/>
      </c>
      <c r="V298" t="str">
        <f t="shared" si="14"/>
        <v/>
      </c>
    </row>
    <row r="299" spans="1:22" ht="15" customHeight="1" x14ac:dyDescent="0.35">
      <c r="A299" s="22"/>
      <c r="B299" s="22"/>
      <c r="C299" s="23"/>
      <c r="D299" t="str">
        <f>IF(C299&lt;&gt;"",IFERROR(VLOOKUP(C299,PO_Workflow!$A:$Q,10,0),""),IF(E299="","","PO-"&amp;TEXT(ROW()-2,"0000")))</f>
        <v/>
      </c>
      <c r="E299" s="16" t="str">
        <f>IF(C299="","",IFERROR(VLOOKUP(C299,PO_Workflow!$A:$Q,3,0),""))</f>
        <v/>
      </c>
      <c r="F299" s="16" t="str">
        <f>IF(C299="","",IFERROR(VLOOKUP(C299,PO_Workflow!$A:$Q,3,0),""))</f>
        <v/>
      </c>
      <c r="G299" s="16" t="str">
        <f>IF(C299="","",IFERROR(VLOOKUP(C299,PO_Workflow!$A:$Q,16,0),""))</f>
        <v/>
      </c>
      <c r="H299" s="16" t="str">
        <f>IF(C299="","",IFERROR(VLOOKUP(C299,PO_Workflow!$A:$Q,5,0),""))</f>
        <v/>
      </c>
      <c r="I299" s="16" t="str">
        <f>IF(C299="","",IFERROR(VLOOKUP(C299,PO_Workflow!$A:$Q,6,0),""))</f>
        <v/>
      </c>
      <c r="J299" s="17" t="str">
        <f>IF(C299="","",IFERROR(VLOOKUP(C299,PO_Workflow!$A:$Q,11,0),""))</f>
        <v/>
      </c>
      <c r="K299" s="17" t="str">
        <f>IF(C299="","",IFERROR(VLOOKUP(C299,PO_Workflow!$A:$Q,12,0),""))</f>
        <v/>
      </c>
      <c r="L299" s="17" t="str">
        <f>IF(C299="","",IFERROR(VLOOKUP(C299,PO_Workflow!$A:$Q,13,0),""))</f>
        <v/>
      </c>
      <c r="M299" s="18" t="str">
        <f t="shared" si="12"/>
        <v/>
      </c>
      <c r="O299" s="19" t="str">
        <f>IF(C299="","",IFERROR(VLOOKUP(C299,PO_Workflow!$A:$Q,7,0),""))</f>
        <v/>
      </c>
      <c r="P299" s="19"/>
      <c r="Q299" s="16" t="str">
        <f>IF(C299="","",IFERROR(VLOOKUP(C299,PO_Workflow!$A:$Q,14,0),""))</f>
        <v/>
      </c>
      <c r="R299" s="20" t="str">
        <f>IF(C299="","",IFERROR(VLOOKUP(C299,PO_Workflow!$A:$Q,15,0),""))</f>
        <v/>
      </c>
      <c r="T299" s="16" t="str">
        <f>IF(C299="","",IFERROR(VLOOKUP(C299,PO_Workflow!$A:$Q,8,0),""))</f>
        <v/>
      </c>
      <c r="U299" s="21" t="str">
        <f t="shared" si="13"/>
        <v/>
      </c>
      <c r="V299" t="str">
        <f t="shared" si="14"/>
        <v/>
      </c>
    </row>
    <row r="300" spans="1:22" ht="15" customHeight="1" x14ac:dyDescent="0.35">
      <c r="A300" s="22"/>
      <c r="B300" s="22"/>
      <c r="C300" s="23"/>
      <c r="D300" t="str">
        <f>IF(C300&lt;&gt;"",IFERROR(VLOOKUP(C300,PO_Workflow!$A:$Q,10,0),""),IF(E300="","","PO-"&amp;TEXT(ROW()-2,"0000")))</f>
        <v/>
      </c>
      <c r="E300" s="16" t="str">
        <f>IF(C300="","",IFERROR(VLOOKUP(C300,PO_Workflow!$A:$Q,3,0),""))</f>
        <v/>
      </c>
      <c r="F300" s="16" t="str">
        <f>IF(C300="","",IFERROR(VLOOKUP(C300,PO_Workflow!$A:$Q,3,0),""))</f>
        <v/>
      </c>
      <c r="G300" s="16" t="str">
        <f>IF(C300="","",IFERROR(VLOOKUP(C300,PO_Workflow!$A:$Q,16,0),""))</f>
        <v/>
      </c>
      <c r="H300" s="16" t="str">
        <f>IF(C300="","",IFERROR(VLOOKUP(C300,PO_Workflow!$A:$Q,5,0),""))</f>
        <v/>
      </c>
      <c r="I300" s="16" t="str">
        <f>IF(C300="","",IFERROR(VLOOKUP(C300,PO_Workflow!$A:$Q,6,0),""))</f>
        <v/>
      </c>
      <c r="J300" s="17" t="str">
        <f>IF(C300="","",IFERROR(VLOOKUP(C300,PO_Workflow!$A:$Q,11,0),""))</f>
        <v/>
      </c>
      <c r="K300" s="17" t="str">
        <f>IF(C300="","",IFERROR(VLOOKUP(C300,PO_Workflow!$A:$Q,12,0),""))</f>
        <v/>
      </c>
      <c r="L300" s="17" t="str">
        <f>IF(C300="","",IFERROR(VLOOKUP(C300,PO_Workflow!$A:$Q,13,0),""))</f>
        <v/>
      </c>
      <c r="M300" s="18" t="str">
        <f t="shared" si="12"/>
        <v/>
      </c>
      <c r="O300" s="19" t="str">
        <f>IF(C300="","",IFERROR(VLOOKUP(C300,PO_Workflow!$A:$Q,7,0),""))</f>
        <v/>
      </c>
      <c r="P300" s="19"/>
      <c r="Q300" s="16" t="str">
        <f>IF(C300="","",IFERROR(VLOOKUP(C300,PO_Workflow!$A:$Q,14,0),""))</f>
        <v/>
      </c>
      <c r="R300" s="20" t="str">
        <f>IF(C300="","",IFERROR(VLOOKUP(C300,PO_Workflow!$A:$Q,15,0),""))</f>
        <v/>
      </c>
      <c r="T300" s="16" t="str">
        <f>IF(C300="","",IFERROR(VLOOKUP(C300,PO_Workflow!$A:$Q,8,0),""))</f>
        <v/>
      </c>
      <c r="U300" s="21" t="str">
        <f t="shared" si="13"/>
        <v/>
      </c>
      <c r="V300" t="str">
        <f t="shared" si="14"/>
        <v/>
      </c>
    </row>
    <row r="301" spans="1:22" ht="15" customHeight="1" x14ac:dyDescent="0.35">
      <c r="A301" s="22"/>
      <c r="B301" s="22"/>
      <c r="C301" s="23"/>
      <c r="D301" t="str">
        <f>IF(C301&lt;&gt;"",IFERROR(VLOOKUP(C301,PO_Workflow!$A:$Q,10,0),""),IF(E301="","","PO-"&amp;TEXT(ROW()-2,"0000")))</f>
        <v/>
      </c>
      <c r="E301" s="16" t="str">
        <f>IF(C301="","",IFERROR(VLOOKUP(C301,PO_Workflow!$A:$Q,3,0),""))</f>
        <v/>
      </c>
      <c r="F301" s="16" t="str">
        <f>IF(C301="","",IFERROR(VLOOKUP(C301,PO_Workflow!$A:$Q,3,0),""))</f>
        <v/>
      </c>
      <c r="G301" s="16" t="str">
        <f>IF(C301="","",IFERROR(VLOOKUP(C301,PO_Workflow!$A:$Q,16,0),""))</f>
        <v/>
      </c>
      <c r="H301" s="16" t="str">
        <f>IF(C301="","",IFERROR(VLOOKUP(C301,PO_Workflow!$A:$Q,5,0),""))</f>
        <v/>
      </c>
      <c r="I301" s="16" t="str">
        <f>IF(C301="","",IFERROR(VLOOKUP(C301,PO_Workflow!$A:$Q,6,0),""))</f>
        <v/>
      </c>
      <c r="J301" s="17" t="str">
        <f>IF(C301="","",IFERROR(VLOOKUP(C301,PO_Workflow!$A:$Q,11,0),""))</f>
        <v/>
      </c>
      <c r="K301" s="17" t="str">
        <f>IF(C301="","",IFERROR(VLOOKUP(C301,PO_Workflow!$A:$Q,12,0),""))</f>
        <v/>
      </c>
      <c r="L301" s="17" t="str">
        <f>IF(C301="","",IFERROR(VLOOKUP(C301,PO_Workflow!$A:$Q,13,0),""))</f>
        <v/>
      </c>
      <c r="M301" s="18" t="str">
        <f t="shared" si="12"/>
        <v/>
      </c>
      <c r="O301" s="19" t="str">
        <f>IF(C301="","",IFERROR(VLOOKUP(C301,PO_Workflow!$A:$Q,7,0),""))</f>
        <v/>
      </c>
      <c r="P301" s="19"/>
      <c r="Q301" s="16" t="str">
        <f>IF(C301="","",IFERROR(VLOOKUP(C301,PO_Workflow!$A:$Q,14,0),""))</f>
        <v/>
      </c>
      <c r="R301" s="20" t="str">
        <f>IF(C301="","",IFERROR(VLOOKUP(C301,PO_Workflow!$A:$Q,15,0),""))</f>
        <v/>
      </c>
      <c r="T301" s="16" t="str">
        <f>IF(C301="","",IFERROR(VLOOKUP(C301,PO_Workflow!$A:$Q,8,0),""))</f>
        <v/>
      </c>
      <c r="U301" s="21" t="str">
        <f t="shared" si="13"/>
        <v/>
      </c>
      <c r="V301" t="str">
        <f t="shared" si="14"/>
        <v/>
      </c>
    </row>
  </sheetData>
  <conditionalFormatting sqref="A4:V301 B3 D3:V3">
    <cfRule type="expression" dxfId="7" priority="2">
      <formula>$V3="Validated"</formula>
    </cfRule>
    <cfRule type="expression" dxfId="6" priority="3">
      <formula>$V3="Mismatch"</formula>
    </cfRule>
    <cfRule type="expression" dxfId="5" priority="4">
      <formula>$V3="Pending Validation"</formula>
    </cfRule>
  </conditionalFormatting>
  <conditionalFormatting sqref="A4:A301">
    <cfRule type="expression" dxfId="4" priority="72">
      <formula>$A4="Cancelled"</formula>
    </cfRule>
    <cfRule type="expression" dxfId="3" priority="73">
      <formula>$A4="Completed"</formula>
    </cfRule>
    <cfRule type="expression" dxfId="2" priority="74">
      <formula>$A4="Active"</formula>
    </cfRule>
  </conditionalFormatting>
  <conditionalFormatting sqref="B3:B301">
    <cfRule type="expression" dxfId="1" priority="75">
      <formula>$B3="Yes"</formula>
    </cfRule>
    <cfRule type="expression" dxfId="0" priority="76">
      <formula>$B3="No"</formula>
    </cfRule>
  </conditionalFormatting>
  <dataValidations count="4">
    <dataValidation type="list" allowBlank="1" showErrorMessage="1" sqref="H3:H301">
      <formula1>ServicePillar</formula1>
      <formula2>0</formula2>
    </dataValidation>
    <dataValidation type="list" allowBlank="1" showErrorMessage="1" sqref="Q3:Q301">
      <formula1>PaymentCadence</formula1>
      <formula2>0</formula2>
    </dataValidation>
    <dataValidation type="list" allowBlank="1" showErrorMessage="1" sqref="A4:A301">
      <formula1>POStatus</formula1>
      <formula2>0</formula2>
    </dataValidation>
    <dataValidation type="list" allowBlank="1" showErrorMessage="1" sqref="B3:B301">
      <formula1>POValidated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502"/>
  <sheetViews>
    <sheetView zoomScaleNormal="100" workbookViewId="0">
      <pane ySplit="2" topLeftCell="A3" activePane="bottomLeft" state="frozen"/>
      <selection pane="bottomLeft" activeCell="E8" sqref="E8"/>
    </sheetView>
  </sheetViews>
  <sheetFormatPr defaultColWidth="8.7265625" defaultRowHeight="14.5" x14ac:dyDescent="0.35"/>
  <cols>
    <col min="1" max="2" width="24" customWidth="1"/>
    <col min="3" max="3" width="28" customWidth="1"/>
    <col min="4" max="5" width="16" customWidth="1"/>
    <col min="6" max="6" width="14" customWidth="1"/>
    <col min="7" max="7" width="16" customWidth="1"/>
  </cols>
  <sheetData>
    <row r="1" spans="1:7" ht="39.75" customHeight="1" x14ac:dyDescent="0.35">
      <c r="A1" s="1" t="s">
        <v>92</v>
      </c>
      <c r="B1" s="1" t="s">
        <v>93</v>
      </c>
      <c r="C1" s="24" t="s">
        <v>517</v>
      </c>
      <c r="D1" s="24" t="s">
        <v>518</v>
      </c>
      <c r="E1" s="24" t="s">
        <v>519</v>
      </c>
      <c r="F1" s="24" t="s">
        <v>520</v>
      </c>
      <c r="G1" s="1" t="s">
        <v>98</v>
      </c>
    </row>
    <row r="2" spans="1:7" ht="19.5" customHeight="1" x14ac:dyDescent="0.35">
      <c r="A2" s="44" t="s">
        <v>521</v>
      </c>
      <c r="B2" s="39"/>
      <c r="C2" s="39"/>
    </row>
    <row r="3" spans="1:7" ht="19.5" customHeight="1" x14ac:dyDescent="0.35">
      <c r="A3" s="25" t="s">
        <v>101</v>
      </c>
      <c r="B3" s="25" t="s">
        <v>102</v>
      </c>
      <c r="C3" s="26" t="s">
        <v>522</v>
      </c>
      <c r="D3" s="26" t="s">
        <v>523</v>
      </c>
      <c r="E3" s="26" t="s">
        <v>524</v>
      </c>
      <c r="F3" s="26" t="s">
        <v>525</v>
      </c>
      <c r="G3" s="27">
        <v>45891</v>
      </c>
    </row>
    <row r="4" spans="1:7" ht="19.5" customHeight="1" x14ac:dyDescent="0.35">
      <c r="A4" s="25" t="s">
        <v>106</v>
      </c>
      <c r="B4" s="25" t="s">
        <v>107</v>
      </c>
      <c r="C4" s="26" t="s">
        <v>526</v>
      </c>
      <c r="D4" s="26" t="s">
        <v>527</v>
      </c>
      <c r="E4" s="26" t="s">
        <v>528</v>
      </c>
      <c r="F4" s="26" t="s">
        <v>529</v>
      </c>
      <c r="G4" s="27">
        <v>45892</v>
      </c>
    </row>
    <row r="5" spans="1:7" ht="19.5" customHeight="1" x14ac:dyDescent="0.35">
      <c r="A5" s="25" t="s">
        <v>112</v>
      </c>
      <c r="B5" s="25" t="s">
        <v>113</v>
      </c>
      <c r="C5" s="26" t="s">
        <v>530</v>
      </c>
      <c r="D5" s="26" t="s">
        <v>531</v>
      </c>
      <c r="E5" s="26" t="s">
        <v>524</v>
      </c>
      <c r="F5" s="26" t="s">
        <v>525</v>
      </c>
      <c r="G5" s="27">
        <v>45893</v>
      </c>
    </row>
    <row r="6" spans="1:7" ht="19.5" customHeight="1" x14ac:dyDescent="0.35">
      <c r="A6" s="25" t="s">
        <v>117</v>
      </c>
      <c r="B6" s="25" t="s">
        <v>118</v>
      </c>
      <c r="C6" s="26" t="s">
        <v>532</v>
      </c>
      <c r="D6" s="26" t="s">
        <v>533</v>
      </c>
      <c r="E6" s="26" t="s">
        <v>528</v>
      </c>
      <c r="F6" s="26" t="s">
        <v>529</v>
      </c>
      <c r="G6" s="27">
        <v>45894</v>
      </c>
    </row>
    <row r="7" spans="1:7" ht="19.5" customHeight="1" x14ac:dyDescent="0.35">
      <c r="A7" s="25" t="s">
        <v>121</v>
      </c>
      <c r="B7" s="25" t="s">
        <v>122</v>
      </c>
      <c r="C7" s="26" t="s">
        <v>534</v>
      </c>
      <c r="D7" s="26" t="s">
        <v>535</v>
      </c>
      <c r="E7" s="26" t="s">
        <v>524</v>
      </c>
      <c r="F7" s="26" t="s">
        <v>525</v>
      </c>
      <c r="G7" s="27">
        <v>45894</v>
      </c>
    </row>
    <row r="8" spans="1:7" ht="19.5" customHeight="1" x14ac:dyDescent="0.35">
      <c r="A8" s="25" t="s">
        <v>126</v>
      </c>
      <c r="B8" s="25" t="s">
        <v>127</v>
      </c>
      <c r="C8" s="26" t="s">
        <v>536</v>
      </c>
      <c r="D8" s="26" t="s">
        <v>537</v>
      </c>
      <c r="E8" s="26" t="s">
        <v>524</v>
      </c>
      <c r="F8" s="26" t="s">
        <v>525</v>
      </c>
      <c r="G8" s="27">
        <v>45894</v>
      </c>
    </row>
    <row r="9" spans="1:7" ht="19.5" customHeight="1" x14ac:dyDescent="0.35">
      <c r="A9" s="25" t="s">
        <v>106</v>
      </c>
      <c r="B9" s="25" t="s">
        <v>130</v>
      </c>
      <c r="C9" s="26" t="s">
        <v>526</v>
      </c>
      <c r="D9" s="26" t="s">
        <v>527</v>
      </c>
      <c r="E9" s="26" t="s">
        <v>528</v>
      </c>
      <c r="F9" s="26" t="s">
        <v>529</v>
      </c>
      <c r="G9" s="27">
        <v>45894</v>
      </c>
    </row>
    <row r="10" spans="1:7" ht="19.5" customHeight="1" x14ac:dyDescent="0.35">
      <c r="A10" s="25" t="s">
        <v>135</v>
      </c>
      <c r="B10" s="25" t="s">
        <v>136</v>
      </c>
      <c r="C10" s="26" t="s">
        <v>538</v>
      </c>
      <c r="D10" s="26" t="s">
        <v>539</v>
      </c>
      <c r="E10" s="26" t="s">
        <v>528</v>
      </c>
      <c r="F10" s="26" t="s">
        <v>529</v>
      </c>
      <c r="G10" s="27">
        <v>45667</v>
      </c>
    </row>
    <row r="11" spans="1:7" ht="19.5" customHeight="1" x14ac:dyDescent="0.35">
      <c r="A11" s="25" t="s">
        <v>140</v>
      </c>
      <c r="B11" s="25" t="s">
        <v>141</v>
      </c>
      <c r="C11" s="26" t="s">
        <v>540</v>
      </c>
      <c r="D11" s="26" t="s">
        <v>541</v>
      </c>
      <c r="E11" s="26" t="s">
        <v>524</v>
      </c>
      <c r="F11" s="26" t="s">
        <v>525</v>
      </c>
      <c r="G11" s="27">
        <v>45675</v>
      </c>
    </row>
    <row r="12" spans="1:7" ht="19.5" customHeight="1" x14ac:dyDescent="0.35">
      <c r="A12" s="25" t="s">
        <v>145</v>
      </c>
      <c r="B12" s="25" t="s">
        <v>146</v>
      </c>
      <c r="C12" s="26" t="s">
        <v>542</v>
      </c>
      <c r="D12" s="26" t="s">
        <v>543</v>
      </c>
      <c r="E12" s="26" t="s">
        <v>524</v>
      </c>
      <c r="F12" s="26" t="s">
        <v>525</v>
      </c>
      <c r="G12" s="27">
        <v>45693</v>
      </c>
    </row>
    <row r="13" spans="1:7" ht="19.5" customHeight="1" x14ac:dyDescent="0.35">
      <c r="A13" s="25" t="s">
        <v>150</v>
      </c>
      <c r="B13" s="25" t="s">
        <v>151</v>
      </c>
      <c r="C13" s="26" t="s">
        <v>544</v>
      </c>
      <c r="D13" s="26" t="s">
        <v>545</v>
      </c>
      <c r="E13" s="26" t="s">
        <v>546</v>
      </c>
      <c r="F13" s="26" t="s">
        <v>547</v>
      </c>
      <c r="G13" s="27">
        <v>45702</v>
      </c>
    </row>
    <row r="14" spans="1:7" ht="19.5" customHeight="1" x14ac:dyDescent="0.35">
      <c r="A14" s="25" t="s">
        <v>155</v>
      </c>
      <c r="B14" s="25" t="s">
        <v>156</v>
      </c>
      <c r="C14" s="26" t="s">
        <v>548</v>
      </c>
      <c r="D14" s="26" t="s">
        <v>549</v>
      </c>
      <c r="E14" s="26" t="s">
        <v>528</v>
      </c>
      <c r="F14" s="26" t="s">
        <v>529</v>
      </c>
      <c r="G14" s="27">
        <v>45718</v>
      </c>
    </row>
    <row r="15" spans="1:7" ht="19.5" customHeight="1" x14ac:dyDescent="0.35">
      <c r="A15" s="25" t="s">
        <v>160</v>
      </c>
      <c r="B15" s="25" t="s">
        <v>161</v>
      </c>
      <c r="C15" s="26" t="s">
        <v>550</v>
      </c>
      <c r="D15" s="26" t="s">
        <v>551</v>
      </c>
      <c r="E15" s="26" t="s">
        <v>528</v>
      </c>
      <c r="F15" s="26" t="s">
        <v>529</v>
      </c>
      <c r="G15" s="27">
        <v>45736</v>
      </c>
    </row>
    <row r="16" spans="1:7" ht="19.5" customHeight="1" x14ac:dyDescent="0.35">
      <c r="A16" s="25" t="s">
        <v>165</v>
      </c>
      <c r="B16" s="25" t="s">
        <v>166</v>
      </c>
      <c r="C16" s="26" t="s">
        <v>552</v>
      </c>
      <c r="D16" s="26" t="s">
        <v>553</v>
      </c>
      <c r="E16" s="26" t="s">
        <v>528</v>
      </c>
      <c r="F16" s="26" t="s">
        <v>529</v>
      </c>
      <c r="G16" s="27">
        <v>45755</v>
      </c>
    </row>
    <row r="17" spans="1:7" ht="19.5" customHeight="1" x14ac:dyDescent="0.35">
      <c r="A17" s="25" t="s">
        <v>170</v>
      </c>
      <c r="B17" s="25" t="s">
        <v>171</v>
      </c>
      <c r="C17" s="26" t="s">
        <v>554</v>
      </c>
      <c r="D17" s="26" t="s">
        <v>555</v>
      </c>
      <c r="E17" s="26" t="s">
        <v>524</v>
      </c>
      <c r="F17" s="26" t="s">
        <v>525</v>
      </c>
      <c r="G17" s="27">
        <v>45769</v>
      </c>
    </row>
    <row r="18" spans="1:7" ht="19.5" customHeight="1" x14ac:dyDescent="0.35">
      <c r="A18" s="25" t="s">
        <v>175</v>
      </c>
      <c r="B18" s="25" t="s">
        <v>176</v>
      </c>
      <c r="C18" s="26" t="s">
        <v>556</v>
      </c>
      <c r="D18" s="26" t="s">
        <v>557</v>
      </c>
      <c r="E18" s="26" t="s">
        <v>558</v>
      </c>
      <c r="F18" s="26" t="s">
        <v>529</v>
      </c>
      <c r="G18" s="27">
        <v>45783</v>
      </c>
    </row>
    <row r="19" spans="1:7" ht="19.5" customHeight="1" x14ac:dyDescent="0.35">
      <c r="A19" s="25" t="s">
        <v>180</v>
      </c>
      <c r="B19" s="25" t="s">
        <v>181</v>
      </c>
      <c r="C19" s="26" t="s">
        <v>559</v>
      </c>
      <c r="D19" s="26" t="s">
        <v>560</v>
      </c>
      <c r="E19" s="26" t="s">
        <v>528</v>
      </c>
      <c r="F19" s="26" t="s">
        <v>529</v>
      </c>
      <c r="G19" s="27">
        <v>45796</v>
      </c>
    </row>
    <row r="20" spans="1:7" ht="19.5" customHeight="1" x14ac:dyDescent="0.35">
      <c r="A20" s="25" t="s">
        <v>185</v>
      </c>
      <c r="B20" s="25" t="s">
        <v>186</v>
      </c>
      <c r="C20" s="26" t="s">
        <v>561</v>
      </c>
      <c r="D20" s="26" t="s">
        <v>562</v>
      </c>
      <c r="E20" s="26" t="s">
        <v>528</v>
      </c>
      <c r="F20" s="26" t="s">
        <v>529</v>
      </c>
      <c r="G20" s="27">
        <v>45811</v>
      </c>
    </row>
    <row r="21" spans="1:7" ht="19.5" customHeight="1" x14ac:dyDescent="0.35">
      <c r="A21" s="25" t="s">
        <v>190</v>
      </c>
      <c r="B21" s="25" t="s">
        <v>191</v>
      </c>
      <c r="C21" s="26" t="s">
        <v>563</v>
      </c>
      <c r="D21" s="26" t="s">
        <v>564</v>
      </c>
      <c r="E21" s="26" t="s">
        <v>524</v>
      </c>
      <c r="F21" s="26" t="s">
        <v>525</v>
      </c>
      <c r="G21" s="27">
        <v>45825</v>
      </c>
    </row>
    <row r="22" spans="1:7" ht="19.5" customHeight="1" x14ac:dyDescent="0.35">
      <c r="A22" s="25" t="s">
        <v>195</v>
      </c>
      <c r="B22" s="25" t="s">
        <v>196</v>
      </c>
      <c r="C22" s="26" t="s">
        <v>565</v>
      </c>
      <c r="D22" s="26" t="s">
        <v>566</v>
      </c>
      <c r="E22" s="26" t="s">
        <v>528</v>
      </c>
      <c r="F22" s="26" t="s">
        <v>529</v>
      </c>
      <c r="G22" s="27">
        <v>45839</v>
      </c>
    </row>
    <row r="23" spans="1:7" ht="19.5" customHeight="1" x14ac:dyDescent="0.35">
      <c r="A23" s="25" t="s">
        <v>200</v>
      </c>
      <c r="B23" s="25" t="s">
        <v>201</v>
      </c>
      <c r="C23" s="26" t="s">
        <v>567</v>
      </c>
      <c r="D23" s="26" t="s">
        <v>568</v>
      </c>
      <c r="E23" s="26" t="s">
        <v>524</v>
      </c>
      <c r="F23" s="26" t="s">
        <v>525</v>
      </c>
      <c r="G23" s="27">
        <v>45853</v>
      </c>
    </row>
    <row r="24" spans="1:7" ht="19.5" customHeight="1" x14ac:dyDescent="0.35">
      <c r="A24" s="25" t="s">
        <v>205</v>
      </c>
      <c r="B24" s="25" t="s">
        <v>206</v>
      </c>
      <c r="C24" s="26" t="s">
        <v>569</v>
      </c>
      <c r="D24" s="26" t="s">
        <v>570</v>
      </c>
      <c r="E24" s="26" t="s">
        <v>528</v>
      </c>
      <c r="F24" s="26" t="s">
        <v>529</v>
      </c>
      <c r="G24" s="27">
        <v>45867</v>
      </c>
    </row>
    <row r="25" spans="1:7" ht="19.5" customHeight="1" x14ac:dyDescent="0.35">
      <c r="A25" s="25" t="s">
        <v>210</v>
      </c>
      <c r="B25" s="25" t="s">
        <v>211</v>
      </c>
      <c r="C25" s="26" t="s">
        <v>571</v>
      </c>
      <c r="D25" s="26" t="s">
        <v>572</v>
      </c>
      <c r="E25" s="26" t="s">
        <v>524</v>
      </c>
      <c r="F25" s="26" t="s">
        <v>525</v>
      </c>
      <c r="G25" s="27">
        <v>45874</v>
      </c>
    </row>
    <row r="26" spans="1:7" ht="19.5" customHeight="1" x14ac:dyDescent="0.35">
      <c r="A26" s="25" t="s">
        <v>215</v>
      </c>
      <c r="B26" s="25" t="s">
        <v>216</v>
      </c>
      <c r="C26" s="26" t="s">
        <v>573</v>
      </c>
      <c r="D26" s="26" t="s">
        <v>574</v>
      </c>
      <c r="E26" s="26" t="s">
        <v>524</v>
      </c>
      <c r="F26" s="26" t="s">
        <v>525</v>
      </c>
      <c r="G26" s="27">
        <v>45881</v>
      </c>
    </row>
    <row r="27" spans="1:7" ht="19.5" customHeight="1" x14ac:dyDescent="0.35">
      <c r="A27" s="25" t="s">
        <v>220</v>
      </c>
      <c r="B27" s="25" t="s">
        <v>221</v>
      </c>
      <c r="C27" s="26" t="s">
        <v>575</v>
      </c>
      <c r="D27" s="26" t="s">
        <v>576</v>
      </c>
      <c r="E27" s="26" t="s">
        <v>524</v>
      </c>
      <c r="F27" s="26" t="s">
        <v>525</v>
      </c>
      <c r="G27" s="27">
        <v>45901</v>
      </c>
    </row>
    <row r="28" spans="1:7" ht="19.5" customHeight="1" x14ac:dyDescent="0.35">
      <c r="A28" s="25" t="s">
        <v>225</v>
      </c>
      <c r="B28" s="25" t="s">
        <v>226</v>
      </c>
      <c r="C28" s="26" t="s">
        <v>577</v>
      </c>
      <c r="D28" s="26" t="s">
        <v>578</v>
      </c>
      <c r="E28" s="26" t="s">
        <v>579</v>
      </c>
      <c r="F28" s="26" t="s">
        <v>580</v>
      </c>
      <c r="G28" s="27">
        <v>45910</v>
      </c>
    </row>
    <row r="29" spans="1:7" ht="19.5" customHeight="1" x14ac:dyDescent="0.35">
      <c r="A29" s="25" t="s">
        <v>230</v>
      </c>
      <c r="B29" s="25" t="s">
        <v>231</v>
      </c>
      <c r="C29" s="26" t="s">
        <v>581</v>
      </c>
      <c r="D29" s="26" t="s">
        <v>582</v>
      </c>
      <c r="E29" s="26" t="s">
        <v>583</v>
      </c>
      <c r="F29" s="26" t="s">
        <v>584</v>
      </c>
      <c r="G29" s="27">
        <v>45922</v>
      </c>
    </row>
    <row r="30" spans="1:7" ht="19.5" customHeight="1" x14ac:dyDescent="0.35">
      <c r="A30" s="25" t="s">
        <v>235</v>
      </c>
      <c r="B30" s="25" t="s">
        <v>236</v>
      </c>
      <c r="C30" s="26" t="s">
        <v>585</v>
      </c>
      <c r="D30" s="26" t="s">
        <v>586</v>
      </c>
      <c r="E30" s="26" t="s">
        <v>587</v>
      </c>
      <c r="F30" s="26" t="s">
        <v>588</v>
      </c>
      <c r="G30" s="27">
        <v>45936</v>
      </c>
    </row>
    <row r="31" spans="1:7" ht="19.5" customHeight="1" x14ac:dyDescent="0.35">
      <c r="A31" s="25" t="s">
        <v>240</v>
      </c>
      <c r="B31" s="25" t="s">
        <v>241</v>
      </c>
      <c r="C31" s="26" t="s">
        <v>589</v>
      </c>
      <c r="D31" s="26" t="s">
        <v>590</v>
      </c>
      <c r="E31" s="26" t="s">
        <v>528</v>
      </c>
      <c r="F31" s="26" t="s">
        <v>529</v>
      </c>
      <c r="G31" s="27">
        <v>45950</v>
      </c>
    </row>
    <row r="32" spans="1:7" ht="19.5" customHeight="1" x14ac:dyDescent="0.35">
      <c r="A32" s="25" t="s">
        <v>245</v>
      </c>
      <c r="B32" s="25" t="s">
        <v>246</v>
      </c>
      <c r="C32" s="26" t="s">
        <v>591</v>
      </c>
      <c r="D32" s="26" t="s">
        <v>592</v>
      </c>
      <c r="E32" s="26" t="s">
        <v>593</v>
      </c>
      <c r="F32" s="26" t="s">
        <v>594</v>
      </c>
      <c r="G32" s="27">
        <v>45965</v>
      </c>
    </row>
    <row r="33" spans="1:7" ht="19.5" customHeight="1" x14ac:dyDescent="0.35">
      <c r="A33" s="25" t="s">
        <v>250</v>
      </c>
      <c r="B33" s="25" t="s">
        <v>251</v>
      </c>
      <c r="C33" s="26" t="s">
        <v>595</v>
      </c>
      <c r="D33" s="26" t="s">
        <v>596</v>
      </c>
      <c r="E33" s="26" t="s">
        <v>528</v>
      </c>
      <c r="F33" s="26" t="s">
        <v>529</v>
      </c>
      <c r="G33" s="27">
        <v>45979</v>
      </c>
    </row>
    <row r="34" spans="1:7" ht="19.5" customHeight="1" x14ac:dyDescent="0.35">
      <c r="A34" s="25" t="s">
        <v>255</v>
      </c>
      <c r="B34" s="25" t="s">
        <v>256</v>
      </c>
      <c r="C34" s="26" t="s">
        <v>597</v>
      </c>
      <c r="D34" s="26" t="s">
        <v>598</v>
      </c>
      <c r="E34" s="26" t="s">
        <v>528</v>
      </c>
      <c r="F34" s="26" t="s">
        <v>529</v>
      </c>
      <c r="G34" s="27">
        <v>45993</v>
      </c>
    </row>
    <row r="35" spans="1:7" ht="19.5" customHeight="1" x14ac:dyDescent="0.35">
      <c r="A35" s="25" t="s">
        <v>260</v>
      </c>
      <c r="B35" s="25" t="s">
        <v>261</v>
      </c>
      <c r="C35" s="26" t="s">
        <v>599</v>
      </c>
      <c r="D35" s="26" t="s">
        <v>600</v>
      </c>
      <c r="E35" s="26" t="s">
        <v>587</v>
      </c>
      <c r="F35" s="26" t="s">
        <v>588</v>
      </c>
      <c r="G35" s="27">
        <v>46006</v>
      </c>
    </row>
    <row r="36" spans="1:7" ht="19.5" customHeight="1" x14ac:dyDescent="0.35">
      <c r="A36" s="25" t="s">
        <v>265</v>
      </c>
      <c r="B36" s="25" t="s">
        <v>266</v>
      </c>
      <c r="C36" s="26" t="s">
        <v>601</v>
      </c>
      <c r="D36" s="26" t="s">
        <v>602</v>
      </c>
      <c r="E36" s="26" t="s">
        <v>524</v>
      </c>
      <c r="F36" s="26" t="s">
        <v>525</v>
      </c>
      <c r="G36" s="27">
        <v>46013</v>
      </c>
    </row>
    <row r="37" spans="1:7" ht="19.5" customHeight="1" x14ac:dyDescent="0.35">
      <c r="A37" s="25" t="s">
        <v>270</v>
      </c>
      <c r="B37" s="25" t="s">
        <v>271</v>
      </c>
      <c r="C37" s="26" t="s">
        <v>603</v>
      </c>
      <c r="D37" s="26" t="s">
        <v>604</v>
      </c>
      <c r="E37" s="26" t="s">
        <v>524</v>
      </c>
      <c r="F37" s="26" t="s">
        <v>525</v>
      </c>
      <c r="G37" s="27">
        <v>46020</v>
      </c>
    </row>
    <row r="38" spans="1:7" ht="19.5" customHeight="1" x14ac:dyDescent="0.35">
      <c r="A38" s="25" t="s">
        <v>275</v>
      </c>
      <c r="B38" s="25" t="s">
        <v>276</v>
      </c>
      <c r="C38" s="26" t="s">
        <v>605</v>
      </c>
      <c r="D38" s="26" t="s">
        <v>606</v>
      </c>
      <c r="E38" s="26" t="s">
        <v>528</v>
      </c>
      <c r="F38" s="26" t="s">
        <v>529</v>
      </c>
      <c r="G38" s="27">
        <v>46022</v>
      </c>
    </row>
    <row r="39" spans="1:7" ht="19.5" customHeight="1" x14ac:dyDescent="0.35">
      <c r="A39" s="25" t="s">
        <v>280</v>
      </c>
      <c r="B39" s="25" t="s">
        <v>281</v>
      </c>
      <c r="C39" s="26" t="s">
        <v>607</v>
      </c>
      <c r="D39" s="26" t="s">
        <v>608</v>
      </c>
      <c r="E39" s="26" t="s">
        <v>546</v>
      </c>
      <c r="F39" s="26" t="s">
        <v>547</v>
      </c>
      <c r="G39" s="27">
        <v>46022</v>
      </c>
    </row>
    <row r="40" spans="1:7" ht="19.5" customHeight="1" x14ac:dyDescent="0.35">
      <c r="A40" s="25" t="s">
        <v>285</v>
      </c>
      <c r="B40" s="25" t="s">
        <v>286</v>
      </c>
      <c r="C40" s="26" t="s">
        <v>609</v>
      </c>
      <c r="D40" s="26" t="s">
        <v>610</v>
      </c>
      <c r="E40" s="26" t="s">
        <v>528</v>
      </c>
      <c r="F40" s="26" t="s">
        <v>529</v>
      </c>
      <c r="G40" s="27">
        <v>46030</v>
      </c>
    </row>
    <row r="41" spans="1:7" ht="19.5" customHeight="1" x14ac:dyDescent="0.35">
      <c r="A41" s="25" t="s">
        <v>290</v>
      </c>
      <c r="B41" s="25" t="s">
        <v>291</v>
      </c>
      <c r="C41" s="26" t="s">
        <v>611</v>
      </c>
      <c r="D41" s="26" t="s">
        <v>612</v>
      </c>
      <c r="E41" s="26" t="s">
        <v>524</v>
      </c>
      <c r="F41" s="26" t="s">
        <v>525</v>
      </c>
      <c r="G41" s="27">
        <v>46044</v>
      </c>
    </row>
    <row r="42" spans="1:7" ht="19.5" customHeight="1" x14ac:dyDescent="0.35">
      <c r="A42" s="25" t="s">
        <v>295</v>
      </c>
      <c r="B42" s="25" t="s">
        <v>296</v>
      </c>
      <c r="C42" s="26" t="s">
        <v>613</v>
      </c>
      <c r="D42" s="26" t="s">
        <v>614</v>
      </c>
      <c r="E42" s="26" t="s">
        <v>528</v>
      </c>
      <c r="F42" s="26" t="s">
        <v>529</v>
      </c>
      <c r="G42" s="27">
        <v>46058</v>
      </c>
    </row>
    <row r="43" spans="1:7" ht="19.5" customHeight="1" x14ac:dyDescent="0.35">
      <c r="A43" s="25" t="s">
        <v>300</v>
      </c>
      <c r="B43" s="25" t="s">
        <v>301</v>
      </c>
      <c r="C43" s="26" t="s">
        <v>615</v>
      </c>
      <c r="D43" s="26" t="s">
        <v>616</v>
      </c>
      <c r="E43" s="26" t="s">
        <v>524</v>
      </c>
      <c r="F43" s="26" t="s">
        <v>525</v>
      </c>
      <c r="G43" s="27">
        <v>46067</v>
      </c>
    </row>
    <row r="44" spans="1:7" ht="19.5" customHeight="1" x14ac:dyDescent="0.35">
      <c r="A44" s="25" t="s">
        <v>305</v>
      </c>
      <c r="B44" s="25" t="s">
        <v>306</v>
      </c>
      <c r="C44" s="26" t="s">
        <v>617</v>
      </c>
      <c r="D44" s="26" t="s">
        <v>618</v>
      </c>
      <c r="E44" s="26" t="s">
        <v>524</v>
      </c>
      <c r="F44" s="26" t="s">
        <v>525</v>
      </c>
      <c r="G44" s="27">
        <v>46073</v>
      </c>
    </row>
    <row r="45" spans="1:7" ht="19.5" customHeight="1" x14ac:dyDescent="0.35">
      <c r="A45" s="25" t="s">
        <v>310</v>
      </c>
      <c r="B45" s="25" t="s">
        <v>311</v>
      </c>
      <c r="C45" s="26" t="s">
        <v>619</v>
      </c>
      <c r="D45" s="26" t="s">
        <v>620</v>
      </c>
      <c r="E45" s="26" t="s">
        <v>524</v>
      </c>
      <c r="F45" s="26" t="s">
        <v>525</v>
      </c>
      <c r="G45" s="27">
        <v>46078</v>
      </c>
    </row>
    <row r="46" spans="1:7" ht="19.5" customHeight="1" x14ac:dyDescent="0.35">
      <c r="A46" s="25" t="s">
        <v>315</v>
      </c>
      <c r="B46" s="25" t="s">
        <v>316</v>
      </c>
      <c r="C46" s="26" t="s">
        <v>621</v>
      </c>
      <c r="D46" s="26" t="s">
        <v>622</v>
      </c>
      <c r="E46" s="26" t="s">
        <v>524</v>
      </c>
      <c r="F46" s="26" t="s">
        <v>525</v>
      </c>
      <c r="G46" s="27">
        <v>46082</v>
      </c>
    </row>
    <row r="47" spans="1:7" ht="19.5" customHeight="1" x14ac:dyDescent="0.35">
      <c r="A47" s="25" t="s">
        <v>320</v>
      </c>
      <c r="B47" s="25" t="s">
        <v>321</v>
      </c>
      <c r="C47" s="26" t="s">
        <v>623</v>
      </c>
      <c r="D47" s="26" t="s">
        <v>624</v>
      </c>
      <c r="E47" s="26" t="s">
        <v>524</v>
      </c>
      <c r="F47" s="26" t="s">
        <v>525</v>
      </c>
      <c r="G47" s="27">
        <v>46085</v>
      </c>
    </row>
    <row r="48" spans="1:7" ht="19.5" customHeight="1" x14ac:dyDescent="0.35">
      <c r="A48" s="25" t="s">
        <v>325</v>
      </c>
      <c r="B48" s="25" t="s">
        <v>326</v>
      </c>
      <c r="C48" s="26" t="s">
        <v>625</v>
      </c>
      <c r="D48" s="26" t="s">
        <v>626</v>
      </c>
      <c r="E48" s="26" t="s">
        <v>528</v>
      </c>
      <c r="F48" s="26" t="s">
        <v>529</v>
      </c>
      <c r="G48" s="27">
        <v>46087</v>
      </c>
    </row>
    <row r="49" spans="1:7" ht="19.5" customHeight="1" x14ac:dyDescent="0.35">
      <c r="A49" s="25" t="s">
        <v>330</v>
      </c>
      <c r="B49" s="25" t="s">
        <v>331</v>
      </c>
      <c r="C49" s="26" t="s">
        <v>627</v>
      </c>
      <c r="D49" s="26" t="s">
        <v>628</v>
      </c>
      <c r="E49" s="26" t="s">
        <v>524</v>
      </c>
      <c r="F49" s="26" t="s">
        <v>525</v>
      </c>
      <c r="G49" s="27">
        <v>46087</v>
      </c>
    </row>
    <row r="50" spans="1:7" ht="19.5" customHeight="1" x14ac:dyDescent="0.35">
      <c r="A50" s="25" t="s">
        <v>330</v>
      </c>
      <c r="B50" s="25" t="s">
        <v>331</v>
      </c>
      <c r="C50" s="26"/>
      <c r="D50" s="26"/>
      <c r="E50" s="26"/>
      <c r="F50" s="26"/>
      <c r="G50" s="27">
        <v>46087</v>
      </c>
    </row>
    <row r="51" spans="1:7" ht="19.5" customHeight="1" x14ac:dyDescent="0.35">
      <c r="A51" s="25" t="str">
        <f>IF(Enquiry!B51="","",IFERROR(Enquiry!C51,""))</f>
        <v/>
      </c>
      <c r="B51" s="25" t="str">
        <f>IF(Enquiry!B51="","",IFERROR(Enquiry!D51,""))</f>
        <v/>
      </c>
      <c r="C51" s="26"/>
      <c r="D51" s="26"/>
      <c r="E51" s="26"/>
      <c r="F51" s="26"/>
      <c r="G51" s="27" t="str">
        <f>IF(Enquiry!B51="","",IFERROR(Enquiry!K51,""))</f>
        <v/>
      </c>
    </row>
    <row r="52" spans="1:7" ht="19.5" customHeight="1" x14ac:dyDescent="0.35">
      <c r="A52" s="25" t="str">
        <f>IF(Enquiry!B52="","",IFERROR(Enquiry!C52,""))</f>
        <v/>
      </c>
      <c r="B52" s="25" t="str">
        <f>IF(Enquiry!B52="","",IFERROR(Enquiry!D52,""))</f>
        <v/>
      </c>
      <c r="C52" s="26"/>
      <c r="D52" s="26"/>
      <c r="E52" s="26"/>
      <c r="F52" s="26"/>
      <c r="G52" s="27" t="str">
        <f>IF(Enquiry!B52="","",IFERROR(Enquiry!K52,""))</f>
        <v/>
      </c>
    </row>
    <row r="53" spans="1:7" ht="19.5" customHeight="1" x14ac:dyDescent="0.35">
      <c r="A53" s="25" t="str">
        <f>IF(Enquiry!B53="","",IFERROR(Enquiry!C53,""))</f>
        <v/>
      </c>
      <c r="B53" s="25" t="str">
        <f>IF(Enquiry!B53="","",IFERROR(Enquiry!D53,""))</f>
        <v/>
      </c>
      <c r="C53" s="26"/>
      <c r="D53" s="26"/>
      <c r="E53" s="26"/>
      <c r="F53" s="26"/>
      <c r="G53" s="27" t="str">
        <f>IF(Enquiry!B53="","",IFERROR(Enquiry!K53,""))</f>
        <v/>
      </c>
    </row>
    <row r="54" spans="1:7" ht="19.5" customHeight="1" x14ac:dyDescent="0.35">
      <c r="A54" s="25" t="str">
        <f>IF(Enquiry!B54="","",IFERROR(Enquiry!C54,""))</f>
        <v/>
      </c>
      <c r="B54" s="25" t="str">
        <f>IF(Enquiry!B54="","",IFERROR(Enquiry!D54,""))</f>
        <v/>
      </c>
      <c r="C54" s="26"/>
      <c r="D54" s="26"/>
      <c r="E54" s="26"/>
      <c r="F54" s="26"/>
      <c r="G54" s="27" t="str">
        <f>IF(Enquiry!B54="","",IFERROR(Enquiry!K54,""))</f>
        <v/>
      </c>
    </row>
    <row r="55" spans="1:7" ht="19.5" customHeight="1" x14ac:dyDescent="0.35">
      <c r="A55" s="25" t="str">
        <f>IF(Enquiry!B55="","",IFERROR(Enquiry!C55,""))</f>
        <v/>
      </c>
      <c r="B55" s="25" t="str">
        <f>IF(Enquiry!B55="","",IFERROR(Enquiry!D55,""))</f>
        <v/>
      </c>
      <c r="C55" s="26"/>
      <c r="D55" s="26"/>
      <c r="E55" s="26"/>
      <c r="F55" s="26"/>
      <c r="G55" s="27" t="str">
        <f>IF(Enquiry!B55="","",IFERROR(Enquiry!K55,""))</f>
        <v/>
      </c>
    </row>
    <row r="56" spans="1:7" ht="19.5" customHeight="1" x14ac:dyDescent="0.35">
      <c r="A56" s="25" t="str">
        <f>IF(Enquiry!B56="","",IFERROR(Enquiry!C56,""))</f>
        <v/>
      </c>
      <c r="B56" s="25" t="str">
        <f>IF(Enquiry!B56="","",IFERROR(Enquiry!D56,""))</f>
        <v/>
      </c>
      <c r="C56" s="26"/>
      <c r="D56" s="26"/>
      <c r="E56" s="26"/>
      <c r="F56" s="26"/>
      <c r="G56" s="27" t="str">
        <f>IF(Enquiry!B56="","",IFERROR(Enquiry!K56,""))</f>
        <v/>
      </c>
    </row>
    <row r="57" spans="1:7" ht="19.5" customHeight="1" x14ac:dyDescent="0.35">
      <c r="A57" s="25" t="str">
        <f>IF(Enquiry!B57="","",IFERROR(Enquiry!C57,""))</f>
        <v/>
      </c>
      <c r="B57" s="25" t="str">
        <f>IF(Enquiry!B57="","",IFERROR(Enquiry!D57,""))</f>
        <v/>
      </c>
      <c r="C57" s="26"/>
      <c r="D57" s="26"/>
      <c r="E57" s="26"/>
      <c r="F57" s="26"/>
      <c r="G57" s="27" t="str">
        <f>IF(Enquiry!B57="","",IFERROR(Enquiry!K57,""))</f>
        <v/>
      </c>
    </row>
    <row r="58" spans="1:7" ht="19.5" customHeight="1" x14ac:dyDescent="0.35">
      <c r="A58" s="25" t="str">
        <f>IF(Enquiry!B58="","",IFERROR(Enquiry!C58,""))</f>
        <v/>
      </c>
      <c r="B58" s="25" t="str">
        <f>IF(Enquiry!B58="","",IFERROR(Enquiry!D58,""))</f>
        <v/>
      </c>
      <c r="C58" s="26"/>
      <c r="D58" s="26"/>
      <c r="E58" s="26"/>
      <c r="F58" s="26"/>
      <c r="G58" s="27" t="str">
        <f>IF(Enquiry!B58="","",IFERROR(Enquiry!K58,""))</f>
        <v/>
      </c>
    </row>
    <row r="59" spans="1:7" ht="19.5" customHeight="1" x14ac:dyDescent="0.35">
      <c r="A59" s="25" t="str">
        <f>IF(Enquiry!B59="","",IFERROR(Enquiry!C59,""))</f>
        <v/>
      </c>
      <c r="B59" s="25" t="str">
        <f>IF(Enquiry!B59="","",IFERROR(Enquiry!D59,""))</f>
        <v/>
      </c>
      <c r="C59" s="26"/>
      <c r="D59" s="26"/>
      <c r="E59" s="26"/>
      <c r="F59" s="26"/>
      <c r="G59" s="27" t="str">
        <f>IF(Enquiry!B59="","",IFERROR(Enquiry!K59,""))</f>
        <v/>
      </c>
    </row>
    <row r="60" spans="1:7" ht="19.5" customHeight="1" x14ac:dyDescent="0.35">
      <c r="A60" s="25" t="str">
        <f>IF(Enquiry!B60="","",IFERROR(Enquiry!C60,""))</f>
        <v/>
      </c>
      <c r="B60" s="25" t="str">
        <f>IF(Enquiry!B60="","",IFERROR(Enquiry!D60,""))</f>
        <v/>
      </c>
      <c r="C60" s="26"/>
      <c r="D60" s="26"/>
      <c r="E60" s="26"/>
      <c r="F60" s="26"/>
      <c r="G60" s="27" t="str">
        <f>IF(Enquiry!B60="","",IFERROR(Enquiry!K60,""))</f>
        <v/>
      </c>
    </row>
    <row r="61" spans="1:7" ht="19.5" customHeight="1" x14ac:dyDescent="0.35">
      <c r="A61" s="25" t="str">
        <f>IF(Enquiry!B61="","",IFERROR(Enquiry!C61,""))</f>
        <v/>
      </c>
      <c r="B61" s="25" t="str">
        <f>IF(Enquiry!B61="","",IFERROR(Enquiry!D61,""))</f>
        <v/>
      </c>
      <c r="C61" s="26"/>
      <c r="D61" s="26"/>
      <c r="E61" s="26"/>
      <c r="F61" s="26"/>
      <c r="G61" s="27" t="str">
        <f>IF(Enquiry!B61="","",IFERROR(Enquiry!K61,""))</f>
        <v/>
      </c>
    </row>
    <row r="62" spans="1:7" ht="19.5" customHeight="1" x14ac:dyDescent="0.35">
      <c r="A62" s="25" t="str">
        <f>IF(Enquiry!B62="","",IFERROR(Enquiry!C62,""))</f>
        <v/>
      </c>
      <c r="B62" s="25" t="str">
        <f>IF(Enquiry!B62="","",IFERROR(Enquiry!D62,""))</f>
        <v/>
      </c>
      <c r="C62" s="26"/>
      <c r="D62" s="26"/>
      <c r="E62" s="26"/>
      <c r="F62" s="26"/>
      <c r="G62" s="27" t="str">
        <f>IF(Enquiry!B62="","",IFERROR(Enquiry!K62,""))</f>
        <v/>
      </c>
    </row>
    <row r="63" spans="1:7" ht="19.5" customHeight="1" x14ac:dyDescent="0.35">
      <c r="A63" s="25" t="str">
        <f>IF(Enquiry!B63="","",IFERROR(Enquiry!C63,""))</f>
        <v/>
      </c>
      <c r="B63" s="25" t="str">
        <f>IF(Enquiry!B63="","",IFERROR(Enquiry!D63,""))</f>
        <v/>
      </c>
      <c r="C63" s="26"/>
      <c r="D63" s="26"/>
      <c r="E63" s="26"/>
      <c r="F63" s="26"/>
      <c r="G63" s="27" t="str">
        <f>IF(Enquiry!B63="","",IFERROR(Enquiry!K63,""))</f>
        <v/>
      </c>
    </row>
    <row r="64" spans="1:7" ht="19.5" customHeight="1" x14ac:dyDescent="0.35">
      <c r="A64" s="25" t="str">
        <f>IF(Enquiry!B64="","",IFERROR(Enquiry!C64,""))</f>
        <v/>
      </c>
      <c r="B64" s="25" t="str">
        <f>IF(Enquiry!B64="","",IFERROR(Enquiry!D64,""))</f>
        <v/>
      </c>
      <c r="C64" s="26"/>
      <c r="D64" s="26"/>
      <c r="E64" s="26"/>
      <c r="F64" s="26"/>
      <c r="G64" s="27" t="str">
        <f>IF(Enquiry!B64="","",IFERROR(Enquiry!K64,""))</f>
        <v/>
      </c>
    </row>
    <row r="65" spans="1:7" ht="19.5" customHeight="1" x14ac:dyDescent="0.35">
      <c r="A65" s="25" t="str">
        <f>IF(Enquiry!B65="","",IFERROR(Enquiry!C65,""))</f>
        <v/>
      </c>
      <c r="B65" s="25" t="str">
        <f>IF(Enquiry!B65="","",IFERROR(Enquiry!D65,""))</f>
        <v/>
      </c>
      <c r="C65" s="26"/>
      <c r="D65" s="26"/>
      <c r="E65" s="26"/>
      <c r="F65" s="26"/>
      <c r="G65" s="27" t="str">
        <f>IF(Enquiry!B65="","",IFERROR(Enquiry!K65,""))</f>
        <v/>
      </c>
    </row>
    <row r="66" spans="1:7" ht="19.5" customHeight="1" x14ac:dyDescent="0.35">
      <c r="A66" s="25" t="str">
        <f>IF(Enquiry!B66="","",IFERROR(Enquiry!C66,""))</f>
        <v/>
      </c>
      <c r="B66" s="25" t="str">
        <f>IF(Enquiry!B66="","",IFERROR(Enquiry!D66,""))</f>
        <v/>
      </c>
      <c r="C66" s="26"/>
      <c r="D66" s="26"/>
      <c r="E66" s="26"/>
      <c r="F66" s="26"/>
      <c r="G66" s="27" t="str">
        <f>IF(Enquiry!B66="","",IFERROR(Enquiry!K66,""))</f>
        <v/>
      </c>
    </row>
    <row r="67" spans="1:7" ht="19.5" customHeight="1" x14ac:dyDescent="0.35">
      <c r="A67" s="25" t="str">
        <f>IF(Enquiry!B67="","",IFERROR(Enquiry!C67,""))</f>
        <v/>
      </c>
      <c r="B67" s="25" t="str">
        <f>IF(Enquiry!B67="","",IFERROR(Enquiry!D67,""))</f>
        <v/>
      </c>
      <c r="C67" s="26"/>
      <c r="D67" s="26"/>
      <c r="E67" s="26"/>
      <c r="F67" s="26"/>
      <c r="G67" s="27" t="str">
        <f>IF(Enquiry!B67="","",IFERROR(Enquiry!K67,""))</f>
        <v/>
      </c>
    </row>
    <row r="68" spans="1:7" ht="19.5" customHeight="1" x14ac:dyDescent="0.35">
      <c r="A68" s="25" t="str">
        <f>IF(Enquiry!B68="","",IFERROR(Enquiry!C68,""))</f>
        <v/>
      </c>
      <c r="B68" s="25" t="str">
        <f>IF(Enquiry!B68="","",IFERROR(Enquiry!D68,""))</f>
        <v/>
      </c>
      <c r="C68" s="26"/>
      <c r="D68" s="26"/>
      <c r="E68" s="26"/>
      <c r="F68" s="26"/>
      <c r="G68" s="27" t="str">
        <f>IF(Enquiry!B68="","",IFERROR(Enquiry!K68,""))</f>
        <v/>
      </c>
    </row>
    <row r="69" spans="1:7" ht="19.5" customHeight="1" x14ac:dyDescent="0.35">
      <c r="A69" s="25" t="str">
        <f>IF(Enquiry!B69="","",IFERROR(Enquiry!C69,""))</f>
        <v/>
      </c>
      <c r="B69" s="25" t="str">
        <f>IF(Enquiry!B69="","",IFERROR(Enquiry!D69,""))</f>
        <v/>
      </c>
      <c r="C69" s="26"/>
      <c r="D69" s="26"/>
      <c r="E69" s="26"/>
      <c r="F69" s="26"/>
      <c r="G69" s="27" t="str">
        <f>IF(Enquiry!B69="","",IFERROR(Enquiry!K69,""))</f>
        <v/>
      </c>
    </row>
    <row r="70" spans="1:7" ht="19.5" customHeight="1" x14ac:dyDescent="0.35">
      <c r="A70" s="25" t="str">
        <f>IF(Enquiry!B70="","",IFERROR(Enquiry!C70,""))</f>
        <v/>
      </c>
      <c r="B70" s="25" t="str">
        <f>IF(Enquiry!B70="","",IFERROR(Enquiry!D70,""))</f>
        <v/>
      </c>
      <c r="C70" s="26"/>
      <c r="D70" s="26"/>
      <c r="E70" s="26"/>
      <c r="F70" s="26"/>
      <c r="G70" s="27" t="str">
        <f>IF(Enquiry!B70="","",IFERROR(Enquiry!K70,""))</f>
        <v/>
      </c>
    </row>
    <row r="71" spans="1:7" ht="19.5" customHeight="1" x14ac:dyDescent="0.35">
      <c r="A71" s="25" t="str">
        <f>IF(Enquiry!B71="","",IFERROR(Enquiry!C71,""))</f>
        <v/>
      </c>
      <c r="B71" s="25" t="str">
        <f>IF(Enquiry!B71="","",IFERROR(Enquiry!D71,""))</f>
        <v/>
      </c>
      <c r="C71" s="26"/>
      <c r="D71" s="26"/>
      <c r="E71" s="26"/>
      <c r="F71" s="26"/>
      <c r="G71" s="27" t="str">
        <f>IF(Enquiry!B71="","",IFERROR(Enquiry!K71,""))</f>
        <v/>
      </c>
    </row>
    <row r="72" spans="1:7" ht="19.5" customHeight="1" x14ac:dyDescent="0.35">
      <c r="A72" s="25" t="str">
        <f>IF(Enquiry!B72="","",IFERROR(Enquiry!C72,""))</f>
        <v/>
      </c>
      <c r="B72" s="25" t="str">
        <f>IF(Enquiry!B72="","",IFERROR(Enquiry!D72,""))</f>
        <v/>
      </c>
      <c r="C72" s="26"/>
      <c r="D72" s="26"/>
      <c r="E72" s="26"/>
      <c r="F72" s="26"/>
      <c r="G72" s="27" t="str">
        <f>IF(Enquiry!B72="","",IFERROR(Enquiry!K72,""))</f>
        <v/>
      </c>
    </row>
    <row r="73" spans="1:7" ht="19.5" customHeight="1" x14ac:dyDescent="0.35">
      <c r="A73" s="25" t="str">
        <f>IF(Enquiry!B73="","",IFERROR(Enquiry!C73,""))</f>
        <v/>
      </c>
      <c r="B73" s="25" t="str">
        <f>IF(Enquiry!B73="","",IFERROR(Enquiry!D73,""))</f>
        <v/>
      </c>
      <c r="C73" s="26"/>
      <c r="D73" s="26"/>
      <c r="E73" s="26"/>
      <c r="F73" s="26"/>
      <c r="G73" s="27" t="str">
        <f>IF(Enquiry!B73="","",IFERROR(Enquiry!K73,""))</f>
        <v/>
      </c>
    </row>
    <row r="74" spans="1:7" ht="19.5" customHeight="1" x14ac:dyDescent="0.35">
      <c r="A74" s="25" t="str">
        <f>IF(Enquiry!B74="","",IFERROR(Enquiry!C74,""))</f>
        <v/>
      </c>
      <c r="B74" s="25" t="str">
        <f>IF(Enquiry!B74="","",IFERROR(Enquiry!D74,""))</f>
        <v/>
      </c>
      <c r="C74" s="26"/>
      <c r="D74" s="26"/>
      <c r="E74" s="26"/>
      <c r="F74" s="26"/>
      <c r="G74" s="27" t="str">
        <f>IF(Enquiry!B74="","",IFERROR(Enquiry!K74,""))</f>
        <v/>
      </c>
    </row>
    <row r="75" spans="1:7" ht="19.5" customHeight="1" x14ac:dyDescent="0.35">
      <c r="A75" s="25" t="str">
        <f>IF(Enquiry!B75="","",IFERROR(Enquiry!C75,""))</f>
        <v/>
      </c>
      <c r="B75" s="25" t="str">
        <f>IF(Enquiry!B75="","",IFERROR(Enquiry!D75,""))</f>
        <v/>
      </c>
      <c r="C75" s="26"/>
      <c r="D75" s="26"/>
      <c r="E75" s="26"/>
      <c r="F75" s="26"/>
      <c r="G75" s="27" t="str">
        <f>IF(Enquiry!B75="","",IFERROR(Enquiry!K75,""))</f>
        <v/>
      </c>
    </row>
    <row r="76" spans="1:7" ht="19.5" customHeight="1" x14ac:dyDescent="0.35">
      <c r="A76" s="25" t="str">
        <f>IF(Enquiry!B76="","",IFERROR(Enquiry!C76,""))</f>
        <v/>
      </c>
      <c r="B76" s="25" t="str">
        <f>IF(Enquiry!B76="","",IFERROR(Enquiry!D76,""))</f>
        <v/>
      </c>
      <c r="C76" s="26"/>
      <c r="D76" s="26"/>
      <c r="E76" s="26"/>
      <c r="F76" s="26"/>
      <c r="G76" s="27" t="str">
        <f>IF(Enquiry!B76="","",IFERROR(Enquiry!K76,""))</f>
        <v/>
      </c>
    </row>
    <row r="77" spans="1:7" ht="19.5" customHeight="1" x14ac:dyDescent="0.35">
      <c r="A77" s="25" t="str">
        <f>IF(Enquiry!B77="","",IFERROR(Enquiry!C77,""))</f>
        <v/>
      </c>
      <c r="B77" s="25" t="str">
        <f>IF(Enquiry!B77="","",IFERROR(Enquiry!D77,""))</f>
        <v/>
      </c>
      <c r="C77" s="26"/>
      <c r="D77" s="26"/>
      <c r="E77" s="26"/>
      <c r="F77" s="26"/>
      <c r="G77" s="27" t="str">
        <f>IF(Enquiry!B77="","",IFERROR(Enquiry!K77,""))</f>
        <v/>
      </c>
    </row>
    <row r="78" spans="1:7" ht="19.5" customHeight="1" x14ac:dyDescent="0.35">
      <c r="A78" s="25" t="str">
        <f>IF(Enquiry!B78="","",IFERROR(Enquiry!C78,""))</f>
        <v/>
      </c>
      <c r="B78" s="25" t="str">
        <f>IF(Enquiry!B78="","",IFERROR(Enquiry!D78,""))</f>
        <v/>
      </c>
      <c r="C78" s="26"/>
      <c r="D78" s="26"/>
      <c r="E78" s="26"/>
      <c r="F78" s="26"/>
      <c r="G78" s="27" t="str">
        <f>IF(Enquiry!B78="","",IFERROR(Enquiry!K78,""))</f>
        <v/>
      </c>
    </row>
    <row r="79" spans="1:7" ht="19.5" customHeight="1" x14ac:dyDescent="0.35">
      <c r="A79" s="25" t="str">
        <f>IF(Enquiry!B79="","",IFERROR(Enquiry!C79,""))</f>
        <v/>
      </c>
      <c r="B79" s="25" t="str">
        <f>IF(Enquiry!B79="","",IFERROR(Enquiry!D79,""))</f>
        <v/>
      </c>
      <c r="C79" s="26"/>
      <c r="D79" s="26"/>
      <c r="E79" s="26"/>
      <c r="F79" s="26"/>
      <c r="G79" s="27" t="str">
        <f>IF(Enquiry!B79="","",IFERROR(Enquiry!K79,""))</f>
        <v/>
      </c>
    </row>
    <row r="80" spans="1:7" ht="19.5" customHeight="1" x14ac:dyDescent="0.35">
      <c r="A80" s="25" t="str">
        <f>IF(Enquiry!B80="","",IFERROR(Enquiry!C80,""))</f>
        <v/>
      </c>
      <c r="B80" s="25" t="str">
        <f>IF(Enquiry!B80="","",IFERROR(Enquiry!D80,""))</f>
        <v/>
      </c>
      <c r="C80" s="26"/>
      <c r="D80" s="26"/>
      <c r="E80" s="26"/>
      <c r="F80" s="26"/>
      <c r="G80" s="27" t="str">
        <f>IF(Enquiry!B80="","",IFERROR(Enquiry!K80,""))</f>
        <v/>
      </c>
    </row>
    <row r="81" spans="1:7" ht="19.5" customHeight="1" x14ac:dyDescent="0.35">
      <c r="A81" s="25" t="str">
        <f>IF(Enquiry!B81="","",IFERROR(Enquiry!C81,""))</f>
        <v/>
      </c>
      <c r="B81" s="25" t="str">
        <f>IF(Enquiry!B81="","",IFERROR(Enquiry!D81,""))</f>
        <v/>
      </c>
      <c r="C81" s="26"/>
      <c r="D81" s="26"/>
      <c r="E81" s="26"/>
      <c r="F81" s="26"/>
      <c r="G81" s="27" t="str">
        <f>IF(Enquiry!B81="","",IFERROR(Enquiry!K81,""))</f>
        <v/>
      </c>
    </row>
    <row r="82" spans="1:7" ht="19.5" customHeight="1" x14ac:dyDescent="0.35">
      <c r="A82" s="25" t="str">
        <f>IF(Enquiry!B82="","",IFERROR(Enquiry!C82,""))</f>
        <v/>
      </c>
      <c r="B82" s="25" t="str">
        <f>IF(Enquiry!B82="","",IFERROR(Enquiry!D82,""))</f>
        <v/>
      </c>
      <c r="C82" s="26"/>
      <c r="D82" s="26"/>
      <c r="E82" s="26"/>
      <c r="F82" s="26"/>
      <c r="G82" s="27" t="str">
        <f>IF(Enquiry!B82="","",IFERROR(Enquiry!K82,""))</f>
        <v/>
      </c>
    </row>
    <row r="83" spans="1:7" ht="19.5" customHeight="1" x14ac:dyDescent="0.35">
      <c r="A83" s="25" t="str">
        <f>IF(Enquiry!B83="","",IFERROR(Enquiry!C83,""))</f>
        <v/>
      </c>
      <c r="B83" s="25" t="str">
        <f>IF(Enquiry!B83="","",IFERROR(Enquiry!D83,""))</f>
        <v/>
      </c>
      <c r="C83" s="26"/>
      <c r="D83" s="26"/>
      <c r="E83" s="26"/>
      <c r="F83" s="26"/>
      <c r="G83" s="27" t="str">
        <f>IF(Enquiry!B83="","",IFERROR(Enquiry!K83,""))</f>
        <v/>
      </c>
    </row>
    <row r="84" spans="1:7" ht="19.5" customHeight="1" x14ac:dyDescent="0.35">
      <c r="A84" s="25" t="str">
        <f>IF(Enquiry!B84="","",IFERROR(Enquiry!C84,""))</f>
        <v/>
      </c>
      <c r="B84" s="25" t="str">
        <f>IF(Enquiry!B84="","",IFERROR(Enquiry!D84,""))</f>
        <v/>
      </c>
      <c r="C84" s="26"/>
      <c r="D84" s="26"/>
      <c r="E84" s="26"/>
      <c r="F84" s="26"/>
      <c r="G84" s="27" t="str">
        <f>IF(Enquiry!B84="","",IFERROR(Enquiry!K84,""))</f>
        <v/>
      </c>
    </row>
    <row r="85" spans="1:7" ht="19.5" customHeight="1" x14ac:dyDescent="0.35">
      <c r="A85" s="25" t="str">
        <f>IF(Enquiry!B85="","",IFERROR(Enquiry!C85,""))</f>
        <v/>
      </c>
      <c r="B85" s="25" t="str">
        <f>IF(Enquiry!B85="","",IFERROR(Enquiry!D85,""))</f>
        <v/>
      </c>
      <c r="C85" s="26"/>
      <c r="D85" s="26"/>
      <c r="E85" s="26"/>
      <c r="F85" s="26"/>
      <c r="G85" s="27" t="str">
        <f>IF(Enquiry!B85="","",IFERROR(Enquiry!K85,""))</f>
        <v/>
      </c>
    </row>
    <row r="86" spans="1:7" ht="19.5" customHeight="1" x14ac:dyDescent="0.35">
      <c r="A86" s="25" t="str">
        <f>IF(Enquiry!B86="","",IFERROR(Enquiry!C86,""))</f>
        <v/>
      </c>
      <c r="B86" s="25" t="str">
        <f>IF(Enquiry!B86="","",IFERROR(Enquiry!D86,""))</f>
        <v/>
      </c>
      <c r="C86" s="26"/>
      <c r="D86" s="26"/>
      <c r="E86" s="26"/>
      <c r="F86" s="26"/>
      <c r="G86" s="27" t="str">
        <f>IF(Enquiry!B86="","",IFERROR(Enquiry!K86,""))</f>
        <v/>
      </c>
    </row>
    <row r="87" spans="1:7" ht="19.5" customHeight="1" x14ac:dyDescent="0.35">
      <c r="A87" s="25" t="str">
        <f>IF(Enquiry!B87="","",IFERROR(Enquiry!C87,""))</f>
        <v/>
      </c>
      <c r="B87" s="25" t="str">
        <f>IF(Enquiry!B87="","",IFERROR(Enquiry!D87,""))</f>
        <v/>
      </c>
      <c r="C87" s="26"/>
      <c r="D87" s="26"/>
      <c r="E87" s="26"/>
      <c r="F87" s="26"/>
      <c r="G87" s="27" t="str">
        <f>IF(Enquiry!B87="","",IFERROR(Enquiry!K87,""))</f>
        <v/>
      </c>
    </row>
    <row r="88" spans="1:7" ht="19.5" customHeight="1" x14ac:dyDescent="0.35">
      <c r="A88" s="25" t="str">
        <f>IF(Enquiry!B88="","",IFERROR(Enquiry!C88,""))</f>
        <v/>
      </c>
      <c r="B88" s="25" t="str">
        <f>IF(Enquiry!B88="","",IFERROR(Enquiry!D88,""))</f>
        <v/>
      </c>
      <c r="C88" s="26"/>
      <c r="D88" s="26"/>
      <c r="E88" s="26"/>
      <c r="F88" s="26"/>
      <c r="G88" s="27" t="str">
        <f>IF(Enquiry!B88="","",IFERROR(Enquiry!K88,""))</f>
        <v/>
      </c>
    </row>
    <row r="89" spans="1:7" ht="19.5" customHeight="1" x14ac:dyDescent="0.35">
      <c r="A89" s="25" t="str">
        <f>IF(Enquiry!B89="","",IFERROR(Enquiry!C89,""))</f>
        <v/>
      </c>
      <c r="B89" s="25" t="str">
        <f>IF(Enquiry!B89="","",IFERROR(Enquiry!D89,""))</f>
        <v/>
      </c>
      <c r="C89" s="26"/>
      <c r="D89" s="26"/>
      <c r="E89" s="26"/>
      <c r="F89" s="26"/>
      <c r="G89" s="27" t="str">
        <f>IF(Enquiry!B89="","",IFERROR(Enquiry!K89,""))</f>
        <v/>
      </c>
    </row>
    <row r="90" spans="1:7" ht="19.5" customHeight="1" x14ac:dyDescent="0.35">
      <c r="A90" s="25" t="str">
        <f>IF(Enquiry!B90="","",IFERROR(Enquiry!C90,""))</f>
        <v/>
      </c>
      <c r="B90" s="25" t="str">
        <f>IF(Enquiry!B90="","",IFERROR(Enquiry!D90,""))</f>
        <v/>
      </c>
      <c r="C90" s="26"/>
      <c r="D90" s="26"/>
      <c r="E90" s="26"/>
      <c r="F90" s="26"/>
      <c r="G90" s="27" t="str">
        <f>IF(Enquiry!B90="","",IFERROR(Enquiry!K90,""))</f>
        <v/>
      </c>
    </row>
    <row r="91" spans="1:7" ht="19.5" customHeight="1" x14ac:dyDescent="0.35">
      <c r="A91" s="25" t="str">
        <f>IF(Enquiry!B91="","",IFERROR(Enquiry!C91,""))</f>
        <v/>
      </c>
      <c r="B91" s="25" t="str">
        <f>IF(Enquiry!B91="","",IFERROR(Enquiry!D91,""))</f>
        <v/>
      </c>
      <c r="C91" s="26"/>
      <c r="D91" s="26"/>
      <c r="E91" s="26"/>
      <c r="F91" s="26"/>
      <c r="G91" s="27" t="str">
        <f>IF(Enquiry!B91="","",IFERROR(Enquiry!K91,""))</f>
        <v/>
      </c>
    </row>
    <row r="92" spans="1:7" ht="19.5" customHeight="1" x14ac:dyDescent="0.35">
      <c r="A92" s="25" t="str">
        <f>IF(Enquiry!B92="","",IFERROR(Enquiry!C92,""))</f>
        <v/>
      </c>
      <c r="B92" s="25" t="str">
        <f>IF(Enquiry!B92="","",IFERROR(Enquiry!D92,""))</f>
        <v/>
      </c>
      <c r="C92" s="26"/>
      <c r="D92" s="26"/>
      <c r="E92" s="26"/>
      <c r="F92" s="26"/>
      <c r="G92" s="27" t="str">
        <f>IF(Enquiry!B92="","",IFERROR(Enquiry!K92,""))</f>
        <v/>
      </c>
    </row>
    <row r="93" spans="1:7" ht="19.5" customHeight="1" x14ac:dyDescent="0.35">
      <c r="A93" s="25" t="str">
        <f>IF(Enquiry!B93="","",IFERROR(Enquiry!C93,""))</f>
        <v/>
      </c>
      <c r="B93" s="25" t="str">
        <f>IF(Enquiry!B93="","",IFERROR(Enquiry!D93,""))</f>
        <v/>
      </c>
      <c r="C93" s="26"/>
      <c r="D93" s="26"/>
      <c r="E93" s="26"/>
      <c r="F93" s="26"/>
      <c r="G93" s="27" t="str">
        <f>IF(Enquiry!B93="","",IFERROR(Enquiry!K93,""))</f>
        <v/>
      </c>
    </row>
    <row r="94" spans="1:7" ht="19.5" customHeight="1" x14ac:dyDescent="0.35">
      <c r="A94" s="25" t="str">
        <f>IF(Enquiry!B94="","",IFERROR(Enquiry!C94,""))</f>
        <v/>
      </c>
      <c r="B94" s="25" t="str">
        <f>IF(Enquiry!B94="","",IFERROR(Enquiry!D94,""))</f>
        <v/>
      </c>
      <c r="C94" s="26"/>
      <c r="D94" s="26"/>
      <c r="E94" s="26"/>
      <c r="F94" s="26"/>
      <c r="G94" s="27" t="str">
        <f>IF(Enquiry!B94="","",IFERROR(Enquiry!K94,""))</f>
        <v/>
      </c>
    </row>
    <row r="95" spans="1:7" ht="19.5" customHeight="1" x14ac:dyDescent="0.35">
      <c r="A95" s="25" t="str">
        <f>IF(Enquiry!B95="","",IFERROR(Enquiry!C95,""))</f>
        <v/>
      </c>
      <c r="B95" s="25" t="str">
        <f>IF(Enquiry!B95="","",IFERROR(Enquiry!D95,""))</f>
        <v/>
      </c>
      <c r="C95" s="26"/>
      <c r="D95" s="26"/>
      <c r="E95" s="26"/>
      <c r="F95" s="26"/>
      <c r="G95" s="27" t="str">
        <f>IF(Enquiry!B95="","",IFERROR(Enquiry!K95,""))</f>
        <v/>
      </c>
    </row>
    <row r="96" spans="1:7" ht="19.5" customHeight="1" x14ac:dyDescent="0.35">
      <c r="A96" s="25" t="str">
        <f>IF(Enquiry!B96="","",IFERROR(Enquiry!C96,""))</f>
        <v/>
      </c>
      <c r="B96" s="25" t="str">
        <f>IF(Enquiry!B96="","",IFERROR(Enquiry!D96,""))</f>
        <v/>
      </c>
      <c r="C96" s="26"/>
      <c r="D96" s="26"/>
      <c r="E96" s="26"/>
      <c r="F96" s="26"/>
      <c r="G96" s="27" t="str">
        <f>IF(Enquiry!B96="","",IFERROR(Enquiry!K96,""))</f>
        <v/>
      </c>
    </row>
    <row r="97" spans="1:7" ht="19.5" customHeight="1" x14ac:dyDescent="0.35">
      <c r="A97" s="25" t="str">
        <f>IF(Enquiry!B97="","",IFERROR(Enquiry!C97,""))</f>
        <v/>
      </c>
      <c r="B97" s="25" t="str">
        <f>IF(Enquiry!B97="","",IFERROR(Enquiry!D97,""))</f>
        <v/>
      </c>
      <c r="C97" s="26"/>
      <c r="D97" s="26"/>
      <c r="E97" s="26"/>
      <c r="F97" s="26"/>
      <c r="G97" s="27" t="str">
        <f>IF(Enquiry!B97="","",IFERROR(Enquiry!K97,""))</f>
        <v/>
      </c>
    </row>
    <row r="98" spans="1:7" ht="19.5" customHeight="1" x14ac:dyDescent="0.35">
      <c r="A98" s="25" t="str">
        <f>IF(Enquiry!B98="","",IFERROR(Enquiry!C98,""))</f>
        <v/>
      </c>
      <c r="B98" s="25" t="str">
        <f>IF(Enquiry!B98="","",IFERROR(Enquiry!D98,""))</f>
        <v/>
      </c>
      <c r="C98" s="26"/>
      <c r="D98" s="26"/>
      <c r="E98" s="26"/>
      <c r="F98" s="26"/>
      <c r="G98" s="27" t="str">
        <f>IF(Enquiry!B98="","",IFERROR(Enquiry!K98,""))</f>
        <v/>
      </c>
    </row>
    <row r="99" spans="1:7" ht="19.5" customHeight="1" x14ac:dyDescent="0.35">
      <c r="A99" s="25" t="str">
        <f>IF(Enquiry!B99="","",IFERROR(Enquiry!C99,""))</f>
        <v/>
      </c>
      <c r="B99" s="25" t="str">
        <f>IF(Enquiry!B99="","",IFERROR(Enquiry!D99,""))</f>
        <v/>
      </c>
      <c r="C99" s="26"/>
      <c r="D99" s="26"/>
      <c r="E99" s="26"/>
      <c r="F99" s="26"/>
      <c r="G99" s="27" t="str">
        <f>IF(Enquiry!B99="","",IFERROR(Enquiry!K99,""))</f>
        <v/>
      </c>
    </row>
    <row r="100" spans="1:7" ht="19.5" customHeight="1" x14ac:dyDescent="0.35">
      <c r="A100" s="25" t="str">
        <f>IF(Enquiry!B100="","",IFERROR(Enquiry!C100,""))</f>
        <v/>
      </c>
      <c r="B100" s="25" t="str">
        <f>IF(Enquiry!B100="","",IFERROR(Enquiry!D100,""))</f>
        <v/>
      </c>
      <c r="C100" s="26"/>
      <c r="D100" s="26"/>
      <c r="E100" s="26"/>
      <c r="F100" s="26"/>
      <c r="G100" s="27" t="str">
        <f>IF(Enquiry!B100="","",IFERROR(Enquiry!K100,""))</f>
        <v/>
      </c>
    </row>
    <row r="101" spans="1:7" ht="19.5" customHeight="1" x14ac:dyDescent="0.35">
      <c r="A101" s="25" t="str">
        <f>IF(Enquiry!B101="","",IFERROR(Enquiry!C101,""))</f>
        <v/>
      </c>
      <c r="B101" s="25" t="str">
        <f>IF(Enquiry!B101="","",IFERROR(Enquiry!D101,""))</f>
        <v/>
      </c>
      <c r="C101" s="26"/>
      <c r="D101" s="26"/>
      <c r="E101" s="26"/>
      <c r="F101" s="26"/>
      <c r="G101" s="27" t="str">
        <f>IF(Enquiry!B101="","",IFERROR(Enquiry!K101,""))</f>
        <v/>
      </c>
    </row>
    <row r="102" spans="1:7" ht="19.5" customHeight="1" x14ac:dyDescent="0.35">
      <c r="A102" s="25" t="str">
        <f>IF(Enquiry!B102="","",IFERROR(Enquiry!C102,""))</f>
        <v/>
      </c>
      <c r="B102" s="25" t="str">
        <f>IF(Enquiry!B102="","",IFERROR(Enquiry!D102,""))</f>
        <v/>
      </c>
      <c r="C102" s="26"/>
      <c r="D102" s="26"/>
      <c r="E102" s="26"/>
      <c r="F102" s="26"/>
      <c r="G102" s="27" t="str">
        <f>IF(Enquiry!B102="","",IFERROR(Enquiry!K102,""))</f>
        <v/>
      </c>
    </row>
    <row r="103" spans="1:7" ht="19.5" customHeight="1" x14ac:dyDescent="0.35">
      <c r="A103" s="25" t="str">
        <f>IF(Enquiry!B103="","",IFERROR(Enquiry!C103,""))</f>
        <v/>
      </c>
      <c r="B103" s="25" t="str">
        <f>IF(Enquiry!B103="","",IFERROR(Enquiry!D103,""))</f>
        <v/>
      </c>
      <c r="C103" s="26"/>
      <c r="D103" s="26"/>
      <c r="E103" s="26"/>
      <c r="F103" s="26"/>
      <c r="G103" s="27" t="str">
        <f>IF(Enquiry!B103="","",IFERROR(Enquiry!K103,""))</f>
        <v/>
      </c>
    </row>
    <row r="104" spans="1:7" ht="19.5" customHeight="1" x14ac:dyDescent="0.35">
      <c r="A104" s="25" t="str">
        <f>IF(Enquiry!B104="","",IFERROR(Enquiry!C104,""))</f>
        <v/>
      </c>
      <c r="B104" s="25" t="str">
        <f>IF(Enquiry!B104="","",IFERROR(Enquiry!D104,""))</f>
        <v/>
      </c>
      <c r="C104" s="26"/>
      <c r="D104" s="26"/>
      <c r="E104" s="26"/>
      <c r="F104" s="26"/>
      <c r="G104" s="27" t="str">
        <f>IF(Enquiry!B104="","",IFERROR(Enquiry!K104,""))</f>
        <v/>
      </c>
    </row>
    <row r="105" spans="1:7" ht="19.5" customHeight="1" x14ac:dyDescent="0.35">
      <c r="A105" s="25" t="str">
        <f>IF(Enquiry!B105="","",IFERROR(Enquiry!C105,""))</f>
        <v/>
      </c>
      <c r="B105" s="25" t="str">
        <f>IF(Enquiry!B105="","",IFERROR(Enquiry!D105,""))</f>
        <v/>
      </c>
      <c r="C105" s="26"/>
      <c r="D105" s="26"/>
      <c r="E105" s="26"/>
      <c r="F105" s="26"/>
      <c r="G105" s="27" t="str">
        <f>IF(Enquiry!B105="","",IFERROR(Enquiry!K105,""))</f>
        <v/>
      </c>
    </row>
    <row r="106" spans="1:7" ht="19.5" customHeight="1" x14ac:dyDescent="0.35">
      <c r="A106" s="25" t="str">
        <f>IF(Enquiry!B106="","",IFERROR(Enquiry!C106,""))</f>
        <v/>
      </c>
      <c r="B106" s="25" t="str">
        <f>IF(Enquiry!B106="","",IFERROR(Enquiry!D106,""))</f>
        <v/>
      </c>
      <c r="C106" s="26"/>
      <c r="D106" s="26"/>
      <c r="E106" s="26"/>
      <c r="F106" s="26"/>
      <c r="G106" s="27" t="str">
        <f>IF(Enquiry!B106="","",IFERROR(Enquiry!K106,""))</f>
        <v/>
      </c>
    </row>
    <row r="107" spans="1:7" ht="19.5" customHeight="1" x14ac:dyDescent="0.35">
      <c r="A107" s="25" t="str">
        <f>IF(Enquiry!B107="","",IFERROR(Enquiry!C107,""))</f>
        <v/>
      </c>
      <c r="B107" s="25" t="str">
        <f>IF(Enquiry!B107="","",IFERROR(Enquiry!D107,""))</f>
        <v/>
      </c>
      <c r="C107" s="26"/>
      <c r="D107" s="26"/>
      <c r="E107" s="26"/>
      <c r="F107" s="26"/>
      <c r="G107" s="27" t="str">
        <f>IF(Enquiry!B107="","",IFERROR(Enquiry!K107,""))</f>
        <v/>
      </c>
    </row>
    <row r="108" spans="1:7" ht="19.5" customHeight="1" x14ac:dyDescent="0.35">
      <c r="A108" s="25" t="str">
        <f>IF(Enquiry!B108="","",IFERROR(Enquiry!C108,""))</f>
        <v/>
      </c>
      <c r="B108" s="25" t="str">
        <f>IF(Enquiry!B108="","",IFERROR(Enquiry!D108,""))</f>
        <v/>
      </c>
      <c r="C108" s="26"/>
      <c r="D108" s="26"/>
      <c r="E108" s="26"/>
      <c r="F108" s="26"/>
      <c r="G108" s="27" t="str">
        <f>IF(Enquiry!B108="","",IFERROR(Enquiry!K108,""))</f>
        <v/>
      </c>
    </row>
    <row r="109" spans="1:7" ht="19.5" customHeight="1" x14ac:dyDescent="0.35">
      <c r="A109" s="25" t="str">
        <f>IF(Enquiry!B109="","",IFERROR(Enquiry!C109,""))</f>
        <v/>
      </c>
      <c r="B109" s="25" t="str">
        <f>IF(Enquiry!B109="","",IFERROR(Enquiry!D109,""))</f>
        <v/>
      </c>
      <c r="C109" s="26"/>
      <c r="D109" s="26"/>
      <c r="E109" s="26"/>
      <c r="F109" s="26"/>
      <c r="G109" s="27" t="str">
        <f>IF(Enquiry!B109="","",IFERROR(Enquiry!K109,""))</f>
        <v/>
      </c>
    </row>
    <row r="110" spans="1:7" ht="19.5" customHeight="1" x14ac:dyDescent="0.35">
      <c r="A110" s="25" t="str">
        <f>IF(Enquiry!B110="","",IFERROR(Enquiry!C110,""))</f>
        <v/>
      </c>
      <c r="B110" s="25" t="str">
        <f>IF(Enquiry!B110="","",IFERROR(Enquiry!D110,""))</f>
        <v/>
      </c>
      <c r="C110" s="26"/>
      <c r="D110" s="26"/>
      <c r="E110" s="26"/>
      <c r="F110" s="26"/>
      <c r="G110" s="27" t="str">
        <f>IF(Enquiry!B110="","",IFERROR(Enquiry!K110,""))</f>
        <v/>
      </c>
    </row>
    <row r="111" spans="1:7" ht="19.5" customHeight="1" x14ac:dyDescent="0.35">
      <c r="A111" s="25" t="str">
        <f>IF(Enquiry!B111="","",IFERROR(Enquiry!C111,""))</f>
        <v/>
      </c>
      <c r="B111" s="25" t="str">
        <f>IF(Enquiry!B111="","",IFERROR(Enquiry!D111,""))</f>
        <v/>
      </c>
      <c r="C111" s="26"/>
      <c r="D111" s="26"/>
      <c r="E111" s="26"/>
      <c r="F111" s="26"/>
      <c r="G111" s="27" t="str">
        <f>IF(Enquiry!B111="","",IFERROR(Enquiry!K111,""))</f>
        <v/>
      </c>
    </row>
    <row r="112" spans="1:7" ht="19.5" customHeight="1" x14ac:dyDescent="0.35">
      <c r="A112" s="25" t="str">
        <f>IF(Enquiry!B112="","",IFERROR(Enquiry!C112,""))</f>
        <v/>
      </c>
      <c r="B112" s="25" t="str">
        <f>IF(Enquiry!B112="","",IFERROR(Enquiry!D112,""))</f>
        <v/>
      </c>
      <c r="C112" s="26"/>
      <c r="D112" s="26"/>
      <c r="E112" s="26"/>
      <c r="F112" s="26"/>
      <c r="G112" s="27" t="str">
        <f>IF(Enquiry!B112="","",IFERROR(Enquiry!K112,""))</f>
        <v/>
      </c>
    </row>
    <row r="113" spans="1:7" ht="19.5" customHeight="1" x14ac:dyDescent="0.35">
      <c r="A113" s="25" t="str">
        <f>IF(Enquiry!B113="","",IFERROR(Enquiry!C113,""))</f>
        <v/>
      </c>
      <c r="B113" s="25" t="str">
        <f>IF(Enquiry!B113="","",IFERROR(Enquiry!D113,""))</f>
        <v/>
      </c>
      <c r="C113" s="26"/>
      <c r="D113" s="26"/>
      <c r="E113" s="26"/>
      <c r="F113" s="26"/>
      <c r="G113" s="27" t="str">
        <f>IF(Enquiry!B113="","",IFERROR(Enquiry!K113,""))</f>
        <v/>
      </c>
    </row>
    <row r="114" spans="1:7" ht="19.5" customHeight="1" x14ac:dyDescent="0.35">
      <c r="A114" s="25" t="str">
        <f>IF(Enquiry!B114="","",IFERROR(Enquiry!C114,""))</f>
        <v/>
      </c>
      <c r="B114" s="25" t="str">
        <f>IF(Enquiry!B114="","",IFERROR(Enquiry!D114,""))</f>
        <v/>
      </c>
      <c r="C114" s="26"/>
      <c r="D114" s="26"/>
      <c r="E114" s="26"/>
      <c r="F114" s="26"/>
      <c r="G114" s="27" t="str">
        <f>IF(Enquiry!B114="","",IFERROR(Enquiry!K114,""))</f>
        <v/>
      </c>
    </row>
    <row r="115" spans="1:7" ht="19.5" customHeight="1" x14ac:dyDescent="0.35">
      <c r="A115" s="25" t="str">
        <f>IF(Enquiry!B115="","",IFERROR(Enquiry!C115,""))</f>
        <v/>
      </c>
      <c r="B115" s="25" t="str">
        <f>IF(Enquiry!B115="","",IFERROR(Enquiry!D115,""))</f>
        <v/>
      </c>
      <c r="C115" s="26"/>
      <c r="D115" s="26"/>
      <c r="E115" s="26"/>
      <c r="F115" s="26"/>
      <c r="G115" s="27" t="str">
        <f>IF(Enquiry!B115="","",IFERROR(Enquiry!K115,""))</f>
        <v/>
      </c>
    </row>
    <row r="116" spans="1:7" ht="19.5" customHeight="1" x14ac:dyDescent="0.35">
      <c r="A116" s="25" t="str">
        <f>IF(Enquiry!B116="","",IFERROR(Enquiry!C116,""))</f>
        <v/>
      </c>
      <c r="B116" s="25" t="str">
        <f>IF(Enquiry!B116="","",IFERROR(Enquiry!D116,""))</f>
        <v/>
      </c>
      <c r="C116" s="26"/>
      <c r="D116" s="26"/>
      <c r="E116" s="26"/>
      <c r="F116" s="26"/>
      <c r="G116" s="27" t="str">
        <f>IF(Enquiry!B116="","",IFERROR(Enquiry!K116,""))</f>
        <v/>
      </c>
    </row>
    <row r="117" spans="1:7" ht="19.5" customHeight="1" x14ac:dyDescent="0.35">
      <c r="A117" s="25" t="str">
        <f>IF(Enquiry!B117="","",IFERROR(Enquiry!C117,""))</f>
        <v/>
      </c>
      <c r="B117" s="25" t="str">
        <f>IF(Enquiry!B117="","",IFERROR(Enquiry!D117,""))</f>
        <v/>
      </c>
      <c r="C117" s="26"/>
      <c r="D117" s="26"/>
      <c r="E117" s="26"/>
      <c r="F117" s="26"/>
      <c r="G117" s="27" t="str">
        <f>IF(Enquiry!B117="","",IFERROR(Enquiry!K117,""))</f>
        <v/>
      </c>
    </row>
    <row r="118" spans="1:7" ht="19.5" customHeight="1" x14ac:dyDescent="0.35">
      <c r="A118" s="25" t="str">
        <f>IF(Enquiry!B118="","",IFERROR(Enquiry!C118,""))</f>
        <v/>
      </c>
      <c r="B118" s="25" t="str">
        <f>IF(Enquiry!B118="","",IFERROR(Enquiry!D118,""))</f>
        <v/>
      </c>
      <c r="C118" s="26"/>
      <c r="D118" s="26"/>
      <c r="E118" s="26"/>
      <c r="F118" s="26"/>
      <c r="G118" s="27" t="str">
        <f>IF(Enquiry!B118="","",IFERROR(Enquiry!K118,""))</f>
        <v/>
      </c>
    </row>
    <row r="119" spans="1:7" ht="19.5" customHeight="1" x14ac:dyDescent="0.35">
      <c r="A119" s="25" t="str">
        <f>IF(Enquiry!B119="","",IFERROR(Enquiry!C119,""))</f>
        <v/>
      </c>
      <c r="B119" s="25" t="str">
        <f>IF(Enquiry!B119="","",IFERROR(Enquiry!D119,""))</f>
        <v/>
      </c>
      <c r="C119" s="26"/>
      <c r="D119" s="26"/>
      <c r="E119" s="26"/>
      <c r="F119" s="26"/>
      <c r="G119" s="27" t="str">
        <f>IF(Enquiry!B119="","",IFERROR(Enquiry!K119,""))</f>
        <v/>
      </c>
    </row>
    <row r="120" spans="1:7" ht="19.5" customHeight="1" x14ac:dyDescent="0.35">
      <c r="A120" s="25" t="str">
        <f>IF(Enquiry!B120="","",IFERROR(Enquiry!C120,""))</f>
        <v/>
      </c>
      <c r="B120" s="25" t="str">
        <f>IF(Enquiry!B120="","",IFERROR(Enquiry!D120,""))</f>
        <v/>
      </c>
      <c r="C120" s="26"/>
      <c r="D120" s="26"/>
      <c r="E120" s="26"/>
      <c r="F120" s="26"/>
      <c r="G120" s="27" t="str">
        <f>IF(Enquiry!B120="","",IFERROR(Enquiry!K120,""))</f>
        <v/>
      </c>
    </row>
    <row r="121" spans="1:7" ht="19.5" customHeight="1" x14ac:dyDescent="0.35">
      <c r="A121" s="25" t="str">
        <f>IF(Enquiry!B121="","",IFERROR(Enquiry!C121,""))</f>
        <v/>
      </c>
      <c r="B121" s="25" t="str">
        <f>IF(Enquiry!B121="","",IFERROR(Enquiry!D121,""))</f>
        <v/>
      </c>
      <c r="C121" s="26"/>
      <c r="D121" s="26"/>
      <c r="E121" s="26"/>
      <c r="F121" s="26"/>
      <c r="G121" s="27" t="str">
        <f>IF(Enquiry!B121="","",IFERROR(Enquiry!K121,""))</f>
        <v/>
      </c>
    </row>
    <row r="122" spans="1:7" ht="19.5" customHeight="1" x14ac:dyDescent="0.35">
      <c r="A122" s="25" t="str">
        <f>IF(Enquiry!B122="","",IFERROR(Enquiry!C122,""))</f>
        <v/>
      </c>
      <c r="B122" s="25" t="str">
        <f>IF(Enquiry!B122="","",IFERROR(Enquiry!D122,""))</f>
        <v/>
      </c>
      <c r="C122" s="26"/>
      <c r="D122" s="26"/>
      <c r="E122" s="26"/>
      <c r="F122" s="26"/>
      <c r="G122" s="27" t="str">
        <f>IF(Enquiry!B122="","",IFERROR(Enquiry!K122,""))</f>
        <v/>
      </c>
    </row>
    <row r="123" spans="1:7" ht="19.5" customHeight="1" x14ac:dyDescent="0.35">
      <c r="A123" s="25" t="str">
        <f>IF(Enquiry!B123="","",IFERROR(Enquiry!C123,""))</f>
        <v/>
      </c>
      <c r="B123" s="25" t="str">
        <f>IF(Enquiry!B123="","",IFERROR(Enquiry!D123,""))</f>
        <v/>
      </c>
      <c r="C123" s="26"/>
      <c r="D123" s="26"/>
      <c r="E123" s="26"/>
      <c r="F123" s="26"/>
      <c r="G123" s="27" t="str">
        <f>IF(Enquiry!B123="","",IFERROR(Enquiry!K123,""))</f>
        <v/>
      </c>
    </row>
    <row r="124" spans="1:7" ht="19.5" customHeight="1" x14ac:dyDescent="0.35">
      <c r="A124" s="25" t="str">
        <f>IF(Enquiry!B124="","",IFERROR(Enquiry!C124,""))</f>
        <v/>
      </c>
      <c r="B124" s="25" t="str">
        <f>IF(Enquiry!B124="","",IFERROR(Enquiry!D124,""))</f>
        <v/>
      </c>
      <c r="C124" s="26"/>
      <c r="D124" s="26"/>
      <c r="E124" s="26"/>
      <c r="F124" s="26"/>
      <c r="G124" s="27" t="str">
        <f>IF(Enquiry!B124="","",IFERROR(Enquiry!K124,""))</f>
        <v/>
      </c>
    </row>
    <row r="125" spans="1:7" ht="19.5" customHeight="1" x14ac:dyDescent="0.35">
      <c r="A125" s="25" t="str">
        <f>IF(Enquiry!B125="","",IFERROR(Enquiry!C125,""))</f>
        <v/>
      </c>
      <c r="B125" s="25" t="str">
        <f>IF(Enquiry!B125="","",IFERROR(Enquiry!D125,""))</f>
        <v/>
      </c>
      <c r="C125" s="26"/>
      <c r="D125" s="26"/>
      <c r="E125" s="26"/>
      <c r="F125" s="26"/>
      <c r="G125" s="27" t="str">
        <f>IF(Enquiry!B125="","",IFERROR(Enquiry!K125,""))</f>
        <v/>
      </c>
    </row>
    <row r="126" spans="1:7" ht="19.5" customHeight="1" x14ac:dyDescent="0.35">
      <c r="A126" s="25" t="str">
        <f>IF(Enquiry!B126="","",IFERROR(Enquiry!C126,""))</f>
        <v/>
      </c>
      <c r="B126" s="25" t="str">
        <f>IF(Enquiry!B126="","",IFERROR(Enquiry!D126,""))</f>
        <v/>
      </c>
      <c r="C126" s="26"/>
      <c r="D126" s="26"/>
      <c r="E126" s="26"/>
      <c r="F126" s="26"/>
      <c r="G126" s="27" t="str">
        <f>IF(Enquiry!B126="","",IFERROR(Enquiry!K126,""))</f>
        <v/>
      </c>
    </row>
    <row r="127" spans="1:7" ht="19.5" customHeight="1" x14ac:dyDescent="0.35">
      <c r="A127" s="25" t="str">
        <f>IF(Enquiry!B127="","",IFERROR(Enquiry!C127,""))</f>
        <v/>
      </c>
      <c r="B127" s="25" t="str">
        <f>IF(Enquiry!B127="","",IFERROR(Enquiry!D127,""))</f>
        <v/>
      </c>
      <c r="C127" s="26"/>
      <c r="D127" s="26"/>
      <c r="E127" s="26"/>
      <c r="F127" s="26"/>
      <c r="G127" s="27" t="str">
        <f>IF(Enquiry!B127="","",IFERROR(Enquiry!K127,""))</f>
        <v/>
      </c>
    </row>
    <row r="128" spans="1:7" ht="19.5" customHeight="1" x14ac:dyDescent="0.35">
      <c r="A128" s="25" t="str">
        <f>IF(Enquiry!B128="","",IFERROR(Enquiry!C128,""))</f>
        <v/>
      </c>
      <c r="B128" s="25" t="str">
        <f>IF(Enquiry!B128="","",IFERROR(Enquiry!D128,""))</f>
        <v/>
      </c>
      <c r="C128" s="26"/>
      <c r="D128" s="26"/>
      <c r="E128" s="26"/>
      <c r="F128" s="26"/>
      <c r="G128" s="27" t="str">
        <f>IF(Enquiry!B128="","",IFERROR(Enquiry!K128,""))</f>
        <v/>
      </c>
    </row>
    <row r="129" spans="1:7" ht="19.5" customHeight="1" x14ac:dyDescent="0.35">
      <c r="A129" s="25" t="str">
        <f>IF(Enquiry!B129="","",IFERROR(Enquiry!C129,""))</f>
        <v/>
      </c>
      <c r="B129" s="25" t="str">
        <f>IF(Enquiry!B129="","",IFERROR(Enquiry!D129,""))</f>
        <v/>
      </c>
      <c r="C129" s="26"/>
      <c r="D129" s="26"/>
      <c r="E129" s="26"/>
      <c r="F129" s="26"/>
      <c r="G129" s="27" t="str">
        <f>IF(Enquiry!B129="","",IFERROR(Enquiry!K129,""))</f>
        <v/>
      </c>
    </row>
    <row r="130" spans="1:7" ht="19.5" customHeight="1" x14ac:dyDescent="0.35">
      <c r="A130" s="25" t="str">
        <f>IF(Enquiry!B130="","",IFERROR(Enquiry!C130,""))</f>
        <v/>
      </c>
      <c r="B130" s="25" t="str">
        <f>IF(Enquiry!B130="","",IFERROR(Enquiry!D130,""))</f>
        <v/>
      </c>
      <c r="C130" s="26"/>
      <c r="D130" s="26"/>
      <c r="E130" s="26"/>
      <c r="F130" s="26"/>
      <c r="G130" s="27" t="str">
        <f>IF(Enquiry!B130="","",IFERROR(Enquiry!K130,""))</f>
        <v/>
      </c>
    </row>
    <row r="131" spans="1:7" ht="19.5" customHeight="1" x14ac:dyDescent="0.35">
      <c r="A131" s="25" t="str">
        <f>IF(Enquiry!B131="","",IFERROR(Enquiry!C131,""))</f>
        <v/>
      </c>
      <c r="B131" s="25" t="str">
        <f>IF(Enquiry!B131="","",IFERROR(Enquiry!D131,""))</f>
        <v/>
      </c>
      <c r="C131" s="26"/>
      <c r="D131" s="26"/>
      <c r="E131" s="26"/>
      <c r="F131" s="26"/>
      <c r="G131" s="27" t="str">
        <f>IF(Enquiry!B131="","",IFERROR(Enquiry!K131,""))</f>
        <v/>
      </c>
    </row>
    <row r="132" spans="1:7" ht="19.5" customHeight="1" x14ac:dyDescent="0.35">
      <c r="A132" s="25" t="str">
        <f>IF(Enquiry!B132="","",IFERROR(Enquiry!C132,""))</f>
        <v/>
      </c>
      <c r="B132" s="25" t="str">
        <f>IF(Enquiry!B132="","",IFERROR(Enquiry!D132,""))</f>
        <v/>
      </c>
      <c r="C132" s="26"/>
      <c r="D132" s="26"/>
      <c r="E132" s="26"/>
      <c r="F132" s="26"/>
      <c r="G132" s="27" t="str">
        <f>IF(Enquiry!B132="","",IFERROR(Enquiry!K132,""))</f>
        <v/>
      </c>
    </row>
    <row r="133" spans="1:7" ht="19.5" customHeight="1" x14ac:dyDescent="0.35">
      <c r="A133" s="25" t="str">
        <f>IF(Enquiry!B133="","",IFERROR(Enquiry!C133,""))</f>
        <v/>
      </c>
      <c r="B133" s="25" t="str">
        <f>IF(Enquiry!B133="","",IFERROR(Enquiry!D133,""))</f>
        <v/>
      </c>
      <c r="C133" s="26"/>
      <c r="D133" s="26"/>
      <c r="E133" s="26"/>
      <c r="F133" s="26"/>
      <c r="G133" s="27" t="str">
        <f>IF(Enquiry!B133="","",IFERROR(Enquiry!K133,""))</f>
        <v/>
      </c>
    </row>
    <row r="134" spans="1:7" ht="19.5" customHeight="1" x14ac:dyDescent="0.35">
      <c r="A134" s="25" t="str">
        <f>IF(Enquiry!B134="","",IFERROR(Enquiry!C134,""))</f>
        <v/>
      </c>
      <c r="B134" s="25" t="str">
        <f>IF(Enquiry!B134="","",IFERROR(Enquiry!D134,""))</f>
        <v/>
      </c>
      <c r="C134" s="26"/>
      <c r="D134" s="26"/>
      <c r="E134" s="26"/>
      <c r="F134" s="26"/>
      <c r="G134" s="27" t="str">
        <f>IF(Enquiry!B134="","",IFERROR(Enquiry!K134,""))</f>
        <v/>
      </c>
    </row>
    <row r="135" spans="1:7" ht="19.5" customHeight="1" x14ac:dyDescent="0.35">
      <c r="A135" s="25" t="str">
        <f>IF(Enquiry!B135="","",IFERROR(Enquiry!C135,""))</f>
        <v/>
      </c>
      <c r="B135" s="25" t="str">
        <f>IF(Enquiry!B135="","",IFERROR(Enquiry!D135,""))</f>
        <v/>
      </c>
      <c r="C135" s="26"/>
      <c r="D135" s="26"/>
      <c r="E135" s="26"/>
      <c r="F135" s="26"/>
      <c r="G135" s="27" t="str">
        <f>IF(Enquiry!B135="","",IFERROR(Enquiry!K135,""))</f>
        <v/>
      </c>
    </row>
    <row r="136" spans="1:7" ht="19.5" customHeight="1" x14ac:dyDescent="0.35">
      <c r="A136" s="25" t="str">
        <f>IF(Enquiry!B136="","",IFERROR(Enquiry!C136,""))</f>
        <v/>
      </c>
      <c r="B136" s="25" t="str">
        <f>IF(Enquiry!B136="","",IFERROR(Enquiry!D136,""))</f>
        <v/>
      </c>
      <c r="C136" s="26"/>
      <c r="D136" s="26"/>
      <c r="E136" s="26"/>
      <c r="F136" s="26"/>
      <c r="G136" s="27" t="str">
        <f>IF(Enquiry!B136="","",IFERROR(Enquiry!K136,""))</f>
        <v/>
      </c>
    </row>
    <row r="137" spans="1:7" ht="19.5" customHeight="1" x14ac:dyDescent="0.35">
      <c r="A137" s="25" t="str">
        <f>IF(Enquiry!B137="","",IFERROR(Enquiry!C137,""))</f>
        <v/>
      </c>
      <c r="B137" s="25" t="str">
        <f>IF(Enquiry!B137="","",IFERROR(Enquiry!D137,""))</f>
        <v/>
      </c>
      <c r="C137" s="26"/>
      <c r="D137" s="26"/>
      <c r="E137" s="26"/>
      <c r="F137" s="26"/>
      <c r="G137" s="27" t="str">
        <f>IF(Enquiry!B137="","",IFERROR(Enquiry!K137,""))</f>
        <v/>
      </c>
    </row>
    <row r="138" spans="1:7" ht="19.5" customHeight="1" x14ac:dyDescent="0.35">
      <c r="A138" s="25" t="str">
        <f>IF(Enquiry!B138="","",IFERROR(Enquiry!C138,""))</f>
        <v/>
      </c>
      <c r="B138" s="25" t="str">
        <f>IF(Enquiry!B138="","",IFERROR(Enquiry!D138,""))</f>
        <v/>
      </c>
      <c r="C138" s="26"/>
      <c r="D138" s="26"/>
      <c r="E138" s="26"/>
      <c r="F138" s="26"/>
      <c r="G138" s="27" t="str">
        <f>IF(Enquiry!B138="","",IFERROR(Enquiry!K138,""))</f>
        <v/>
      </c>
    </row>
    <row r="139" spans="1:7" ht="19.5" customHeight="1" x14ac:dyDescent="0.35">
      <c r="A139" s="25" t="str">
        <f>IF(Enquiry!B139="","",IFERROR(Enquiry!C139,""))</f>
        <v/>
      </c>
      <c r="B139" s="25" t="str">
        <f>IF(Enquiry!B139="","",IFERROR(Enquiry!D139,""))</f>
        <v/>
      </c>
      <c r="C139" s="26"/>
      <c r="D139" s="26"/>
      <c r="E139" s="26"/>
      <c r="F139" s="26"/>
      <c r="G139" s="27" t="str">
        <f>IF(Enquiry!B139="","",IFERROR(Enquiry!K139,""))</f>
        <v/>
      </c>
    </row>
    <row r="140" spans="1:7" ht="19.5" customHeight="1" x14ac:dyDescent="0.35">
      <c r="A140" s="25" t="str">
        <f>IF(Enquiry!B140="","",IFERROR(Enquiry!C140,""))</f>
        <v/>
      </c>
      <c r="B140" s="25" t="str">
        <f>IF(Enquiry!B140="","",IFERROR(Enquiry!D140,""))</f>
        <v/>
      </c>
      <c r="C140" s="26"/>
      <c r="D140" s="26"/>
      <c r="E140" s="26"/>
      <c r="F140" s="26"/>
      <c r="G140" s="27" t="str">
        <f>IF(Enquiry!B140="","",IFERROR(Enquiry!K140,""))</f>
        <v/>
      </c>
    </row>
    <row r="141" spans="1:7" ht="19.5" customHeight="1" x14ac:dyDescent="0.35">
      <c r="A141" s="25" t="str">
        <f>IF(Enquiry!B141="","",IFERROR(Enquiry!C141,""))</f>
        <v/>
      </c>
      <c r="B141" s="25" t="str">
        <f>IF(Enquiry!B141="","",IFERROR(Enquiry!D141,""))</f>
        <v/>
      </c>
      <c r="C141" s="26"/>
      <c r="D141" s="26"/>
      <c r="E141" s="26"/>
      <c r="F141" s="26"/>
      <c r="G141" s="27" t="str">
        <f>IF(Enquiry!B141="","",IFERROR(Enquiry!K141,""))</f>
        <v/>
      </c>
    </row>
    <row r="142" spans="1:7" ht="19.5" customHeight="1" x14ac:dyDescent="0.35">
      <c r="A142" s="25" t="str">
        <f>IF(Enquiry!B142="","",IFERROR(Enquiry!C142,""))</f>
        <v/>
      </c>
      <c r="B142" s="25" t="str">
        <f>IF(Enquiry!B142="","",IFERROR(Enquiry!D142,""))</f>
        <v/>
      </c>
      <c r="C142" s="26"/>
      <c r="D142" s="26"/>
      <c r="E142" s="26"/>
      <c r="F142" s="26"/>
      <c r="G142" s="27" t="str">
        <f>IF(Enquiry!B142="","",IFERROR(Enquiry!K142,""))</f>
        <v/>
      </c>
    </row>
    <row r="143" spans="1:7" ht="19.5" customHeight="1" x14ac:dyDescent="0.35">
      <c r="A143" s="25" t="str">
        <f>IF(Enquiry!B143="","",IFERROR(Enquiry!C143,""))</f>
        <v/>
      </c>
      <c r="B143" s="25" t="str">
        <f>IF(Enquiry!B143="","",IFERROR(Enquiry!D143,""))</f>
        <v/>
      </c>
      <c r="C143" s="26"/>
      <c r="D143" s="26"/>
      <c r="E143" s="26"/>
      <c r="F143" s="26"/>
      <c r="G143" s="27" t="str">
        <f>IF(Enquiry!B143="","",IFERROR(Enquiry!K143,""))</f>
        <v/>
      </c>
    </row>
    <row r="144" spans="1:7" ht="19.5" customHeight="1" x14ac:dyDescent="0.35">
      <c r="A144" s="25" t="str">
        <f>IF(Enquiry!B144="","",IFERROR(Enquiry!C144,""))</f>
        <v/>
      </c>
      <c r="B144" s="25" t="str">
        <f>IF(Enquiry!B144="","",IFERROR(Enquiry!D144,""))</f>
        <v/>
      </c>
      <c r="C144" s="26"/>
      <c r="D144" s="26"/>
      <c r="E144" s="26"/>
      <c r="F144" s="26"/>
      <c r="G144" s="27" t="str">
        <f>IF(Enquiry!B144="","",IFERROR(Enquiry!K144,""))</f>
        <v/>
      </c>
    </row>
    <row r="145" spans="1:7" ht="19.5" customHeight="1" x14ac:dyDescent="0.35">
      <c r="A145" s="25" t="str">
        <f>IF(Enquiry!B145="","",IFERROR(Enquiry!C145,""))</f>
        <v/>
      </c>
      <c r="B145" s="25" t="str">
        <f>IF(Enquiry!B145="","",IFERROR(Enquiry!D145,""))</f>
        <v/>
      </c>
      <c r="C145" s="26"/>
      <c r="D145" s="26"/>
      <c r="E145" s="26"/>
      <c r="F145" s="26"/>
      <c r="G145" s="27" t="str">
        <f>IF(Enquiry!B145="","",IFERROR(Enquiry!K145,""))</f>
        <v/>
      </c>
    </row>
    <row r="146" spans="1:7" ht="19.5" customHeight="1" x14ac:dyDescent="0.35">
      <c r="A146" s="25" t="str">
        <f>IF(Enquiry!B146="","",IFERROR(Enquiry!C146,""))</f>
        <v/>
      </c>
      <c r="B146" s="25" t="str">
        <f>IF(Enquiry!B146="","",IFERROR(Enquiry!D146,""))</f>
        <v/>
      </c>
      <c r="C146" s="26"/>
      <c r="D146" s="26"/>
      <c r="E146" s="26"/>
      <c r="F146" s="26"/>
      <c r="G146" s="27" t="str">
        <f>IF(Enquiry!B146="","",IFERROR(Enquiry!K146,""))</f>
        <v/>
      </c>
    </row>
    <row r="147" spans="1:7" ht="19.5" customHeight="1" x14ac:dyDescent="0.35">
      <c r="A147" s="25" t="str">
        <f>IF(Enquiry!B147="","",IFERROR(Enquiry!C147,""))</f>
        <v/>
      </c>
      <c r="B147" s="25" t="str">
        <f>IF(Enquiry!B147="","",IFERROR(Enquiry!D147,""))</f>
        <v/>
      </c>
      <c r="C147" s="26"/>
      <c r="D147" s="26"/>
      <c r="E147" s="26"/>
      <c r="F147" s="26"/>
      <c r="G147" s="27" t="str">
        <f>IF(Enquiry!B147="","",IFERROR(Enquiry!K147,""))</f>
        <v/>
      </c>
    </row>
    <row r="148" spans="1:7" ht="19.5" customHeight="1" x14ac:dyDescent="0.35">
      <c r="A148" s="25" t="str">
        <f>IF(Enquiry!B148="","",IFERROR(Enquiry!C148,""))</f>
        <v/>
      </c>
      <c r="B148" s="25" t="str">
        <f>IF(Enquiry!B148="","",IFERROR(Enquiry!D148,""))</f>
        <v/>
      </c>
      <c r="C148" s="26"/>
      <c r="D148" s="26"/>
      <c r="E148" s="26"/>
      <c r="F148" s="26"/>
      <c r="G148" s="27" t="str">
        <f>IF(Enquiry!B148="","",IFERROR(Enquiry!K148,""))</f>
        <v/>
      </c>
    </row>
    <row r="149" spans="1:7" ht="19.5" customHeight="1" x14ac:dyDescent="0.35">
      <c r="A149" s="25" t="str">
        <f>IF(Enquiry!B149="","",IFERROR(Enquiry!C149,""))</f>
        <v/>
      </c>
      <c r="B149" s="25" t="str">
        <f>IF(Enquiry!B149="","",IFERROR(Enquiry!D149,""))</f>
        <v/>
      </c>
      <c r="C149" s="26"/>
      <c r="D149" s="26"/>
      <c r="E149" s="26"/>
      <c r="F149" s="26"/>
      <c r="G149" s="27" t="str">
        <f>IF(Enquiry!B149="","",IFERROR(Enquiry!K149,""))</f>
        <v/>
      </c>
    </row>
    <row r="150" spans="1:7" ht="19.5" customHeight="1" x14ac:dyDescent="0.35">
      <c r="A150" s="25" t="str">
        <f>IF(Enquiry!B150="","",IFERROR(Enquiry!C150,""))</f>
        <v/>
      </c>
      <c r="B150" s="25" t="str">
        <f>IF(Enquiry!B150="","",IFERROR(Enquiry!D150,""))</f>
        <v/>
      </c>
      <c r="C150" s="26"/>
      <c r="D150" s="26"/>
      <c r="E150" s="26"/>
      <c r="F150" s="26"/>
      <c r="G150" s="27" t="str">
        <f>IF(Enquiry!B150="","",IFERROR(Enquiry!K150,""))</f>
        <v/>
      </c>
    </row>
    <row r="151" spans="1:7" ht="19.5" customHeight="1" x14ac:dyDescent="0.35">
      <c r="A151" s="25" t="str">
        <f>IF(Enquiry!B151="","",IFERROR(Enquiry!C151,""))</f>
        <v/>
      </c>
      <c r="B151" s="25" t="str">
        <f>IF(Enquiry!B151="","",IFERROR(Enquiry!D151,""))</f>
        <v/>
      </c>
      <c r="C151" s="26"/>
      <c r="D151" s="26"/>
      <c r="E151" s="26"/>
      <c r="F151" s="26"/>
      <c r="G151" s="27" t="str">
        <f>IF(Enquiry!B151="","",IFERROR(Enquiry!K151,""))</f>
        <v/>
      </c>
    </row>
    <row r="152" spans="1:7" ht="19.5" customHeight="1" x14ac:dyDescent="0.35">
      <c r="A152" s="25" t="str">
        <f>IF(Enquiry!B152="","",IFERROR(Enquiry!C152,""))</f>
        <v/>
      </c>
      <c r="B152" s="25" t="str">
        <f>IF(Enquiry!B152="","",IFERROR(Enquiry!D152,""))</f>
        <v/>
      </c>
      <c r="C152" s="26"/>
      <c r="D152" s="26"/>
      <c r="E152" s="26"/>
      <c r="F152" s="26"/>
      <c r="G152" s="27" t="str">
        <f>IF(Enquiry!B152="","",IFERROR(Enquiry!K152,""))</f>
        <v/>
      </c>
    </row>
    <row r="153" spans="1:7" ht="19.5" customHeight="1" x14ac:dyDescent="0.35">
      <c r="A153" s="25" t="str">
        <f>IF(Enquiry!B153="","",IFERROR(Enquiry!C153,""))</f>
        <v/>
      </c>
      <c r="B153" s="25" t="str">
        <f>IF(Enquiry!B153="","",IFERROR(Enquiry!D153,""))</f>
        <v/>
      </c>
      <c r="C153" s="26"/>
      <c r="D153" s="26"/>
      <c r="E153" s="26"/>
      <c r="F153" s="26"/>
      <c r="G153" s="27" t="str">
        <f>IF(Enquiry!B153="","",IFERROR(Enquiry!K153,""))</f>
        <v/>
      </c>
    </row>
    <row r="154" spans="1:7" ht="19.5" customHeight="1" x14ac:dyDescent="0.35">
      <c r="A154" s="25" t="str">
        <f>IF(Enquiry!B154="","",IFERROR(Enquiry!C154,""))</f>
        <v/>
      </c>
      <c r="B154" s="25" t="str">
        <f>IF(Enquiry!B154="","",IFERROR(Enquiry!D154,""))</f>
        <v/>
      </c>
      <c r="C154" s="26"/>
      <c r="D154" s="26"/>
      <c r="E154" s="26"/>
      <c r="F154" s="26"/>
      <c r="G154" s="27" t="str">
        <f>IF(Enquiry!B154="","",IFERROR(Enquiry!K154,""))</f>
        <v/>
      </c>
    </row>
    <row r="155" spans="1:7" ht="19.5" customHeight="1" x14ac:dyDescent="0.35">
      <c r="A155" s="25" t="str">
        <f>IF(Enquiry!B155="","",IFERROR(Enquiry!C155,""))</f>
        <v/>
      </c>
      <c r="B155" s="25" t="str">
        <f>IF(Enquiry!B155="","",IFERROR(Enquiry!D155,""))</f>
        <v/>
      </c>
      <c r="C155" s="26"/>
      <c r="D155" s="26"/>
      <c r="E155" s="26"/>
      <c r="F155" s="26"/>
      <c r="G155" s="27" t="str">
        <f>IF(Enquiry!B155="","",IFERROR(Enquiry!K155,""))</f>
        <v/>
      </c>
    </row>
    <row r="156" spans="1:7" ht="19.5" customHeight="1" x14ac:dyDescent="0.35">
      <c r="A156" s="25" t="str">
        <f>IF(Enquiry!B156="","",IFERROR(Enquiry!C156,""))</f>
        <v/>
      </c>
      <c r="B156" s="25" t="str">
        <f>IF(Enquiry!B156="","",IFERROR(Enquiry!D156,""))</f>
        <v/>
      </c>
      <c r="C156" s="26"/>
      <c r="D156" s="26"/>
      <c r="E156" s="26"/>
      <c r="F156" s="26"/>
      <c r="G156" s="27" t="str">
        <f>IF(Enquiry!B156="","",IFERROR(Enquiry!K156,""))</f>
        <v/>
      </c>
    </row>
    <row r="157" spans="1:7" ht="19.5" customHeight="1" x14ac:dyDescent="0.35">
      <c r="A157" s="25" t="str">
        <f>IF(Enquiry!B157="","",IFERROR(Enquiry!C157,""))</f>
        <v/>
      </c>
      <c r="B157" s="25" t="str">
        <f>IF(Enquiry!B157="","",IFERROR(Enquiry!D157,""))</f>
        <v/>
      </c>
      <c r="C157" s="26"/>
      <c r="D157" s="26"/>
      <c r="E157" s="26"/>
      <c r="F157" s="26"/>
      <c r="G157" s="27" t="str">
        <f>IF(Enquiry!B157="","",IFERROR(Enquiry!K157,""))</f>
        <v/>
      </c>
    </row>
    <row r="158" spans="1:7" ht="19.5" customHeight="1" x14ac:dyDescent="0.35">
      <c r="A158" s="25" t="str">
        <f>IF(Enquiry!B158="","",IFERROR(Enquiry!C158,""))</f>
        <v/>
      </c>
      <c r="B158" s="25" t="str">
        <f>IF(Enquiry!B158="","",IFERROR(Enquiry!D158,""))</f>
        <v/>
      </c>
      <c r="C158" s="26"/>
      <c r="D158" s="26"/>
      <c r="E158" s="26"/>
      <c r="F158" s="26"/>
      <c r="G158" s="27" t="str">
        <f>IF(Enquiry!B158="","",IFERROR(Enquiry!K158,""))</f>
        <v/>
      </c>
    </row>
    <row r="159" spans="1:7" ht="19.5" customHeight="1" x14ac:dyDescent="0.35">
      <c r="A159" s="25" t="str">
        <f>IF(Enquiry!B159="","",IFERROR(Enquiry!C159,""))</f>
        <v/>
      </c>
      <c r="B159" s="25" t="str">
        <f>IF(Enquiry!B159="","",IFERROR(Enquiry!D159,""))</f>
        <v/>
      </c>
      <c r="C159" s="26"/>
      <c r="D159" s="26"/>
      <c r="E159" s="26"/>
      <c r="F159" s="26"/>
      <c r="G159" s="27" t="str">
        <f>IF(Enquiry!B159="","",IFERROR(Enquiry!K159,""))</f>
        <v/>
      </c>
    </row>
    <row r="160" spans="1:7" ht="19.5" customHeight="1" x14ac:dyDescent="0.35">
      <c r="A160" s="25" t="str">
        <f>IF(Enquiry!B160="","",IFERROR(Enquiry!C160,""))</f>
        <v/>
      </c>
      <c r="B160" s="25" t="str">
        <f>IF(Enquiry!B160="","",IFERROR(Enquiry!D160,""))</f>
        <v/>
      </c>
      <c r="C160" s="26"/>
      <c r="D160" s="26"/>
      <c r="E160" s="26"/>
      <c r="F160" s="26"/>
      <c r="G160" s="27" t="str">
        <f>IF(Enquiry!B160="","",IFERROR(Enquiry!K160,""))</f>
        <v/>
      </c>
    </row>
    <row r="161" spans="1:7" ht="19.5" customHeight="1" x14ac:dyDescent="0.35">
      <c r="A161" s="25" t="str">
        <f>IF(Enquiry!B161="","",IFERROR(Enquiry!C161,""))</f>
        <v/>
      </c>
      <c r="B161" s="25" t="str">
        <f>IF(Enquiry!B161="","",IFERROR(Enquiry!D161,""))</f>
        <v/>
      </c>
      <c r="C161" s="26"/>
      <c r="D161" s="26"/>
      <c r="E161" s="26"/>
      <c r="F161" s="26"/>
      <c r="G161" s="27" t="str">
        <f>IF(Enquiry!B161="","",IFERROR(Enquiry!K161,""))</f>
        <v/>
      </c>
    </row>
    <row r="162" spans="1:7" ht="19.5" customHeight="1" x14ac:dyDescent="0.35">
      <c r="A162" s="25" t="str">
        <f>IF(Enquiry!B162="","",IFERROR(Enquiry!C162,""))</f>
        <v/>
      </c>
      <c r="B162" s="25" t="str">
        <f>IF(Enquiry!B162="","",IFERROR(Enquiry!D162,""))</f>
        <v/>
      </c>
      <c r="C162" s="26"/>
      <c r="D162" s="26"/>
      <c r="E162" s="26"/>
      <c r="F162" s="26"/>
      <c r="G162" s="27" t="str">
        <f>IF(Enquiry!B162="","",IFERROR(Enquiry!K162,""))</f>
        <v/>
      </c>
    </row>
    <row r="163" spans="1:7" ht="19.5" customHeight="1" x14ac:dyDescent="0.35">
      <c r="A163" s="25" t="str">
        <f>IF(Enquiry!B163="","",IFERROR(Enquiry!C163,""))</f>
        <v/>
      </c>
      <c r="B163" s="25" t="str">
        <f>IF(Enquiry!B163="","",IFERROR(Enquiry!D163,""))</f>
        <v/>
      </c>
      <c r="C163" s="26"/>
      <c r="D163" s="26"/>
      <c r="E163" s="26"/>
      <c r="F163" s="26"/>
      <c r="G163" s="27" t="str">
        <f>IF(Enquiry!B163="","",IFERROR(Enquiry!K163,""))</f>
        <v/>
      </c>
    </row>
    <row r="164" spans="1:7" ht="19.5" customHeight="1" x14ac:dyDescent="0.35">
      <c r="A164" s="25" t="str">
        <f>IF(Enquiry!B164="","",IFERROR(Enquiry!C164,""))</f>
        <v/>
      </c>
      <c r="B164" s="25" t="str">
        <f>IF(Enquiry!B164="","",IFERROR(Enquiry!D164,""))</f>
        <v/>
      </c>
      <c r="C164" s="26"/>
      <c r="D164" s="26"/>
      <c r="E164" s="26"/>
      <c r="F164" s="26"/>
      <c r="G164" s="27" t="str">
        <f>IF(Enquiry!B164="","",IFERROR(Enquiry!K164,""))</f>
        <v/>
      </c>
    </row>
    <row r="165" spans="1:7" ht="19.5" customHeight="1" x14ac:dyDescent="0.35">
      <c r="A165" s="25" t="str">
        <f>IF(Enquiry!B165="","",IFERROR(Enquiry!C165,""))</f>
        <v/>
      </c>
      <c r="B165" s="25" t="str">
        <f>IF(Enquiry!B165="","",IFERROR(Enquiry!D165,""))</f>
        <v/>
      </c>
      <c r="C165" s="26"/>
      <c r="D165" s="26"/>
      <c r="E165" s="26"/>
      <c r="F165" s="26"/>
      <c r="G165" s="27" t="str">
        <f>IF(Enquiry!B165="","",IFERROR(Enquiry!K165,""))</f>
        <v/>
      </c>
    </row>
    <row r="166" spans="1:7" ht="19.5" customHeight="1" x14ac:dyDescent="0.35">
      <c r="A166" s="25" t="str">
        <f>IF(Enquiry!B166="","",IFERROR(Enquiry!C166,""))</f>
        <v/>
      </c>
      <c r="B166" s="25" t="str">
        <f>IF(Enquiry!B166="","",IFERROR(Enquiry!D166,""))</f>
        <v/>
      </c>
      <c r="C166" s="26"/>
      <c r="D166" s="26"/>
      <c r="E166" s="26"/>
      <c r="F166" s="26"/>
      <c r="G166" s="27" t="str">
        <f>IF(Enquiry!B166="","",IFERROR(Enquiry!K166,""))</f>
        <v/>
      </c>
    </row>
    <row r="167" spans="1:7" ht="19.5" customHeight="1" x14ac:dyDescent="0.35">
      <c r="A167" s="25" t="str">
        <f>IF(Enquiry!B167="","",IFERROR(Enquiry!C167,""))</f>
        <v/>
      </c>
      <c r="B167" s="25" t="str">
        <f>IF(Enquiry!B167="","",IFERROR(Enquiry!D167,""))</f>
        <v/>
      </c>
      <c r="C167" s="26"/>
      <c r="D167" s="26"/>
      <c r="E167" s="26"/>
      <c r="F167" s="26"/>
      <c r="G167" s="27" t="str">
        <f>IF(Enquiry!B167="","",IFERROR(Enquiry!K167,""))</f>
        <v/>
      </c>
    </row>
    <row r="168" spans="1:7" ht="19.5" customHeight="1" x14ac:dyDescent="0.35">
      <c r="A168" s="25" t="str">
        <f>IF(Enquiry!B168="","",IFERROR(Enquiry!C168,""))</f>
        <v/>
      </c>
      <c r="B168" s="25" t="str">
        <f>IF(Enquiry!B168="","",IFERROR(Enquiry!D168,""))</f>
        <v/>
      </c>
      <c r="C168" s="26"/>
      <c r="D168" s="26"/>
      <c r="E168" s="26"/>
      <c r="F168" s="26"/>
      <c r="G168" s="27" t="str">
        <f>IF(Enquiry!B168="","",IFERROR(Enquiry!K168,""))</f>
        <v/>
      </c>
    </row>
    <row r="169" spans="1:7" ht="19.5" customHeight="1" x14ac:dyDescent="0.35">
      <c r="A169" s="25" t="str">
        <f>IF(Enquiry!B169="","",IFERROR(Enquiry!C169,""))</f>
        <v/>
      </c>
      <c r="B169" s="25" t="str">
        <f>IF(Enquiry!B169="","",IFERROR(Enquiry!D169,""))</f>
        <v/>
      </c>
      <c r="C169" s="26"/>
      <c r="D169" s="26"/>
      <c r="E169" s="26"/>
      <c r="F169" s="26"/>
      <c r="G169" s="27" t="str">
        <f>IF(Enquiry!B169="","",IFERROR(Enquiry!K169,""))</f>
        <v/>
      </c>
    </row>
    <row r="170" spans="1:7" ht="19.5" customHeight="1" x14ac:dyDescent="0.35">
      <c r="A170" s="25" t="str">
        <f>IF(Enquiry!B170="","",IFERROR(Enquiry!C170,""))</f>
        <v/>
      </c>
      <c r="B170" s="25" t="str">
        <f>IF(Enquiry!B170="","",IFERROR(Enquiry!D170,""))</f>
        <v/>
      </c>
      <c r="C170" s="26"/>
      <c r="D170" s="26"/>
      <c r="E170" s="26"/>
      <c r="F170" s="26"/>
      <c r="G170" s="27" t="str">
        <f>IF(Enquiry!B170="","",IFERROR(Enquiry!K170,""))</f>
        <v/>
      </c>
    </row>
    <row r="171" spans="1:7" ht="19.5" customHeight="1" x14ac:dyDescent="0.35">
      <c r="A171" s="25" t="str">
        <f>IF(Enquiry!B171="","",IFERROR(Enquiry!C171,""))</f>
        <v/>
      </c>
      <c r="B171" s="25" t="str">
        <f>IF(Enquiry!B171="","",IFERROR(Enquiry!D171,""))</f>
        <v/>
      </c>
      <c r="C171" s="26"/>
      <c r="D171" s="26"/>
      <c r="E171" s="26"/>
      <c r="F171" s="26"/>
      <c r="G171" s="27" t="str">
        <f>IF(Enquiry!B171="","",IFERROR(Enquiry!K171,""))</f>
        <v/>
      </c>
    </row>
    <row r="172" spans="1:7" ht="19.5" customHeight="1" x14ac:dyDescent="0.35">
      <c r="A172" s="25" t="str">
        <f>IF(Enquiry!B172="","",IFERROR(Enquiry!C172,""))</f>
        <v/>
      </c>
      <c r="B172" s="25" t="str">
        <f>IF(Enquiry!B172="","",IFERROR(Enquiry!D172,""))</f>
        <v/>
      </c>
      <c r="C172" s="26"/>
      <c r="D172" s="26"/>
      <c r="E172" s="26"/>
      <c r="F172" s="26"/>
      <c r="G172" s="27" t="str">
        <f>IF(Enquiry!B172="","",IFERROR(Enquiry!K172,""))</f>
        <v/>
      </c>
    </row>
    <row r="173" spans="1:7" ht="19.5" customHeight="1" x14ac:dyDescent="0.35">
      <c r="A173" s="25" t="str">
        <f>IF(Enquiry!B173="","",IFERROR(Enquiry!C173,""))</f>
        <v/>
      </c>
      <c r="B173" s="25" t="str">
        <f>IF(Enquiry!B173="","",IFERROR(Enquiry!D173,""))</f>
        <v/>
      </c>
      <c r="C173" s="26"/>
      <c r="D173" s="26"/>
      <c r="E173" s="26"/>
      <c r="F173" s="26"/>
      <c r="G173" s="27" t="str">
        <f>IF(Enquiry!B173="","",IFERROR(Enquiry!K173,""))</f>
        <v/>
      </c>
    </row>
    <row r="174" spans="1:7" ht="19.5" customHeight="1" x14ac:dyDescent="0.35">
      <c r="A174" s="25" t="str">
        <f>IF(Enquiry!B174="","",IFERROR(Enquiry!C174,""))</f>
        <v/>
      </c>
      <c r="B174" s="25" t="str">
        <f>IF(Enquiry!B174="","",IFERROR(Enquiry!D174,""))</f>
        <v/>
      </c>
      <c r="C174" s="26"/>
      <c r="D174" s="26"/>
      <c r="E174" s="26"/>
      <c r="F174" s="26"/>
      <c r="G174" s="27" t="str">
        <f>IF(Enquiry!B174="","",IFERROR(Enquiry!K174,""))</f>
        <v/>
      </c>
    </row>
    <row r="175" spans="1:7" ht="19.5" customHeight="1" x14ac:dyDescent="0.35">
      <c r="A175" s="25" t="str">
        <f>IF(Enquiry!B175="","",IFERROR(Enquiry!C175,""))</f>
        <v/>
      </c>
      <c r="B175" s="25" t="str">
        <f>IF(Enquiry!B175="","",IFERROR(Enquiry!D175,""))</f>
        <v/>
      </c>
      <c r="C175" s="26"/>
      <c r="D175" s="26"/>
      <c r="E175" s="26"/>
      <c r="F175" s="26"/>
      <c r="G175" s="27" t="str">
        <f>IF(Enquiry!B175="","",IFERROR(Enquiry!K175,""))</f>
        <v/>
      </c>
    </row>
    <row r="176" spans="1:7" ht="19.5" customHeight="1" x14ac:dyDescent="0.35">
      <c r="A176" s="25" t="str">
        <f>IF(Enquiry!B176="","",IFERROR(Enquiry!C176,""))</f>
        <v/>
      </c>
      <c r="B176" s="25" t="str">
        <f>IF(Enquiry!B176="","",IFERROR(Enquiry!D176,""))</f>
        <v/>
      </c>
      <c r="C176" s="26"/>
      <c r="D176" s="26"/>
      <c r="E176" s="26"/>
      <c r="F176" s="26"/>
      <c r="G176" s="27" t="str">
        <f>IF(Enquiry!B176="","",IFERROR(Enquiry!K176,""))</f>
        <v/>
      </c>
    </row>
    <row r="177" spans="1:7" ht="19.5" customHeight="1" x14ac:dyDescent="0.35">
      <c r="A177" s="25" t="str">
        <f>IF(Enquiry!B177="","",IFERROR(Enquiry!C177,""))</f>
        <v/>
      </c>
      <c r="B177" s="25" t="str">
        <f>IF(Enquiry!B177="","",IFERROR(Enquiry!D177,""))</f>
        <v/>
      </c>
      <c r="C177" s="26"/>
      <c r="D177" s="26"/>
      <c r="E177" s="26"/>
      <c r="F177" s="26"/>
      <c r="G177" s="27" t="str">
        <f>IF(Enquiry!B177="","",IFERROR(Enquiry!K177,""))</f>
        <v/>
      </c>
    </row>
    <row r="178" spans="1:7" ht="19.5" customHeight="1" x14ac:dyDescent="0.35">
      <c r="A178" s="25" t="str">
        <f>IF(Enquiry!B178="","",IFERROR(Enquiry!C178,""))</f>
        <v/>
      </c>
      <c r="B178" s="25" t="str">
        <f>IF(Enquiry!B178="","",IFERROR(Enquiry!D178,""))</f>
        <v/>
      </c>
      <c r="C178" s="26"/>
      <c r="D178" s="26"/>
      <c r="E178" s="26"/>
      <c r="F178" s="26"/>
      <c r="G178" s="27" t="str">
        <f>IF(Enquiry!B178="","",IFERROR(Enquiry!K178,""))</f>
        <v/>
      </c>
    </row>
    <row r="179" spans="1:7" ht="19.5" customHeight="1" x14ac:dyDescent="0.35">
      <c r="A179" s="25" t="str">
        <f>IF(Enquiry!B179="","",IFERROR(Enquiry!C179,""))</f>
        <v/>
      </c>
      <c r="B179" s="25" t="str">
        <f>IF(Enquiry!B179="","",IFERROR(Enquiry!D179,""))</f>
        <v/>
      </c>
      <c r="C179" s="26"/>
      <c r="D179" s="26"/>
      <c r="E179" s="26"/>
      <c r="F179" s="26"/>
      <c r="G179" s="27" t="str">
        <f>IF(Enquiry!B179="","",IFERROR(Enquiry!K179,""))</f>
        <v/>
      </c>
    </row>
    <row r="180" spans="1:7" ht="19.5" customHeight="1" x14ac:dyDescent="0.35">
      <c r="A180" s="25" t="str">
        <f>IF(Enquiry!B180="","",IFERROR(Enquiry!C180,""))</f>
        <v/>
      </c>
      <c r="B180" s="25" t="str">
        <f>IF(Enquiry!B180="","",IFERROR(Enquiry!D180,""))</f>
        <v/>
      </c>
      <c r="C180" s="26"/>
      <c r="D180" s="26"/>
      <c r="E180" s="26"/>
      <c r="F180" s="26"/>
      <c r="G180" s="27" t="str">
        <f>IF(Enquiry!B180="","",IFERROR(Enquiry!K180,""))</f>
        <v/>
      </c>
    </row>
    <row r="181" spans="1:7" ht="19.5" customHeight="1" x14ac:dyDescent="0.35">
      <c r="A181" s="25" t="str">
        <f>IF(Enquiry!B181="","",IFERROR(Enquiry!C181,""))</f>
        <v/>
      </c>
      <c r="B181" s="25" t="str">
        <f>IF(Enquiry!B181="","",IFERROR(Enquiry!D181,""))</f>
        <v/>
      </c>
      <c r="C181" s="26"/>
      <c r="D181" s="26"/>
      <c r="E181" s="26"/>
      <c r="F181" s="26"/>
      <c r="G181" s="27" t="str">
        <f>IF(Enquiry!B181="","",IFERROR(Enquiry!K181,""))</f>
        <v/>
      </c>
    </row>
    <row r="182" spans="1:7" ht="19.5" customHeight="1" x14ac:dyDescent="0.35">
      <c r="A182" s="25" t="str">
        <f>IF(Enquiry!B182="","",IFERROR(Enquiry!C182,""))</f>
        <v/>
      </c>
      <c r="B182" s="25" t="str">
        <f>IF(Enquiry!B182="","",IFERROR(Enquiry!D182,""))</f>
        <v/>
      </c>
      <c r="C182" s="26"/>
      <c r="D182" s="26"/>
      <c r="E182" s="26"/>
      <c r="F182" s="26"/>
      <c r="G182" s="27" t="str">
        <f>IF(Enquiry!B182="","",IFERROR(Enquiry!K182,""))</f>
        <v/>
      </c>
    </row>
    <row r="183" spans="1:7" ht="19.5" customHeight="1" x14ac:dyDescent="0.35">
      <c r="A183" s="25" t="str">
        <f>IF(Enquiry!B183="","",IFERROR(Enquiry!C183,""))</f>
        <v/>
      </c>
      <c r="B183" s="25" t="str">
        <f>IF(Enquiry!B183="","",IFERROR(Enquiry!D183,""))</f>
        <v/>
      </c>
      <c r="C183" s="26"/>
      <c r="D183" s="26"/>
      <c r="E183" s="26"/>
      <c r="F183" s="26"/>
      <c r="G183" s="27" t="str">
        <f>IF(Enquiry!B183="","",IFERROR(Enquiry!K183,""))</f>
        <v/>
      </c>
    </row>
    <row r="184" spans="1:7" ht="19.5" customHeight="1" x14ac:dyDescent="0.35">
      <c r="A184" s="25" t="str">
        <f>IF(Enquiry!B184="","",IFERROR(Enquiry!C184,""))</f>
        <v/>
      </c>
      <c r="B184" s="25" t="str">
        <f>IF(Enquiry!B184="","",IFERROR(Enquiry!D184,""))</f>
        <v/>
      </c>
      <c r="C184" s="26"/>
      <c r="D184" s="26"/>
      <c r="E184" s="26"/>
      <c r="F184" s="26"/>
      <c r="G184" s="27" t="str">
        <f>IF(Enquiry!B184="","",IFERROR(Enquiry!K184,""))</f>
        <v/>
      </c>
    </row>
    <row r="185" spans="1:7" ht="19.5" customHeight="1" x14ac:dyDescent="0.35">
      <c r="A185" s="25" t="str">
        <f>IF(Enquiry!B185="","",IFERROR(Enquiry!C185,""))</f>
        <v/>
      </c>
      <c r="B185" s="25" t="str">
        <f>IF(Enquiry!B185="","",IFERROR(Enquiry!D185,""))</f>
        <v/>
      </c>
      <c r="C185" s="26"/>
      <c r="D185" s="26"/>
      <c r="E185" s="26"/>
      <c r="F185" s="26"/>
      <c r="G185" s="27" t="str">
        <f>IF(Enquiry!B185="","",IFERROR(Enquiry!K185,""))</f>
        <v/>
      </c>
    </row>
    <row r="186" spans="1:7" ht="19.5" customHeight="1" x14ac:dyDescent="0.35">
      <c r="A186" s="25" t="str">
        <f>IF(Enquiry!B186="","",IFERROR(Enquiry!C186,""))</f>
        <v/>
      </c>
      <c r="B186" s="25" t="str">
        <f>IF(Enquiry!B186="","",IFERROR(Enquiry!D186,""))</f>
        <v/>
      </c>
      <c r="C186" s="26"/>
      <c r="D186" s="26"/>
      <c r="E186" s="26"/>
      <c r="F186" s="26"/>
      <c r="G186" s="27" t="str">
        <f>IF(Enquiry!B186="","",IFERROR(Enquiry!K186,""))</f>
        <v/>
      </c>
    </row>
    <row r="187" spans="1:7" ht="19.5" customHeight="1" x14ac:dyDescent="0.35">
      <c r="A187" s="25" t="str">
        <f>IF(Enquiry!B187="","",IFERROR(Enquiry!C187,""))</f>
        <v/>
      </c>
      <c r="B187" s="25" t="str">
        <f>IF(Enquiry!B187="","",IFERROR(Enquiry!D187,""))</f>
        <v/>
      </c>
      <c r="C187" s="26"/>
      <c r="D187" s="26"/>
      <c r="E187" s="26"/>
      <c r="F187" s="26"/>
      <c r="G187" s="27" t="str">
        <f>IF(Enquiry!B187="","",IFERROR(Enquiry!K187,""))</f>
        <v/>
      </c>
    </row>
    <row r="188" spans="1:7" ht="19.5" customHeight="1" x14ac:dyDescent="0.35">
      <c r="A188" s="25" t="str">
        <f>IF(Enquiry!B188="","",IFERROR(Enquiry!C188,""))</f>
        <v/>
      </c>
      <c r="B188" s="25" t="str">
        <f>IF(Enquiry!B188="","",IFERROR(Enquiry!D188,""))</f>
        <v/>
      </c>
      <c r="C188" s="26"/>
      <c r="D188" s="26"/>
      <c r="E188" s="26"/>
      <c r="F188" s="26"/>
      <c r="G188" s="27" t="str">
        <f>IF(Enquiry!B188="","",IFERROR(Enquiry!K188,""))</f>
        <v/>
      </c>
    </row>
    <row r="189" spans="1:7" ht="19.5" customHeight="1" x14ac:dyDescent="0.35">
      <c r="A189" s="25" t="str">
        <f>IF(Enquiry!B189="","",IFERROR(Enquiry!C189,""))</f>
        <v/>
      </c>
      <c r="B189" s="25" t="str">
        <f>IF(Enquiry!B189="","",IFERROR(Enquiry!D189,""))</f>
        <v/>
      </c>
      <c r="C189" s="26"/>
      <c r="D189" s="26"/>
      <c r="E189" s="26"/>
      <c r="F189" s="26"/>
      <c r="G189" s="27" t="str">
        <f>IF(Enquiry!B189="","",IFERROR(Enquiry!K189,""))</f>
        <v/>
      </c>
    </row>
    <row r="190" spans="1:7" ht="19.5" customHeight="1" x14ac:dyDescent="0.35">
      <c r="A190" s="25" t="str">
        <f>IF(Enquiry!B190="","",IFERROR(Enquiry!C190,""))</f>
        <v/>
      </c>
      <c r="B190" s="25" t="str">
        <f>IF(Enquiry!B190="","",IFERROR(Enquiry!D190,""))</f>
        <v/>
      </c>
      <c r="C190" s="26"/>
      <c r="D190" s="26"/>
      <c r="E190" s="26"/>
      <c r="F190" s="26"/>
      <c r="G190" s="27" t="str">
        <f>IF(Enquiry!B190="","",IFERROR(Enquiry!K190,""))</f>
        <v/>
      </c>
    </row>
    <row r="191" spans="1:7" ht="19.5" customHeight="1" x14ac:dyDescent="0.35">
      <c r="A191" s="25" t="str">
        <f>IF(Enquiry!B191="","",IFERROR(Enquiry!C191,""))</f>
        <v/>
      </c>
      <c r="B191" s="25" t="str">
        <f>IF(Enquiry!B191="","",IFERROR(Enquiry!D191,""))</f>
        <v/>
      </c>
      <c r="C191" s="26"/>
      <c r="D191" s="26"/>
      <c r="E191" s="26"/>
      <c r="F191" s="26"/>
      <c r="G191" s="27" t="str">
        <f>IF(Enquiry!B191="","",IFERROR(Enquiry!K191,""))</f>
        <v/>
      </c>
    </row>
    <row r="192" spans="1:7" ht="19.5" customHeight="1" x14ac:dyDescent="0.35">
      <c r="A192" s="25" t="str">
        <f>IF(Enquiry!B192="","",IFERROR(Enquiry!C192,""))</f>
        <v/>
      </c>
      <c r="B192" s="25" t="str">
        <f>IF(Enquiry!B192="","",IFERROR(Enquiry!D192,""))</f>
        <v/>
      </c>
      <c r="C192" s="26"/>
      <c r="D192" s="26"/>
      <c r="E192" s="26"/>
      <c r="F192" s="26"/>
      <c r="G192" s="27" t="str">
        <f>IF(Enquiry!B192="","",IFERROR(Enquiry!K192,""))</f>
        <v/>
      </c>
    </row>
    <row r="193" spans="1:7" ht="19.5" customHeight="1" x14ac:dyDescent="0.35">
      <c r="A193" s="25" t="str">
        <f>IF(Enquiry!B193="","",IFERROR(Enquiry!C193,""))</f>
        <v/>
      </c>
      <c r="B193" s="25" t="str">
        <f>IF(Enquiry!B193="","",IFERROR(Enquiry!D193,""))</f>
        <v/>
      </c>
      <c r="C193" s="26"/>
      <c r="D193" s="26"/>
      <c r="E193" s="26"/>
      <c r="F193" s="26"/>
      <c r="G193" s="27" t="str">
        <f>IF(Enquiry!B193="","",IFERROR(Enquiry!K193,""))</f>
        <v/>
      </c>
    </row>
    <row r="194" spans="1:7" ht="19.5" customHeight="1" x14ac:dyDescent="0.35">
      <c r="A194" s="25" t="str">
        <f>IF(Enquiry!B194="","",IFERROR(Enquiry!C194,""))</f>
        <v/>
      </c>
      <c r="B194" s="25" t="str">
        <f>IF(Enquiry!B194="","",IFERROR(Enquiry!D194,""))</f>
        <v/>
      </c>
      <c r="C194" s="26"/>
      <c r="D194" s="26"/>
      <c r="E194" s="26"/>
      <c r="F194" s="26"/>
      <c r="G194" s="27" t="str">
        <f>IF(Enquiry!B194="","",IFERROR(Enquiry!K194,""))</f>
        <v/>
      </c>
    </row>
    <row r="195" spans="1:7" ht="19.5" customHeight="1" x14ac:dyDescent="0.35">
      <c r="A195" s="25" t="str">
        <f>IF(Enquiry!B195="","",IFERROR(Enquiry!C195,""))</f>
        <v/>
      </c>
      <c r="B195" s="25" t="str">
        <f>IF(Enquiry!B195="","",IFERROR(Enquiry!D195,""))</f>
        <v/>
      </c>
      <c r="C195" s="26"/>
      <c r="D195" s="26"/>
      <c r="E195" s="26"/>
      <c r="F195" s="26"/>
      <c r="G195" s="27" t="str">
        <f>IF(Enquiry!B195="","",IFERROR(Enquiry!K195,""))</f>
        <v/>
      </c>
    </row>
    <row r="196" spans="1:7" ht="19.5" customHeight="1" x14ac:dyDescent="0.35">
      <c r="A196" s="25" t="str">
        <f>IF(Enquiry!B196="","",IFERROR(Enquiry!C196,""))</f>
        <v/>
      </c>
      <c r="B196" s="25" t="str">
        <f>IF(Enquiry!B196="","",IFERROR(Enquiry!D196,""))</f>
        <v/>
      </c>
      <c r="C196" s="26"/>
      <c r="D196" s="26"/>
      <c r="E196" s="26"/>
      <c r="F196" s="26"/>
      <c r="G196" s="27" t="str">
        <f>IF(Enquiry!B196="","",IFERROR(Enquiry!K196,""))</f>
        <v/>
      </c>
    </row>
    <row r="197" spans="1:7" ht="19.5" customHeight="1" x14ac:dyDescent="0.35">
      <c r="A197" s="25" t="str">
        <f>IF(Enquiry!B197="","",IFERROR(Enquiry!C197,""))</f>
        <v/>
      </c>
      <c r="B197" s="25" t="str">
        <f>IF(Enquiry!B197="","",IFERROR(Enquiry!D197,""))</f>
        <v/>
      </c>
      <c r="C197" s="26"/>
      <c r="D197" s="26"/>
      <c r="E197" s="26"/>
      <c r="F197" s="26"/>
      <c r="G197" s="27" t="str">
        <f>IF(Enquiry!B197="","",IFERROR(Enquiry!K197,""))</f>
        <v/>
      </c>
    </row>
    <row r="198" spans="1:7" ht="19.5" customHeight="1" x14ac:dyDescent="0.35">
      <c r="A198" s="25" t="str">
        <f>IF(Enquiry!B198="","",IFERROR(Enquiry!C198,""))</f>
        <v/>
      </c>
      <c r="B198" s="25" t="str">
        <f>IF(Enquiry!B198="","",IFERROR(Enquiry!D198,""))</f>
        <v/>
      </c>
      <c r="C198" s="26"/>
      <c r="D198" s="26"/>
      <c r="E198" s="26"/>
      <c r="F198" s="26"/>
      <c r="G198" s="27" t="str">
        <f>IF(Enquiry!B198="","",IFERROR(Enquiry!K198,""))</f>
        <v/>
      </c>
    </row>
    <row r="199" spans="1:7" ht="19.5" customHeight="1" x14ac:dyDescent="0.35">
      <c r="A199" s="25" t="str">
        <f>IF(Enquiry!B199="","",IFERROR(Enquiry!C199,""))</f>
        <v/>
      </c>
      <c r="B199" s="25" t="str">
        <f>IF(Enquiry!B199="","",IFERROR(Enquiry!D199,""))</f>
        <v/>
      </c>
      <c r="C199" s="26"/>
      <c r="D199" s="26"/>
      <c r="E199" s="26"/>
      <c r="F199" s="26"/>
      <c r="G199" s="27" t="str">
        <f>IF(Enquiry!B199="","",IFERROR(Enquiry!K199,""))</f>
        <v/>
      </c>
    </row>
    <row r="200" spans="1:7" ht="19.5" customHeight="1" x14ac:dyDescent="0.35">
      <c r="A200" s="25" t="str">
        <f>IF(Enquiry!B200="","",IFERROR(Enquiry!C200,""))</f>
        <v/>
      </c>
      <c r="B200" s="25" t="str">
        <f>IF(Enquiry!B200="","",IFERROR(Enquiry!D200,""))</f>
        <v/>
      </c>
      <c r="C200" s="26"/>
      <c r="D200" s="26"/>
      <c r="E200" s="26"/>
      <c r="F200" s="26"/>
      <c r="G200" s="27" t="str">
        <f>IF(Enquiry!B200="","",IFERROR(Enquiry!K200,""))</f>
        <v/>
      </c>
    </row>
    <row r="201" spans="1:7" ht="19.5" customHeight="1" x14ac:dyDescent="0.35">
      <c r="A201" s="25" t="str">
        <f>IF(Enquiry!B201="","",IFERROR(Enquiry!C201,""))</f>
        <v/>
      </c>
      <c r="B201" s="25" t="str">
        <f>IF(Enquiry!B201="","",IFERROR(Enquiry!D201,""))</f>
        <v/>
      </c>
      <c r="C201" s="26"/>
      <c r="D201" s="26"/>
      <c r="E201" s="26"/>
      <c r="F201" s="26"/>
      <c r="G201" s="27" t="str">
        <f>IF(Enquiry!B201="","",IFERROR(Enquiry!K201,""))</f>
        <v/>
      </c>
    </row>
    <row r="202" spans="1:7" ht="19.5" customHeight="1" x14ac:dyDescent="0.35">
      <c r="A202" s="25" t="str">
        <f>IF(Enquiry!B202="","",IFERROR(Enquiry!C202,""))</f>
        <v/>
      </c>
      <c r="B202" s="25" t="str">
        <f>IF(Enquiry!B202="","",IFERROR(Enquiry!D202,""))</f>
        <v/>
      </c>
      <c r="C202" s="26"/>
      <c r="D202" s="26"/>
      <c r="E202" s="26"/>
      <c r="F202" s="26"/>
      <c r="G202" s="27" t="str">
        <f>IF(Enquiry!B202="","",IFERROR(Enquiry!K202,""))</f>
        <v/>
      </c>
    </row>
    <row r="203" spans="1:7" ht="19.5" customHeight="1" x14ac:dyDescent="0.35">
      <c r="A203" s="25" t="str">
        <f>IF(Enquiry!B203="","",IFERROR(Enquiry!C203,""))</f>
        <v/>
      </c>
      <c r="B203" s="25" t="str">
        <f>IF(Enquiry!B203="","",IFERROR(Enquiry!D203,""))</f>
        <v/>
      </c>
      <c r="C203" s="26"/>
      <c r="D203" s="26"/>
      <c r="E203" s="26"/>
      <c r="F203" s="26"/>
      <c r="G203" s="27" t="str">
        <f>IF(Enquiry!B203="","",IFERROR(Enquiry!K203,""))</f>
        <v/>
      </c>
    </row>
    <row r="204" spans="1:7" ht="19.5" customHeight="1" x14ac:dyDescent="0.35">
      <c r="A204" s="25" t="str">
        <f>IF(Enquiry!B204="","",IFERROR(Enquiry!C204,""))</f>
        <v/>
      </c>
      <c r="B204" s="25" t="str">
        <f>IF(Enquiry!B204="","",IFERROR(Enquiry!D204,""))</f>
        <v/>
      </c>
      <c r="C204" s="26"/>
      <c r="D204" s="26"/>
      <c r="E204" s="26"/>
      <c r="F204" s="26"/>
      <c r="G204" s="27" t="str">
        <f>IF(Enquiry!B204="","",IFERROR(Enquiry!K204,""))</f>
        <v/>
      </c>
    </row>
    <row r="205" spans="1:7" ht="19.5" customHeight="1" x14ac:dyDescent="0.35">
      <c r="A205" s="25" t="str">
        <f>IF(Enquiry!B205="","",IFERROR(Enquiry!C205,""))</f>
        <v/>
      </c>
      <c r="B205" s="25" t="str">
        <f>IF(Enquiry!B205="","",IFERROR(Enquiry!D205,""))</f>
        <v/>
      </c>
      <c r="C205" s="26"/>
      <c r="D205" s="26"/>
      <c r="E205" s="26"/>
      <c r="F205" s="26"/>
      <c r="G205" s="27" t="str">
        <f>IF(Enquiry!B205="","",IFERROR(Enquiry!K205,""))</f>
        <v/>
      </c>
    </row>
    <row r="206" spans="1:7" ht="19.5" customHeight="1" x14ac:dyDescent="0.35">
      <c r="A206" s="25" t="str">
        <f>IF(Enquiry!B206="","",IFERROR(Enquiry!C206,""))</f>
        <v/>
      </c>
      <c r="B206" s="25" t="str">
        <f>IF(Enquiry!B206="","",IFERROR(Enquiry!D206,""))</f>
        <v/>
      </c>
      <c r="C206" s="26"/>
      <c r="D206" s="26"/>
      <c r="E206" s="26"/>
      <c r="F206" s="26"/>
      <c r="G206" s="27" t="str">
        <f>IF(Enquiry!B206="","",IFERROR(Enquiry!K206,""))</f>
        <v/>
      </c>
    </row>
    <row r="207" spans="1:7" ht="19.5" customHeight="1" x14ac:dyDescent="0.35">
      <c r="A207" s="25" t="str">
        <f>IF(Enquiry!B207="","",IFERROR(Enquiry!C207,""))</f>
        <v/>
      </c>
      <c r="B207" s="25" t="str">
        <f>IF(Enquiry!B207="","",IFERROR(Enquiry!D207,""))</f>
        <v/>
      </c>
      <c r="C207" s="26"/>
      <c r="D207" s="26"/>
      <c r="E207" s="26"/>
      <c r="F207" s="26"/>
      <c r="G207" s="27" t="str">
        <f>IF(Enquiry!B207="","",IFERROR(Enquiry!K207,""))</f>
        <v/>
      </c>
    </row>
    <row r="208" spans="1:7" ht="19.5" customHeight="1" x14ac:dyDescent="0.35">
      <c r="A208" s="25" t="str">
        <f>IF(Enquiry!B208="","",IFERROR(Enquiry!C208,""))</f>
        <v/>
      </c>
      <c r="B208" s="25" t="str">
        <f>IF(Enquiry!B208="","",IFERROR(Enquiry!D208,""))</f>
        <v/>
      </c>
      <c r="C208" s="26"/>
      <c r="D208" s="26"/>
      <c r="E208" s="26"/>
      <c r="F208" s="26"/>
      <c r="G208" s="27" t="str">
        <f>IF(Enquiry!B208="","",IFERROR(Enquiry!K208,""))</f>
        <v/>
      </c>
    </row>
    <row r="209" spans="1:7" ht="19.5" customHeight="1" x14ac:dyDescent="0.35">
      <c r="A209" s="25" t="str">
        <f>IF(Enquiry!B209="","",IFERROR(Enquiry!C209,""))</f>
        <v/>
      </c>
      <c r="B209" s="25" t="str">
        <f>IF(Enquiry!B209="","",IFERROR(Enquiry!D209,""))</f>
        <v/>
      </c>
      <c r="C209" s="26"/>
      <c r="D209" s="26"/>
      <c r="E209" s="26"/>
      <c r="F209" s="26"/>
      <c r="G209" s="27" t="str">
        <f>IF(Enquiry!B209="","",IFERROR(Enquiry!K209,""))</f>
        <v/>
      </c>
    </row>
    <row r="210" spans="1:7" ht="19.5" customHeight="1" x14ac:dyDescent="0.35">
      <c r="A210" s="25" t="str">
        <f>IF(Enquiry!B210="","",IFERROR(Enquiry!C210,""))</f>
        <v/>
      </c>
      <c r="B210" s="25" t="str">
        <f>IF(Enquiry!B210="","",IFERROR(Enquiry!D210,""))</f>
        <v/>
      </c>
      <c r="C210" s="26"/>
      <c r="D210" s="26"/>
      <c r="E210" s="26"/>
      <c r="F210" s="26"/>
      <c r="G210" s="27" t="str">
        <f>IF(Enquiry!B210="","",IFERROR(Enquiry!K210,""))</f>
        <v/>
      </c>
    </row>
    <row r="211" spans="1:7" ht="19.5" customHeight="1" x14ac:dyDescent="0.35">
      <c r="A211" s="25" t="str">
        <f>IF(Enquiry!B211="","",IFERROR(Enquiry!C211,""))</f>
        <v/>
      </c>
      <c r="B211" s="25" t="str">
        <f>IF(Enquiry!B211="","",IFERROR(Enquiry!D211,""))</f>
        <v/>
      </c>
      <c r="C211" s="26"/>
      <c r="D211" s="26"/>
      <c r="E211" s="26"/>
      <c r="F211" s="26"/>
      <c r="G211" s="27" t="str">
        <f>IF(Enquiry!B211="","",IFERROR(Enquiry!K211,""))</f>
        <v/>
      </c>
    </row>
    <row r="212" spans="1:7" ht="19.5" customHeight="1" x14ac:dyDescent="0.35">
      <c r="A212" s="25" t="str">
        <f>IF(Enquiry!B212="","",IFERROR(Enquiry!C212,""))</f>
        <v/>
      </c>
      <c r="B212" s="25" t="str">
        <f>IF(Enquiry!B212="","",IFERROR(Enquiry!D212,""))</f>
        <v/>
      </c>
      <c r="C212" s="26"/>
      <c r="D212" s="26"/>
      <c r="E212" s="26"/>
      <c r="F212" s="26"/>
      <c r="G212" s="27" t="str">
        <f>IF(Enquiry!B212="","",IFERROR(Enquiry!K212,""))</f>
        <v/>
      </c>
    </row>
    <row r="213" spans="1:7" ht="19.5" customHeight="1" x14ac:dyDescent="0.35">
      <c r="A213" s="25" t="str">
        <f>IF(Enquiry!B213="","",IFERROR(Enquiry!C213,""))</f>
        <v/>
      </c>
      <c r="B213" s="25" t="str">
        <f>IF(Enquiry!B213="","",IFERROR(Enquiry!D213,""))</f>
        <v/>
      </c>
      <c r="C213" s="26"/>
      <c r="D213" s="26"/>
      <c r="E213" s="26"/>
      <c r="F213" s="26"/>
      <c r="G213" s="27" t="str">
        <f>IF(Enquiry!B213="","",IFERROR(Enquiry!K213,""))</f>
        <v/>
      </c>
    </row>
    <row r="214" spans="1:7" ht="19.5" customHeight="1" x14ac:dyDescent="0.35">
      <c r="A214" s="25" t="str">
        <f>IF(Enquiry!B214="","",IFERROR(Enquiry!C214,""))</f>
        <v/>
      </c>
      <c r="B214" s="25" t="str">
        <f>IF(Enquiry!B214="","",IFERROR(Enquiry!D214,""))</f>
        <v/>
      </c>
      <c r="C214" s="26"/>
      <c r="D214" s="26"/>
      <c r="E214" s="26"/>
      <c r="F214" s="26"/>
      <c r="G214" s="27" t="str">
        <f>IF(Enquiry!B214="","",IFERROR(Enquiry!K214,""))</f>
        <v/>
      </c>
    </row>
    <row r="215" spans="1:7" ht="19.5" customHeight="1" x14ac:dyDescent="0.35">
      <c r="A215" s="25" t="str">
        <f>IF(Enquiry!B215="","",IFERROR(Enquiry!C215,""))</f>
        <v/>
      </c>
      <c r="B215" s="25" t="str">
        <f>IF(Enquiry!B215="","",IFERROR(Enquiry!D215,""))</f>
        <v/>
      </c>
      <c r="C215" s="26"/>
      <c r="D215" s="26"/>
      <c r="E215" s="26"/>
      <c r="F215" s="26"/>
      <c r="G215" s="27" t="str">
        <f>IF(Enquiry!B215="","",IFERROR(Enquiry!K215,""))</f>
        <v/>
      </c>
    </row>
    <row r="216" spans="1:7" ht="19.5" customHeight="1" x14ac:dyDescent="0.35">
      <c r="A216" s="25" t="str">
        <f>IF(Enquiry!B216="","",IFERROR(Enquiry!C216,""))</f>
        <v/>
      </c>
      <c r="B216" s="25" t="str">
        <f>IF(Enquiry!B216="","",IFERROR(Enquiry!D216,""))</f>
        <v/>
      </c>
      <c r="C216" s="26"/>
      <c r="D216" s="26"/>
      <c r="E216" s="26"/>
      <c r="F216" s="26"/>
      <c r="G216" s="27" t="str">
        <f>IF(Enquiry!B216="","",IFERROR(Enquiry!K216,""))</f>
        <v/>
      </c>
    </row>
    <row r="217" spans="1:7" ht="19.5" customHeight="1" x14ac:dyDescent="0.35">
      <c r="A217" s="25" t="str">
        <f>IF(Enquiry!B217="","",IFERROR(Enquiry!C217,""))</f>
        <v/>
      </c>
      <c r="B217" s="25" t="str">
        <f>IF(Enquiry!B217="","",IFERROR(Enquiry!D217,""))</f>
        <v/>
      </c>
      <c r="C217" s="26"/>
      <c r="D217" s="26"/>
      <c r="E217" s="26"/>
      <c r="F217" s="26"/>
      <c r="G217" s="27" t="str">
        <f>IF(Enquiry!B217="","",IFERROR(Enquiry!K217,""))</f>
        <v/>
      </c>
    </row>
    <row r="218" spans="1:7" ht="19.5" customHeight="1" x14ac:dyDescent="0.35">
      <c r="A218" s="25" t="str">
        <f>IF(Enquiry!B218="","",IFERROR(Enquiry!C218,""))</f>
        <v/>
      </c>
      <c r="B218" s="25" t="str">
        <f>IF(Enquiry!B218="","",IFERROR(Enquiry!D218,""))</f>
        <v/>
      </c>
      <c r="C218" s="26"/>
      <c r="D218" s="26"/>
      <c r="E218" s="26"/>
      <c r="F218" s="26"/>
      <c r="G218" s="27" t="str">
        <f>IF(Enquiry!B218="","",IFERROR(Enquiry!K218,""))</f>
        <v/>
      </c>
    </row>
    <row r="219" spans="1:7" ht="19.5" customHeight="1" x14ac:dyDescent="0.35">
      <c r="A219" s="25" t="str">
        <f>IF(Enquiry!B219="","",IFERROR(Enquiry!C219,""))</f>
        <v/>
      </c>
      <c r="B219" s="25" t="str">
        <f>IF(Enquiry!B219="","",IFERROR(Enquiry!D219,""))</f>
        <v/>
      </c>
      <c r="C219" s="26"/>
      <c r="D219" s="26"/>
      <c r="E219" s="26"/>
      <c r="F219" s="26"/>
      <c r="G219" s="27" t="str">
        <f>IF(Enquiry!B219="","",IFERROR(Enquiry!K219,""))</f>
        <v/>
      </c>
    </row>
    <row r="220" spans="1:7" ht="19.5" customHeight="1" x14ac:dyDescent="0.35">
      <c r="A220" s="25" t="str">
        <f>IF(Enquiry!B220="","",IFERROR(Enquiry!C220,""))</f>
        <v/>
      </c>
      <c r="B220" s="25" t="str">
        <f>IF(Enquiry!B220="","",IFERROR(Enquiry!D220,""))</f>
        <v/>
      </c>
      <c r="C220" s="26"/>
      <c r="D220" s="26"/>
      <c r="E220" s="26"/>
      <c r="F220" s="26"/>
      <c r="G220" s="27" t="str">
        <f>IF(Enquiry!B220="","",IFERROR(Enquiry!K220,""))</f>
        <v/>
      </c>
    </row>
    <row r="221" spans="1:7" ht="19.5" customHeight="1" x14ac:dyDescent="0.35">
      <c r="A221" s="25" t="str">
        <f>IF(Enquiry!B221="","",IFERROR(Enquiry!C221,""))</f>
        <v/>
      </c>
      <c r="B221" s="25" t="str">
        <f>IF(Enquiry!B221="","",IFERROR(Enquiry!D221,""))</f>
        <v/>
      </c>
      <c r="C221" s="26"/>
      <c r="D221" s="26"/>
      <c r="E221" s="26"/>
      <c r="F221" s="26"/>
      <c r="G221" s="27" t="str">
        <f>IF(Enquiry!B221="","",IFERROR(Enquiry!K221,""))</f>
        <v/>
      </c>
    </row>
    <row r="222" spans="1:7" ht="19.5" customHeight="1" x14ac:dyDescent="0.35">
      <c r="A222" s="25" t="str">
        <f>IF(Enquiry!B222="","",IFERROR(Enquiry!C222,""))</f>
        <v/>
      </c>
      <c r="B222" s="25" t="str">
        <f>IF(Enquiry!B222="","",IFERROR(Enquiry!D222,""))</f>
        <v/>
      </c>
      <c r="C222" s="26"/>
      <c r="D222" s="26"/>
      <c r="E222" s="26"/>
      <c r="F222" s="26"/>
      <c r="G222" s="27" t="str">
        <f>IF(Enquiry!B222="","",IFERROR(Enquiry!K222,""))</f>
        <v/>
      </c>
    </row>
    <row r="223" spans="1:7" ht="19.5" customHeight="1" x14ac:dyDescent="0.35">
      <c r="A223" s="25" t="str">
        <f>IF(Enquiry!B223="","",IFERROR(Enquiry!C223,""))</f>
        <v/>
      </c>
      <c r="B223" s="25" t="str">
        <f>IF(Enquiry!B223="","",IFERROR(Enquiry!D223,""))</f>
        <v/>
      </c>
      <c r="C223" s="26"/>
      <c r="D223" s="26"/>
      <c r="E223" s="26"/>
      <c r="F223" s="26"/>
      <c r="G223" s="27" t="str">
        <f>IF(Enquiry!B223="","",IFERROR(Enquiry!K223,""))</f>
        <v/>
      </c>
    </row>
    <row r="224" spans="1:7" ht="19.5" customHeight="1" x14ac:dyDescent="0.35">
      <c r="A224" s="25" t="str">
        <f>IF(Enquiry!B224="","",IFERROR(Enquiry!C224,""))</f>
        <v/>
      </c>
      <c r="B224" s="25" t="str">
        <f>IF(Enquiry!B224="","",IFERROR(Enquiry!D224,""))</f>
        <v/>
      </c>
      <c r="C224" s="26"/>
      <c r="D224" s="26"/>
      <c r="E224" s="26"/>
      <c r="F224" s="26"/>
      <c r="G224" s="27" t="str">
        <f>IF(Enquiry!B224="","",IFERROR(Enquiry!K224,""))</f>
        <v/>
      </c>
    </row>
    <row r="225" spans="1:7" ht="19.5" customHeight="1" x14ac:dyDescent="0.35">
      <c r="A225" s="25" t="str">
        <f>IF(Enquiry!B225="","",IFERROR(Enquiry!C225,""))</f>
        <v/>
      </c>
      <c r="B225" s="25" t="str">
        <f>IF(Enquiry!B225="","",IFERROR(Enquiry!D225,""))</f>
        <v/>
      </c>
      <c r="C225" s="26"/>
      <c r="D225" s="26"/>
      <c r="E225" s="26"/>
      <c r="F225" s="26"/>
      <c r="G225" s="27" t="str">
        <f>IF(Enquiry!B225="","",IFERROR(Enquiry!K225,""))</f>
        <v/>
      </c>
    </row>
    <row r="226" spans="1:7" ht="19.5" customHeight="1" x14ac:dyDescent="0.35">
      <c r="A226" s="25" t="str">
        <f>IF(Enquiry!B226="","",IFERROR(Enquiry!C226,""))</f>
        <v/>
      </c>
      <c r="B226" s="25" t="str">
        <f>IF(Enquiry!B226="","",IFERROR(Enquiry!D226,""))</f>
        <v/>
      </c>
      <c r="C226" s="26"/>
      <c r="D226" s="26"/>
      <c r="E226" s="26"/>
      <c r="F226" s="26"/>
      <c r="G226" s="27" t="str">
        <f>IF(Enquiry!B226="","",IFERROR(Enquiry!K226,""))</f>
        <v/>
      </c>
    </row>
    <row r="227" spans="1:7" ht="19.5" customHeight="1" x14ac:dyDescent="0.35">
      <c r="A227" s="25" t="str">
        <f>IF(Enquiry!B227="","",IFERROR(Enquiry!C227,""))</f>
        <v/>
      </c>
      <c r="B227" s="25" t="str">
        <f>IF(Enquiry!B227="","",IFERROR(Enquiry!D227,""))</f>
        <v/>
      </c>
      <c r="C227" s="26"/>
      <c r="D227" s="26"/>
      <c r="E227" s="26"/>
      <c r="F227" s="26"/>
      <c r="G227" s="27" t="str">
        <f>IF(Enquiry!B227="","",IFERROR(Enquiry!K227,""))</f>
        <v/>
      </c>
    </row>
    <row r="228" spans="1:7" ht="19.5" customHeight="1" x14ac:dyDescent="0.35">
      <c r="A228" s="25" t="str">
        <f>IF(Enquiry!B228="","",IFERROR(Enquiry!C228,""))</f>
        <v/>
      </c>
      <c r="B228" s="25" t="str">
        <f>IF(Enquiry!B228="","",IFERROR(Enquiry!D228,""))</f>
        <v/>
      </c>
      <c r="C228" s="26"/>
      <c r="D228" s="26"/>
      <c r="E228" s="26"/>
      <c r="F228" s="26"/>
      <c r="G228" s="27" t="str">
        <f>IF(Enquiry!B228="","",IFERROR(Enquiry!K228,""))</f>
        <v/>
      </c>
    </row>
    <row r="229" spans="1:7" ht="19.5" customHeight="1" x14ac:dyDescent="0.35">
      <c r="A229" s="25" t="str">
        <f>IF(Enquiry!B229="","",IFERROR(Enquiry!C229,""))</f>
        <v/>
      </c>
      <c r="B229" s="25" t="str">
        <f>IF(Enquiry!B229="","",IFERROR(Enquiry!D229,""))</f>
        <v/>
      </c>
      <c r="C229" s="26"/>
      <c r="D229" s="26"/>
      <c r="E229" s="26"/>
      <c r="F229" s="26"/>
      <c r="G229" s="27" t="str">
        <f>IF(Enquiry!B229="","",IFERROR(Enquiry!K229,""))</f>
        <v/>
      </c>
    </row>
    <row r="230" spans="1:7" ht="19.5" customHeight="1" x14ac:dyDescent="0.35">
      <c r="A230" s="25" t="str">
        <f>IF(Enquiry!B230="","",IFERROR(Enquiry!C230,""))</f>
        <v/>
      </c>
      <c r="B230" s="25" t="str">
        <f>IF(Enquiry!B230="","",IFERROR(Enquiry!D230,""))</f>
        <v/>
      </c>
      <c r="C230" s="26"/>
      <c r="D230" s="26"/>
      <c r="E230" s="26"/>
      <c r="F230" s="26"/>
      <c r="G230" s="27" t="str">
        <f>IF(Enquiry!B230="","",IFERROR(Enquiry!K230,""))</f>
        <v/>
      </c>
    </row>
    <row r="231" spans="1:7" ht="19.5" customHeight="1" x14ac:dyDescent="0.35">
      <c r="A231" s="25" t="str">
        <f>IF(Enquiry!B231="","",IFERROR(Enquiry!C231,""))</f>
        <v/>
      </c>
      <c r="B231" s="25" t="str">
        <f>IF(Enquiry!B231="","",IFERROR(Enquiry!D231,""))</f>
        <v/>
      </c>
      <c r="C231" s="26"/>
      <c r="D231" s="26"/>
      <c r="E231" s="26"/>
      <c r="F231" s="26"/>
      <c r="G231" s="27" t="str">
        <f>IF(Enquiry!B231="","",IFERROR(Enquiry!K231,""))</f>
        <v/>
      </c>
    </row>
    <row r="232" spans="1:7" ht="19.5" customHeight="1" x14ac:dyDescent="0.35">
      <c r="A232" s="25" t="str">
        <f>IF(Enquiry!B232="","",IFERROR(Enquiry!C232,""))</f>
        <v/>
      </c>
      <c r="B232" s="25" t="str">
        <f>IF(Enquiry!B232="","",IFERROR(Enquiry!D232,""))</f>
        <v/>
      </c>
      <c r="C232" s="26"/>
      <c r="D232" s="26"/>
      <c r="E232" s="26"/>
      <c r="F232" s="26"/>
      <c r="G232" s="27" t="str">
        <f>IF(Enquiry!B232="","",IFERROR(Enquiry!K232,""))</f>
        <v/>
      </c>
    </row>
    <row r="233" spans="1:7" ht="19.5" customHeight="1" x14ac:dyDescent="0.35">
      <c r="A233" s="25" t="str">
        <f>IF(Enquiry!B233="","",IFERROR(Enquiry!C233,""))</f>
        <v/>
      </c>
      <c r="B233" s="25" t="str">
        <f>IF(Enquiry!B233="","",IFERROR(Enquiry!D233,""))</f>
        <v/>
      </c>
      <c r="C233" s="26"/>
      <c r="D233" s="26"/>
      <c r="E233" s="26"/>
      <c r="F233" s="26"/>
      <c r="G233" s="27" t="str">
        <f>IF(Enquiry!B233="","",IFERROR(Enquiry!K233,""))</f>
        <v/>
      </c>
    </row>
    <row r="234" spans="1:7" ht="19.5" customHeight="1" x14ac:dyDescent="0.35">
      <c r="A234" s="25" t="str">
        <f>IF(Enquiry!B234="","",IFERROR(Enquiry!C234,""))</f>
        <v/>
      </c>
      <c r="B234" s="25" t="str">
        <f>IF(Enquiry!B234="","",IFERROR(Enquiry!D234,""))</f>
        <v/>
      </c>
      <c r="C234" s="26"/>
      <c r="D234" s="26"/>
      <c r="E234" s="26"/>
      <c r="F234" s="26"/>
      <c r="G234" s="27" t="str">
        <f>IF(Enquiry!B234="","",IFERROR(Enquiry!K234,""))</f>
        <v/>
      </c>
    </row>
    <row r="235" spans="1:7" ht="19.5" customHeight="1" x14ac:dyDescent="0.35">
      <c r="A235" s="25" t="str">
        <f>IF(Enquiry!B235="","",IFERROR(Enquiry!C235,""))</f>
        <v/>
      </c>
      <c r="B235" s="25" t="str">
        <f>IF(Enquiry!B235="","",IFERROR(Enquiry!D235,""))</f>
        <v/>
      </c>
      <c r="C235" s="26"/>
      <c r="D235" s="26"/>
      <c r="E235" s="26"/>
      <c r="F235" s="26"/>
      <c r="G235" s="27" t="str">
        <f>IF(Enquiry!B235="","",IFERROR(Enquiry!K235,""))</f>
        <v/>
      </c>
    </row>
    <row r="236" spans="1:7" ht="19.5" customHeight="1" x14ac:dyDescent="0.35">
      <c r="A236" s="25" t="str">
        <f>IF(Enquiry!B236="","",IFERROR(Enquiry!C236,""))</f>
        <v/>
      </c>
      <c r="B236" s="25" t="str">
        <f>IF(Enquiry!B236="","",IFERROR(Enquiry!D236,""))</f>
        <v/>
      </c>
      <c r="C236" s="26"/>
      <c r="D236" s="26"/>
      <c r="E236" s="26"/>
      <c r="F236" s="26"/>
      <c r="G236" s="27" t="str">
        <f>IF(Enquiry!B236="","",IFERROR(Enquiry!K236,""))</f>
        <v/>
      </c>
    </row>
    <row r="237" spans="1:7" ht="19.5" customHeight="1" x14ac:dyDescent="0.35">
      <c r="A237" s="25" t="str">
        <f>IF(Enquiry!B237="","",IFERROR(Enquiry!C237,""))</f>
        <v/>
      </c>
      <c r="B237" s="25" t="str">
        <f>IF(Enquiry!B237="","",IFERROR(Enquiry!D237,""))</f>
        <v/>
      </c>
      <c r="C237" s="26"/>
      <c r="D237" s="26"/>
      <c r="E237" s="26"/>
      <c r="F237" s="26"/>
      <c r="G237" s="27" t="str">
        <f>IF(Enquiry!B237="","",IFERROR(Enquiry!K237,""))</f>
        <v/>
      </c>
    </row>
    <row r="238" spans="1:7" ht="19.5" customHeight="1" x14ac:dyDescent="0.35">
      <c r="A238" s="25" t="str">
        <f>IF(Enquiry!B238="","",IFERROR(Enquiry!C238,""))</f>
        <v/>
      </c>
      <c r="B238" s="25" t="str">
        <f>IF(Enquiry!B238="","",IFERROR(Enquiry!D238,""))</f>
        <v/>
      </c>
      <c r="C238" s="26"/>
      <c r="D238" s="26"/>
      <c r="E238" s="26"/>
      <c r="F238" s="26"/>
      <c r="G238" s="27" t="str">
        <f>IF(Enquiry!B238="","",IFERROR(Enquiry!K238,""))</f>
        <v/>
      </c>
    </row>
    <row r="239" spans="1:7" ht="19.5" customHeight="1" x14ac:dyDescent="0.35">
      <c r="A239" s="25" t="str">
        <f>IF(Enquiry!B239="","",IFERROR(Enquiry!C239,""))</f>
        <v/>
      </c>
      <c r="B239" s="25" t="str">
        <f>IF(Enquiry!B239="","",IFERROR(Enquiry!D239,""))</f>
        <v/>
      </c>
      <c r="C239" s="26"/>
      <c r="D239" s="26"/>
      <c r="E239" s="26"/>
      <c r="F239" s="26"/>
      <c r="G239" s="27" t="str">
        <f>IF(Enquiry!B239="","",IFERROR(Enquiry!K239,""))</f>
        <v/>
      </c>
    </row>
    <row r="240" spans="1:7" ht="19.5" customHeight="1" x14ac:dyDescent="0.35">
      <c r="A240" s="25" t="str">
        <f>IF(Enquiry!B240="","",IFERROR(Enquiry!C240,""))</f>
        <v/>
      </c>
      <c r="B240" s="25" t="str">
        <f>IF(Enquiry!B240="","",IFERROR(Enquiry!D240,""))</f>
        <v/>
      </c>
      <c r="C240" s="26"/>
      <c r="D240" s="26"/>
      <c r="E240" s="26"/>
      <c r="F240" s="26"/>
      <c r="G240" s="27" t="str">
        <f>IF(Enquiry!B240="","",IFERROR(Enquiry!K240,""))</f>
        <v/>
      </c>
    </row>
    <row r="241" spans="1:7" ht="19.5" customHeight="1" x14ac:dyDescent="0.35">
      <c r="A241" s="25" t="str">
        <f>IF(Enquiry!B241="","",IFERROR(Enquiry!C241,""))</f>
        <v/>
      </c>
      <c r="B241" s="25" t="str">
        <f>IF(Enquiry!B241="","",IFERROR(Enquiry!D241,""))</f>
        <v/>
      </c>
      <c r="C241" s="26"/>
      <c r="D241" s="26"/>
      <c r="E241" s="26"/>
      <c r="F241" s="26"/>
      <c r="G241" s="27" t="str">
        <f>IF(Enquiry!B241="","",IFERROR(Enquiry!K241,""))</f>
        <v/>
      </c>
    </row>
    <row r="242" spans="1:7" ht="19.5" customHeight="1" x14ac:dyDescent="0.35">
      <c r="A242" s="25" t="str">
        <f>IF(Enquiry!B242="","",IFERROR(Enquiry!C242,""))</f>
        <v/>
      </c>
      <c r="B242" s="25" t="str">
        <f>IF(Enquiry!B242="","",IFERROR(Enquiry!D242,""))</f>
        <v/>
      </c>
      <c r="C242" s="26"/>
      <c r="D242" s="26"/>
      <c r="E242" s="26"/>
      <c r="F242" s="26"/>
      <c r="G242" s="27" t="str">
        <f>IF(Enquiry!B242="","",IFERROR(Enquiry!K242,""))</f>
        <v/>
      </c>
    </row>
    <row r="243" spans="1:7" ht="19.5" customHeight="1" x14ac:dyDescent="0.35">
      <c r="A243" s="25" t="str">
        <f>IF(Enquiry!B243="","",IFERROR(Enquiry!C243,""))</f>
        <v/>
      </c>
      <c r="B243" s="25" t="str">
        <f>IF(Enquiry!B243="","",IFERROR(Enquiry!D243,""))</f>
        <v/>
      </c>
      <c r="C243" s="26"/>
      <c r="D243" s="26"/>
      <c r="E243" s="26"/>
      <c r="F243" s="26"/>
      <c r="G243" s="27" t="str">
        <f>IF(Enquiry!B243="","",IFERROR(Enquiry!K243,""))</f>
        <v/>
      </c>
    </row>
    <row r="244" spans="1:7" ht="19.5" customHeight="1" x14ac:dyDescent="0.35">
      <c r="A244" s="25" t="str">
        <f>IF(Enquiry!B244="","",IFERROR(Enquiry!C244,""))</f>
        <v/>
      </c>
      <c r="B244" s="25" t="str">
        <f>IF(Enquiry!B244="","",IFERROR(Enquiry!D244,""))</f>
        <v/>
      </c>
      <c r="C244" s="26"/>
      <c r="D244" s="26"/>
      <c r="E244" s="26"/>
      <c r="F244" s="26"/>
      <c r="G244" s="27" t="str">
        <f>IF(Enquiry!B244="","",IFERROR(Enquiry!K244,""))</f>
        <v/>
      </c>
    </row>
    <row r="245" spans="1:7" ht="19.5" customHeight="1" x14ac:dyDescent="0.35">
      <c r="A245" s="25" t="str">
        <f>IF(Enquiry!B245="","",IFERROR(Enquiry!C245,""))</f>
        <v/>
      </c>
      <c r="B245" s="25" t="str">
        <f>IF(Enquiry!B245="","",IFERROR(Enquiry!D245,""))</f>
        <v/>
      </c>
      <c r="C245" s="26"/>
      <c r="D245" s="26"/>
      <c r="E245" s="26"/>
      <c r="F245" s="26"/>
      <c r="G245" s="27" t="str">
        <f>IF(Enquiry!B245="","",IFERROR(Enquiry!K245,""))</f>
        <v/>
      </c>
    </row>
    <row r="246" spans="1:7" ht="19.5" customHeight="1" x14ac:dyDescent="0.35">
      <c r="A246" s="25" t="str">
        <f>IF(Enquiry!B246="","",IFERROR(Enquiry!C246,""))</f>
        <v/>
      </c>
      <c r="B246" s="25" t="str">
        <f>IF(Enquiry!B246="","",IFERROR(Enquiry!D246,""))</f>
        <v/>
      </c>
      <c r="C246" s="26"/>
      <c r="D246" s="26"/>
      <c r="E246" s="26"/>
      <c r="F246" s="26"/>
      <c r="G246" s="27" t="str">
        <f>IF(Enquiry!B246="","",IFERROR(Enquiry!K246,""))</f>
        <v/>
      </c>
    </row>
    <row r="247" spans="1:7" ht="19.5" customHeight="1" x14ac:dyDescent="0.35">
      <c r="A247" s="25" t="str">
        <f>IF(Enquiry!B247="","",IFERROR(Enquiry!C247,""))</f>
        <v/>
      </c>
      <c r="B247" s="25" t="str">
        <f>IF(Enquiry!B247="","",IFERROR(Enquiry!D247,""))</f>
        <v/>
      </c>
      <c r="C247" s="26"/>
      <c r="D247" s="26"/>
      <c r="E247" s="26"/>
      <c r="F247" s="26"/>
      <c r="G247" s="27" t="str">
        <f>IF(Enquiry!B247="","",IFERROR(Enquiry!K247,""))</f>
        <v/>
      </c>
    </row>
    <row r="248" spans="1:7" ht="19.5" customHeight="1" x14ac:dyDescent="0.35">
      <c r="A248" s="25" t="str">
        <f>IF(Enquiry!B248="","",IFERROR(Enquiry!C248,""))</f>
        <v/>
      </c>
      <c r="B248" s="25" t="str">
        <f>IF(Enquiry!B248="","",IFERROR(Enquiry!D248,""))</f>
        <v/>
      </c>
      <c r="C248" s="26"/>
      <c r="D248" s="26"/>
      <c r="E248" s="26"/>
      <c r="F248" s="26"/>
      <c r="G248" s="27" t="str">
        <f>IF(Enquiry!B248="","",IFERROR(Enquiry!K248,""))</f>
        <v/>
      </c>
    </row>
    <row r="249" spans="1:7" ht="19.5" customHeight="1" x14ac:dyDescent="0.35">
      <c r="A249" s="25" t="str">
        <f>IF(Enquiry!B249="","",IFERROR(Enquiry!C249,""))</f>
        <v/>
      </c>
      <c r="B249" s="25" t="str">
        <f>IF(Enquiry!B249="","",IFERROR(Enquiry!D249,""))</f>
        <v/>
      </c>
      <c r="C249" s="26"/>
      <c r="D249" s="26"/>
      <c r="E249" s="26"/>
      <c r="F249" s="26"/>
      <c r="G249" s="27" t="str">
        <f>IF(Enquiry!B249="","",IFERROR(Enquiry!K249,""))</f>
        <v/>
      </c>
    </row>
    <row r="250" spans="1:7" ht="19.5" customHeight="1" x14ac:dyDescent="0.35">
      <c r="A250" s="25" t="str">
        <f>IF(Enquiry!B250="","",IFERROR(Enquiry!C250,""))</f>
        <v/>
      </c>
      <c r="B250" s="25" t="str">
        <f>IF(Enquiry!B250="","",IFERROR(Enquiry!D250,""))</f>
        <v/>
      </c>
      <c r="C250" s="26"/>
      <c r="D250" s="26"/>
      <c r="E250" s="26"/>
      <c r="F250" s="26"/>
      <c r="G250" s="27" t="str">
        <f>IF(Enquiry!B250="","",IFERROR(Enquiry!K250,""))</f>
        <v/>
      </c>
    </row>
    <row r="251" spans="1:7" ht="19.5" customHeight="1" x14ac:dyDescent="0.35">
      <c r="A251" s="25" t="str">
        <f>IF(Enquiry!B251="","",IFERROR(Enquiry!C251,""))</f>
        <v/>
      </c>
      <c r="B251" s="25" t="str">
        <f>IF(Enquiry!B251="","",IFERROR(Enquiry!D251,""))</f>
        <v/>
      </c>
      <c r="C251" s="26"/>
      <c r="D251" s="26"/>
      <c r="E251" s="26"/>
      <c r="F251" s="26"/>
      <c r="G251" s="27" t="str">
        <f>IF(Enquiry!B251="","",IFERROR(Enquiry!K251,""))</f>
        <v/>
      </c>
    </row>
    <row r="252" spans="1:7" ht="19.5" customHeight="1" x14ac:dyDescent="0.35">
      <c r="A252" s="25" t="str">
        <f>IF(Enquiry!B252="","",IFERROR(Enquiry!C252,""))</f>
        <v/>
      </c>
      <c r="B252" s="25" t="str">
        <f>IF(Enquiry!B252="","",IFERROR(Enquiry!D252,""))</f>
        <v/>
      </c>
      <c r="C252" s="26"/>
      <c r="D252" s="26"/>
      <c r="E252" s="26"/>
      <c r="F252" s="26"/>
      <c r="G252" s="27" t="str">
        <f>IF(Enquiry!B252="","",IFERROR(Enquiry!K252,""))</f>
        <v/>
      </c>
    </row>
    <row r="253" spans="1:7" ht="19.5" customHeight="1" x14ac:dyDescent="0.35">
      <c r="A253" s="25" t="str">
        <f>IF(Enquiry!B253="","",IFERROR(Enquiry!C253,""))</f>
        <v/>
      </c>
      <c r="B253" s="25" t="str">
        <f>IF(Enquiry!B253="","",IFERROR(Enquiry!D253,""))</f>
        <v/>
      </c>
      <c r="C253" s="26"/>
      <c r="D253" s="26"/>
      <c r="E253" s="26"/>
      <c r="F253" s="26"/>
      <c r="G253" s="27" t="str">
        <f>IF(Enquiry!B253="","",IFERROR(Enquiry!K253,""))</f>
        <v/>
      </c>
    </row>
    <row r="254" spans="1:7" ht="19.5" customHeight="1" x14ac:dyDescent="0.35">
      <c r="A254" s="25" t="str">
        <f>IF(Enquiry!B254="","",IFERROR(Enquiry!C254,""))</f>
        <v/>
      </c>
      <c r="B254" s="25" t="str">
        <f>IF(Enquiry!B254="","",IFERROR(Enquiry!D254,""))</f>
        <v/>
      </c>
      <c r="C254" s="26"/>
      <c r="D254" s="26"/>
      <c r="E254" s="26"/>
      <c r="F254" s="26"/>
      <c r="G254" s="27" t="str">
        <f>IF(Enquiry!B254="","",IFERROR(Enquiry!K254,""))</f>
        <v/>
      </c>
    </row>
    <row r="255" spans="1:7" ht="19.5" customHeight="1" x14ac:dyDescent="0.35">
      <c r="A255" s="25" t="str">
        <f>IF(Enquiry!B255="","",IFERROR(Enquiry!C255,""))</f>
        <v/>
      </c>
      <c r="B255" s="25" t="str">
        <f>IF(Enquiry!B255="","",IFERROR(Enquiry!D255,""))</f>
        <v/>
      </c>
      <c r="C255" s="26"/>
      <c r="D255" s="26"/>
      <c r="E255" s="26"/>
      <c r="F255" s="26"/>
      <c r="G255" s="27" t="str">
        <f>IF(Enquiry!B255="","",IFERROR(Enquiry!K255,""))</f>
        <v/>
      </c>
    </row>
    <row r="256" spans="1:7" ht="19.5" customHeight="1" x14ac:dyDescent="0.35">
      <c r="A256" s="25" t="str">
        <f>IF(Enquiry!B256="","",IFERROR(Enquiry!C256,""))</f>
        <v/>
      </c>
      <c r="B256" s="25" t="str">
        <f>IF(Enquiry!B256="","",IFERROR(Enquiry!D256,""))</f>
        <v/>
      </c>
      <c r="C256" s="26"/>
      <c r="D256" s="26"/>
      <c r="E256" s="26"/>
      <c r="F256" s="26"/>
      <c r="G256" s="27" t="str">
        <f>IF(Enquiry!B256="","",IFERROR(Enquiry!K256,""))</f>
        <v/>
      </c>
    </row>
    <row r="257" spans="1:7" ht="19.5" customHeight="1" x14ac:dyDescent="0.35">
      <c r="A257" s="25" t="str">
        <f>IF(Enquiry!B257="","",IFERROR(Enquiry!C257,""))</f>
        <v/>
      </c>
      <c r="B257" s="25" t="str">
        <f>IF(Enquiry!B257="","",IFERROR(Enquiry!D257,""))</f>
        <v/>
      </c>
      <c r="C257" s="26"/>
      <c r="D257" s="26"/>
      <c r="E257" s="26"/>
      <c r="F257" s="26"/>
      <c r="G257" s="27" t="str">
        <f>IF(Enquiry!B257="","",IFERROR(Enquiry!K257,""))</f>
        <v/>
      </c>
    </row>
    <row r="258" spans="1:7" ht="19.5" customHeight="1" x14ac:dyDescent="0.35">
      <c r="A258" s="25" t="str">
        <f>IF(Enquiry!B258="","",IFERROR(Enquiry!C258,""))</f>
        <v/>
      </c>
      <c r="B258" s="25" t="str">
        <f>IF(Enquiry!B258="","",IFERROR(Enquiry!D258,""))</f>
        <v/>
      </c>
      <c r="C258" s="26"/>
      <c r="D258" s="26"/>
      <c r="E258" s="26"/>
      <c r="F258" s="26"/>
      <c r="G258" s="27" t="str">
        <f>IF(Enquiry!B258="","",IFERROR(Enquiry!K258,""))</f>
        <v/>
      </c>
    </row>
    <row r="259" spans="1:7" ht="19.5" customHeight="1" x14ac:dyDescent="0.35">
      <c r="A259" s="25" t="str">
        <f>IF(Enquiry!B259="","",IFERROR(Enquiry!C259,""))</f>
        <v/>
      </c>
      <c r="B259" s="25" t="str">
        <f>IF(Enquiry!B259="","",IFERROR(Enquiry!D259,""))</f>
        <v/>
      </c>
      <c r="C259" s="26"/>
      <c r="D259" s="26"/>
      <c r="E259" s="26"/>
      <c r="F259" s="26"/>
      <c r="G259" s="27" t="str">
        <f>IF(Enquiry!B259="","",IFERROR(Enquiry!K259,""))</f>
        <v/>
      </c>
    </row>
    <row r="260" spans="1:7" ht="19.5" customHeight="1" x14ac:dyDescent="0.35">
      <c r="A260" s="25" t="str">
        <f>IF(Enquiry!B260="","",IFERROR(Enquiry!C260,""))</f>
        <v/>
      </c>
      <c r="B260" s="25" t="str">
        <f>IF(Enquiry!B260="","",IFERROR(Enquiry!D260,""))</f>
        <v/>
      </c>
      <c r="C260" s="26"/>
      <c r="D260" s="26"/>
      <c r="E260" s="26"/>
      <c r="F260" s="26"/>
      <c r="G260" s="27" t="str">
        <f>IF(Enquiry!B260="","",IFERROR(Enquiry!K260,""))</f>
        <v/>
      </c>
    </row>
    <row r="261" spans="1:7" ht="19.5" customHeight="1" x14ac:dyDescent="0.35">
      <c r="A261" s="25" t="str">
        <f>IF(Enquiry!B261="","",IFERROR(Enquiry!C261,""))</f>
        <v/>
      </c>
      <c r="B261" s="25" t="str">
        <f>IF(Enquiry!B261="","",IFERROR(Enquiry!D261,""))</f>
        <v/>
      </c>
      <c r="C261" s="26"/>
      <c r="D261" s="26"/>
      <c r="E261" s="26"/>
      <c r="F261" s="26"/>
      <c r="G261" s="27" t="str">
        <f>IF(Enquiry!B261="","",IFERROR(Enquiry!K261,""))</f>
        <v/>
      </c>
    </row>
    <row r="262" spans="1:7" ht="19.5" customHeight="1" x14ac:dyDescent="0.35">
      <c r="A262" s="25" t="str">
        <f>IF(Enquiry!B262="","",IFERROR(Enquiry!C262,""))</f>
        <v/>
      </c>
      <c r="B262" s="25" t="str">
        <f>IF(Enquiry!B262="","",IFERROR(Enquiry!D262,""))</f>
        <v/>
      </c>
      <c r="C262" s="26"/>
      <c r="D262" s="26"/>
      <c r="E262" s="26"/>
      <c r="F262" s="26"/>
      <c r="G262" s="27" t="str">
        <f>IF(Enquiry!B262="","",IFERROR(Enquiry!K262,""))</f>
        <v/>
      </c>
    </row>
    <row r="263" spans="1:7" ht="19.5" customHeight="1" x14ac:dyDescent="0.35">
      <c r="A263" s="25" t="str">
        <f>IF(Enquiry!B263="","",IFERROR(Enquiry!C263,""))</f>
        <v/>
      </c>
      <c r="B263" s="25" t="str">
        <f>IF(Enquiry!B263="","",IFERROR(Enquiry!D263,""))</f>
        <v/>
      </c>
      <c r="C263" s="26"/>
      <c r="D263" s="26"/>
      <c r="E263" s="26"/>
      <c r="F263" s="26"/>
      <c r="G263" s="27" t="str">
        <f>IF(Enquiry!B263="","",IFERROR(Enquiry!K263,""))</f>
        <v/>
      </c>
    </row>
    <row r="264" spans="1:7" ht="19.5" customHeight="1" x14ac:dyDescent="0.35">
      <c r="A264" s="25" t="str">
        <f>IF(Enquiry!B264="","",IFERROR(Enquiry!C264,""))</f>
        <v/>
      </c>
      <c r="B264" s="25" t="str">
        <f>IF(Enquiry!B264="","",IFERROR(Enquiry!D264,""))</f>
        <v/>
      </c>
      <c r="C264" s="26"/>
      <c r="D264" s="26"/>
      <c r="E264" s="26"/>
      <c r="F264" s="26"/>
      <c r="G264" s="27" t="str">
        <f>IF(Enquiry!B264="","",IFERROR(Enquiry!K264,""))</f>
        <v/>
      </c>
    </row>
    <row r="265" spans="1:7" ht="19.5" customHeight="1" x14ac:dyDescent="0.35">
      <c r="A265" s="25" t="str">
        <f>IF(Enquiry!B265="","",IFERROR(Enquiry!C265,""))</f>
        <v/>
      </c>
      <c r="B265" s="25" t="str">
        <f>IF(Enquiry!B265="","",IFERROR(Enquiry!D265,""))</f>
        <v/>
      </c>
      <c r="C265" s="26"/>
      <c r="D265" s="26"/>
      <c r="E265" s="26"/>
      <c r="F265" s="26"/>
      <c r="G265" s="27" t="str">
        <f>IF(Enquiry!B265="","",IFERROR(Enquiry!K265,""))</f>
        <v/>
      </c>
    </row>
    <row r="266" spans="1:7" ht="19.5" customHeight="1" x14ac:dyDescent="0.35">
      <c r="A266" s="25" t="str">
        <f>IF(Enquiry!B266="","",IFERROR(Enquiry!C266,""))</f>
        <v/>
      </c>
      <c r="B266" s="25" t="str">
        <f>IF(Enquiry!B266="","",IFERROR(Enquiry!D266,""))</f>
        <v/>
      </c>
      <c r="C266" s="26"/>
      <c r="D266" s="26"/>
      <c r="E266" s="26"/>
      <c r="F266" s="26"/>
      <c r="G266" s="27" t="str">
        <f>IF(Enquiry!B266="","",IFERROR(Enquiry!K266,""))</f>
        <v/>
      </c>
    </row>
    <row r="267" spans="1:7" ht="19.5" customHeight="1" x14ac:dyDescent="0.35">
      <c r="A267" s="25" t="str">
        <f>IF(Enquiry!B267="","",IFERROR(Enquiry!C267,""))</f>
        <v/>
      </c>
      <c r="B267" s="25" t="str">
        <f>IF(Enquiry!B267="","",IFERROR(Enquiry!D267,""))</f>
        <v/>
      </c>
      <c r="C267" s="26"/>
      <c r="D267" s="26"/>
      <c r="E267" s="26"/>
      <c r="F267" s="26"/>
      <c r="G267" s="27" t="str">
        <f>IF(Enquiry!B267="","",IFERROR(Enquiry!K267,""))</f>
        <v/>
      </c>
    </row>
    <row r="268" spans="1:7" ht="19.5" customHeight="1" x14ac:dyDescent="0.35">
      <c r="A268" s="25" t="str">
        <f>IF(Enquiry!B268="","",IFERROR(Enquiry!C268,""))</f>
        <v/>
      </c>
      <c r="B268" s="25" t="str">
        <f>IF(Enquiry!B268="","",IFERROR(Enquiry!D268,""))</f>
        <v/>
      </c>
      <c r="C268" s="26"/>
      <c r="D268" s="26"/>
      <c r="E268" s="26"/>
      <c r="F268" s="26"/>
      <c r="G268" s="27" t="str">
        <f>IF(Enquiry!B268="","",IFERROR(Enquiry!K268,""))</f>
        <v/>
      </c>
    </row>
    <row r="269" spans="1:7" ht="19.5" customHeight="1" x14ac:dyDescent="0.35">
      <c r="A269" s="25" t="str">
        <f>IF(Enquiry!B269="","",IFERROR(Enquiry!C269,""))</f>
        <v/>
      </c>
      <c r="B269" s="25" t="str">
        <f>IF(Enquiry!B269="","",IFERROR(Enquiry!D269,""))</f>
        <v/>
      </c>
      <c r="C269" s="26"/>
      <c r="D269" s="26"/>
      <c r="E269" s="26"/>
      <c r="F269" s="26"/>
      <c r="G269" s="27" t="str">
        <f>IF(Enquiry!B269="","",IFERROR(Enquiry!K269,""))</f>
        <v/>
      </c>
    </row>
    <row r="270" spans="1:7" ht="19.5" customHeight="1" x14ac:dyDescent="0.35">
      <c r="A270" s="25" t="str">
        <f>IF(Enquiry!B270="","",IFERROR(Enquiry!C270,""))</f>
        <v/>
      </c>
      <c r="B270" s="25" t="str">
        <f>IF(Enquiry!B270="","",IFERROR(Enquiry!D270,""))</f>
        <v/>
      </c>
      <c r="C270" s="26"/>
      <c r="D270" s="26"/>
      <c r="E270" s="26"/>
      <c r="F270" s="26"/>
      <c r="G270" s="27" t="str">
        <f>IF(Enquiry!B270="","",IFERROR(Enquiry!K270,""))</f>
        <v/>
      </c>
    </row>
    <row r="271" spans="1:7" ht="19.5" customHeight="1" x14ac:dyDescent="0.35">
      <c r="A271" s="25" t="str">
        <f>IF(Enquiry!B271="","",IFERROR(Enquiry!C271,""))</f>
        <v/>
      </c>
      <c r="B271" s="25" t="str">
        <f>IF(Enquiry!B271="","",IFERROR(Enquiry!D271,""))</f>
        <v/>
      </c>
      <c r="C271" s="26"/>
      <c r="D271" s="26"/>
      <c r="E271" s="26"/>
      <c r="F271" s="26"/>
      <c r="G271" s="27" t="str">
        <f>IF(Enquiry!B271="","",IFERROR(Enquiry!K271,""))</f>
        <v/>
      </c>
    </row>
    <row r="272" spans="1:7" ht="19.5" customHeight="1" x14ac:dyDescent="0.35">
      <c r="A272" s="25" t="str">
        <f>IF(Enquiry!B272="","",IFERROR(Enquiry!C272,""))</f>
        <v/>
      </c>
      <c r="B272" s="25" t="str">
        <f>IF(Enquiry!B272="","",IFERROR(Enquiry!D272,""))</f>
        <v/>
      </c>
      <c r="C272" s="26"/>
      <c r="D272" s="26"/>
      <c r="E272" s="26"/>
      <c r="F272" s="26"/>
      <c r="G272" s="27" t="str">
        <f>IF(Enquiry!B272="","",IFERROR(Enquiry!K272,""))</f>
        <v/>
      </c>
    </row>
    <row r="273" spans="1:7" ht="19.5" customHeight="1" x14ac:dyDescent="0.35">
      <c r="A273" s="25" t="str">
        <f>IF(Enquiry!B273="","",IFERROR(Enquiry!C273,""))</f>
        <v/>
      </c>
      <c r="B273" s="25" t="str">
        <f>IF(Enquiry!B273="","",IFERROR(Enquiry!D273,""))</f>
        <v/>
      </c>
      <c r="C273" s="26"/>
      <c r="D273" s="26"/>
      <c r="E273" s="26"/>
      <c r="F273" s="26"/>
      <c r="G273" s="27" t="str">
        <f>IF(Enquiry!B273="","",IFERROR(Enquiry!K273,""))</f>
        <v/>
      </c>
    </row>
    <row r="274" spans="1:7" ht="19.5" customHeight="1" x14ac:dyDescent="0.35">
      <c r="A274" s="25" t="str">
        <f>IF(Enquiry!B274="","",IFERROR(Enquiry!C274,""))</f>
        <v/>
      </c>
      <c r="B274" s="25" t="str">
        <f>IF(Enquiry!B274="","",IFERROR(Enquiry!D274,""))</f>
        <v/>
      </c>
      <c r="C274" s="26"/>
      <c r="D274" s="26"/>
      <c r="E274" s="26"/>
      <c r="F274" s="26"/>
      <c r="G274" s="27" t="str">
        <f>IF(Enquiry!B274="","",IFERROR(Enquiry!K274,""))</f>
        <v/>
      </c>
    </row>
    <row r="275" spans="1:7" ht="19.5" customHeight="1" x14ac:dyDescent="0.35">
      <c r="A275" s="25" t="str">
        <f>IF(Enquiry!B275="","",IFERROR(Enquiry!C275,""))</f>
        <v/>
      </c>
      <c r="B275" s="25" t="str">
        <f>IF(Enquiry!B275="","",IFERROR(Enquiry!D275,""))</f>
        <v/>
      </c>
      <c r="C275" s="26"/>
      <c r="D275" s="26"/>
      <c r="E275" s="26"/>
      <c r="F275" s="26"/>
      <c r="G275" s="27" t="str">
        <f>IF(Enquiry!B275="","",IFERROR(Enquiry!K275,""))</f>
        <v/>
      </c>
    </row>
    <row r="276" spans="1:7" ht="19.5" customHeight="1" x14ac:dyDescent="0.35">
      <c r="A276" s="25" t="str">
        <f>IF(Enquiry!B276="","",IFERROR(Enquiry!C276,""))</f>
        <v/>
      </c>
      <c r="B276" s="25" t="str">
        <f>IF(Enquiry!B276="","",IFERROR(Enquiry!D276,""))</f>
        <v/>
      </c>
      <c r="C276" s="26"/>
      <c r="D276" s="26"/>
      <c r="E276" s="26"/>
      <c r="F276" s="26"/>
      <c r="G276" s="27" t="str">
        <f>IF(Enquiry!B276="","",IFERROR(Enquiry!K276,""))</f>
        <v/>
      </c>
    </row>
    <row r="277" spans="1:7" ht="19.5" customHeight="1" x14ac:dyDescent="0.35">
      <c r="A277" s="25" t="str">
        <f>IF(Enquiry!B277="","",IFERROR(Enquiry!C277,""))</f>
        <v/>
      </c>
      <c r="B277" s="25" t="str">
        <f>IF(Enquiry!B277="","",IFERROR(Enquiry!D277,""))</f>
        <v/>
      </c>
      <c r="C277" s="26"/>
      <c r="D277" s="26"/>
      <c r="E277" s="26"/>
      <c r="F277" s="26"/>
      <c r="G277" s="27" t="str">
        <f>IF(Enquiry!B277="","",IFERROR(Enquiry!K277,""))</f>
        <v/>
      </c>
    </row>
    <row r="278" spans="1:7" ht="19.5" customHeight="1" x14ac:dyDescent="0.35">
      <c r="A278" s="25" t="str">
        <f>IF(Enquiry!B278="","",IFERROR(Enquiry!C278,""))</f>
        <v/>
      </c>
      <c r="B278" s="25" t="str">
        <f>IF(Enquiry!B278="","",IFERROR(Enquiry!D278,""))</f>
        <v/>
      </c>
      <c r="C278" s="26"/>
      <c r="D278" s="26"/>
      <c r="E278" s="26"/>
      <c r="F278" s="26"/>
      <c r="G278" s="27" t="str">
        <f>IF(Enquiry!B278="","",IFERROR(Enquiry!K278,""))</f>
        <v/>
      </c>
    </row>
    <row r="279" spans="1:7" ht="19.5" customHeight="1" x14ac:dyDescent="0.35">
      <c r="A279" s="25" t="str">
        <f>IF(Enquiry!B279="","",IFERROR(Enquiry!C279,""))</f>
        <v/>
      </c>
      <c r="B279" s="25" t="str">
        <f>IF(Enquiry!B279="","",IFERROR(Enquiry!D279,""))</f>
        <v/>
      </c>
      <c r="C279" s="26"/>
      <c r="D279" s="26"/>
      <c r="E279" s="26"/>
      <c r="F279" s="26"/>
      <c r="G279" s="27" t="str">
        <f>IF(Enquiry!B279="","",IFERROR(Enquiry!K279,""))</f>
        <v/>
      </c>
    </row>
    <row r="280" spans="1:7" ht="19.5" customHeight="1" x14ac:dyDescent="0.35">
      <c r="A280" s="25" t="str">
        <f>IF(Enquiry!B280="","",IFERROR(Enquiry!C280,""))</f>
        <v/>
      </c>
      <c r="B280" s="25" t="str">
        <f>IF(Enquiry!B280="","",IFERROR(Enquiry!D280,""))</f>
        <v/>
      </c>
      <c r="C280" s="26"/>
      <c r="D280" s="26"/>
      <c r="E280" s="26"/>
      <c r="F280" s="26"/>
      <c r="G280" s="27" t="str">
        <f>IF(Enquiry!B280="","",IFERROR(Enquiry!K280,""))</f>
        <v/>
      </c>
    </row>
    <row r="281" spans="1:7" ht="19.5" customHeight="1" x14ac:dyDescent="0.35">
      <c r="A281" s="25" t="str">
        <f>IF(Enquiry!B281="","",IFERROR(Enquiry!C281,""))</f>
        <v/>
      </c>
      <c r="B281" s="25" t="str">
        <f>IF(Enquiry!B281="","",IFERROR(Enquiry!D281,""))</f>
        <v/>
      </c>
      <c r="C281" s="26"/>
      <c r="D281" s="26"/>
      <c r="E281" s="26"/>
      <c r="F281" s="26"/>
      <c r="G281" s="27" t="str">
        <f>IF(Enquiry!B281="","",IFERROR(Enquiry!K281,""))</f>
        <v/>
      </c>
    </row>
    <row r="282" spans="1:7" ht="19.5" customHeight="1" x14ac:dyDescent="0.35">
      <c r="A282" s="25" t="str">
        <f>IF(Enquiry!B282="","",IFERROR(Enquiry!C282,""))</f>
        <v/>
      </c>
      <c r="B282" s="25" t="str">
        <f>IF(Enquiry!B282="","",IFERROR(Enquiry!D282,""))</f>
        <v/>
      </c>
      <c r="C282" s="26"/>
      <c r="D282" s="26"/>
      <c r="E282" s="26"/>
      <c r="F282" s="26"/>
      <c r="G282" s="27" t="str">
        <f>IF(Enquiry!B282="","",IFERROR(Enquiry!K282,""))</f>
        <v/>
      </c>
    </row>
    <row r="283" spans="1:7" ht="19.5" customHeight="1" x14ac:dyDescent="0.35">
      <c r="A283" s="25" t="str">
        <f>IF(Enquiry!B283="","",IFERROR(Enquiry!C283,""))</f>
        <v/>
      </c>
      <c r="B283" s="25" t="str">
        <f>IF(Enquiry!B283="","",IFERROR(Enquiry!D283,""))</f>
        <v/>
      </c>
      <c r="C283" s="26"/>
      <c r="D283" s="26"/>
      <c r="E283" s="26"/>
      <c r="F283" s="26"/>
      <c r="G283" s="27" t="str">
        <f>IF(Enquiry!B283="","",IFERROR(Enquiry!K283,""))</f>
        <v/>
      </c>
    </row>
    <row r="284" spans="1:7" ht="19.5" customHeight="1" x14ac:dyDescent="0.35">
      <c r="A284" s="25" t="str">
        <f>IF(Enquiry!B284="","",IFERROR(Enquiry!C284,""))</f>
        <v/>
      </c>
      <c r="B284" s="25" t="str">
        <f>IF(Enquiry!B284="","",IFERROR(Enquiry!D284,""))</f>
        <v/>
      </c>
      <c r="C284" s="26"/>
      <c r="D284" s="26"/>
      <c r="E284" s="26"/>
      <c r="F284" s="26"/>
      <c r="G284" s="27" t="str">
        <f>IF(Enquiry!B284="","",IFERROR(Enquiry!K284,""))</f>
        <v/>
      </c>
    </row>
    <row r="285" spans="1:7" ht="19.5" customHeight="1" x14ac:dyDescent="0.35">
      <c r="A285" s="25" t="str">
        <f>IF(Enquiry!B285="","",IFERROR(Enquiry!C285,""))</f>
        <v/>
      </c>
      <c r="B285" s="25" t="str">
        <f>IF(Enquiry!B285="","",IFERROR(Enquiry!D285,""))</f>
        <v/>
      </c>
      <c r="C285" s="26"/>
      <c r="D285" s="26"/>
      <c r="E285" s="26"/>
      <c r="F285" s="26"/>
      <c r="G285" s="27" t="str">
        <f>IF(Enquiry!B285="","",IFERROR(Enquiry!K285,""))</f>
        <v/>
      </c>
    </row>
    <row r="286" spans="1:7" ht="19.5" customHeight="1" x14ac:dyDescent="0.35">
      <c r="A286" s="25" t="str">
        <f>IF(Enquiry!B286="","",IFERROR(Enquiry!C286,""))</f>
        <v/>
      </c>
      <c r="B286" s="25" t="str">
        <f>IF(Enquiry!B286="","",IFERROR(Enquiry!D286,""))</f>
        <v/>
      </c>
      <c r="C286" s="26"/>
      <c r="D286" s="26"/>
      <c r="E286" s="26"/>
      <c r="F286" s="26"/>
      <c r="G286" s="27" t="str">
        <f>IF(Enquiry!B286="","",IFERROR(Enquiry!K286,""))</f>
        <v/>
      </c>
    </row>
    <row r="287" spans="1:7" ht="19.5" customHeight="1" x14ac:dyDescent="0.35">
      <c r="A287" s="25" t="str">
        <f>IF(Enquiry!B287="","",IFERROR(Enquiry!C287,""))</f>
        <v/>
      </c>
      <c r="B287" s="25" t="str">
        <f>IF(Enquiry!B287="","",IFERROR(Enquiry!D287,""))</f>
        <v/>
      </c>
      <c r="C287" s="26"/>
      <c r="D287" s="26"/>
      <c r="E287" s="26"/>
      <c r="F287" s="26"/>
      <c r="G287" s="27" t="str">
        <f>IF(Enquiry!B287="","",IFERROR(Enquiry!K287,""))</f>
        <v/>
      </c>
    </row>
    <row r="288" spans="1:7" ht="19.5" customHeight="1" x14ac:dyDescent="0.35">
      <c r="A288" s="25" t="str">
        <f>IF(Enquiry!B288="","",IFERROR(Enquiry!C288,""))</f>
        <v/>
      </c>
      <c r="B288" s="25" t="str">
        <f>IF(Enquiry!B288="","",IFERROR(Enquiry!D288,""))</f>
        <v/>
      </c>
      <c r="C288" s="26"/>
      <c r="D288" s="26"/>
      <c r="E288" s="26"/>
      <c r="F288" s="26"/>
      <c r="G288" s="27" t="str">
        <f>IF(Enquiry!B288="","",IFERROR(Enquiry!K288,""))</f>
        <v/>
      </c>
    </row>
    <row r="289" spans="1:7" ht="19.5" customHeight="1" x14ac:dyDescent="0.35">
      <c r="A289" s="25" t="str">
        <f>IF(Enquiry!B289="","",IFERROR(Enquiry!C289,""))</f>
        <v/>
      </c>
      <c r="B289" s="25" t="str">
        <f>IF(Enquiry!B289="","",IFERROR(Enquiry!D289,""))</f>
        <v/>
      </c>
      <c r="C289" s="26"/>
      <c r="D289" s="26"/>
      <c r="E289" s="26"/>
      <c r="F289" s="26"/>
      <c r="G289" s="27" t="str">
        <f>IF(Enquiry!B289="","",IFERROR(Enquiry!K289,""))</f>
        <v/>
      </c>
    </row>
    <row r="290" spans="1:7" ht="19.5" customHeight="1" x14ac:dyDescent="0.35">
      <c r="A290" s="25" t="str">
        <f>IF(Enquiry!B290="","",IFERROR(Enquiry!C290,""))</f>
        <v/>
      </c>
      <c r="B290" s="25" t="str">
        <f>IF(Enquiry!B290="","",IFERROR(Enquiry!D290,""))</f>
        <v/>
      </c>
      <c r="C290" s="26"/>
      <c r="D290" s="26"/>
      <c r="E290" s="26"/>
      <c r="F290" s="26"/>
      <c r="G290" s="27" t="str">
        <f>IF(Enquiry!B290="","",IFERROR(Enquiry!K290,""))</f>
        <v/>
      </c>
    </row>
    <row r="291" spans="1:7" ht="19.5" customHeight="1" x14ac:dyDescent="0.35">
      <c r="A291" s="25" t="str">
        <f>IF(Enquiry!B291="","",IFERROR(Enquiry!C291,""))</f>
        <v/>
      </c>
      <c r="B291" s="25" t="str">
        <f>IF(Enquiry!B291="","",IFERROR(Enquiry!D291,""))</f>
        <v/>
      </c>
      <c r="C291" s="26"/>
      <c r="D291" s="26"/>
      <c r="E291" s="26"/>
      <c r="F291" s="26"/>
      <c r="G291" s="27" t="str">
        <f>IF(Enquiry!B291="","",IFERROR(Enquiry!K291,""))</f>
        <v/>
      </c>
    </row>
    <row r="292" spans="1:7" ht="19.5" customHeight="1" x14ac:dyDescent="0.35">
      <c r="A292" s="25" t="str">
        <f>IF(Enquiry!B292="","",IFERROR(Enquiry!C292,""))</f>
        <v/>
      </c>
      <c r="B292" s="25" t="str">
        <f>IF(Enquiry!B292="","",IFERROR(Enquiry!D292,""))</f>
        <v/>
      </c>
      <c r="C292" s="26"/>
      <c r="D292" s="26"/>
      <c r="E292" s="26"/>
      <c r="F292" s="26"/>
      <c r="G292" s="27" t="str">
        <f>IF(Enquiry!B292="","",IFERROR(Enquiry!K292,""))</f>
        <v/>
      </c>
    </row>
    <row r="293" spans="1:7" ht="19.5" customHeight="1" x14ac:dyDescent="0.35">
      <c r="A293" s="25" t="str">
        <f>IF(Enquiry!B293="","",IFERROR(Enquiry!C293,""))</f>
        <v/>
      </c>
      <c r="B293" s="25" t="str">
        <f>IF(Enquiry!B293="","",IFERROR(Enquiry!D293,""))</f>
        <v/>
      </c>
      <c r="C293" s="26"/>
      <c r="D293" s="26"/>
      <c r="E293" s="26"/>
      <c r="F293" s="26"/>
      <c r="G293" s="27" t="str">
        <f>IF(Enquiry!B293="","",IFERROR(Enquiry!K293,""))</f>
        <v/>
      </c>
    </row>
    <row r="294" spans="1:7" ht="19.5" customHeight="1" x14ac:dyDescent="0.35">
      <c r="A294" s="25" t="str">
        <f>IF(Enquiry!B294="","",IFERROR(Enquiry!C294,""))</f>
        <v/>
      </c>
      <c r="B294" s="25" t="str">
        <f>IF(Enquiry!B294="","",IFERROR(Enquiry!D294,""))</f>
        <v/>
      </c>
      <c r="C294" s="26"/>
      <c r="D294" s="26"/>
      <c r="E294" s="26"/>
      <c r="F294" s="26"/>
      <c r="G294" s="27" t="str">
        <f>IF(Enquiry!B294="","",IFERROR(Enquiry!K294,""))</f>
        <v/>
      </c>
    </row>
    <row r="295" spans="1:7" ht="19.5" customHeight="1" x14ac:dyDescent="0.35">
      <c r="A295" s="25" t="str">
        <f>IF(Enquiry!B295="","",IFERROR(Enquiry!C295,""))</f>
        <v/>
      </c>
      <c r="B295" s="25" t="str">
        <f>IF(Enquiry!B295="","",IFERROR(Enquiry!D295,""))</f>
        <v/>
      </c>
      <c r="C295" s="26"/>
      <c r="D295" s="26"/>
      <c r="E295" s="26"/>
      <c r="F295" s="26"/>
      <c r="G295" s="27" t="str">
        <f>IF(Enquiry!B295="","",IFERROR(Enquiry!K295,""))</f>
        <v/>
      </c>
    </row>
    <row r="296" spans="1:7" ht="19.5" customHeight="1" x14ac:dyDescent="0.35">
      <c r="A296" s="25" t="str">
        <f>IF(Enquiry!B296="","",IFERROR(Enquiry!C296,""))</f>
        <v/>
      </c>
      <c r="B296" s="25" t="str">
        <f>IF(Enquiry!B296="","",IFERROR(Enquiry!D296,""))</f>
        <v/>
      </c>
      <c r="C296" s="26"/>
      <c r="D296" s="26"/>
      <c r="E296" s="26"/>
      <c r="F296" s="26"/>
      <c r="G296" s="27" t="str">
        <f>IF(Enquiry!B296="","",IFERROR(Enquiry!K296,""))</f>
        <v/>
      </c>
    </row>
    <row r="297" spans="1:7" ht="19.5" customHeight="1" x14ac:dyDescent="0.35">
      <c r="A297" s="25" t="str">
        <f>IF(Enquiry!B297="","",IFERROR(Enquiry!C297,""))</f>
        <v/>
      </c>
      <c r="B297" s="25" t="str">
        <f>IF(Enquiry!B297="","",IFERROR(Enquiry!D297,""))</f>
        <v/>
      </c>
      <c r="C297" s="26"/>
      <c r="D297" s="26"/>
      <c r="E297" s="26"/>
      <c r="F297" s="26"/>
      <c r="G297" s="27" t="str">
        <f>IF(Enquiry!B297="","",IFERROR(Enquiry!K297,""))</f>
        <v/>
      </c>
    </row>
    <row r="298" spans="1:7" ht="19.5" customHeight="1" x14ac:dyDescent="0.35">
      <c r="A298" s="25" t="str">
        <f>IF(Enquiry!B298="","",IFERROR(Enquiry!C298,""))</f>
        <v/>
      </c>
      <c r="B298" s="25" t="str">
        <f>IF(Enquiry!B298="","",IFERROR(Enquiry!D298,""))</f>
        <v/>
      </c>
      <c r="C298" s="26"/>
      <c r="D298" s="26"/>
      <c r="E298" s="26"/>
      <c r="F298" s="26"/>
      <c r="G298" s="27" t="str">
        <f>IF(Enquiry!B298="","",IFERROR(Enquiry!K298,""))</f>
        <v/>
      </c>
    </row>
    <row r="299" spans="1:7" ht="19.5" customHeight="1" x14ac:dyDescent="0.35">
      <c r="A299" s="25" t="str">
        <f>IF(Enquiry!B299="","",IFERROR(Enquiry!C299,""))</f>
        <v/>
      </c>
      <c r="B299" s="25" t="str">
        <f>IF(Enquiry!B299="","",IFERROR(Enquiry!D299,""))</f>
        <v/>
      </c>
      <c r="C299" s="26"/>
      <c r="D299" s="26"/>
      <c r="E299" s="26"/>
      <c r="F299" s="26"/>
      <c r="G299" s="27" t="str">
        <f>IF(Enquiry!B299="","",IFERROR(Enquiry!K299,""))</f>
        <v/>
      </c>
    </row>
    <row r="300" spans="1:7" ht="19.5" customHeight="1" x14ac:dyDescent="0.35">
      <c r="A300" s="25" t="str">
        <f>IF(Enquiry!B300="","",IFERROR(Enquiry!C300,""))</f>
        <v/>
      </c>
      <c r="B300" s="25" t="str">
        <f>IF(Enquiry!B300="","",IFERROR(Enquiry!D300,""))</f>
        <v/>
      </c>
      <c r="C300" s="26"/>
      <c r="D300" s="26"/>
      <c r="E300" s="26"/>
      <c r="F300" s="26"/>
      <c r="G300" s="27" t="str">
        <f>IF(Enquiry!B300="","",IFERROR(Enquiry!K300,""))</f>
        <v/>
      </c>
    </row>
    <row r="301" spans="1:7" ht="19.5" customHeight="1" x14ac:dyDescent="0.35">
      <c r="A301" s="25" t="str">
        <f>IF(Enquiry!B301="","",IFERROR(Enquiry!C301,""))</f>
        <v/>
      </c>
      <c r="B301" s="25" t="str">
        <f>IF(Enquiry!B301="","",IFERROR(Enquiry!D301,""))</f>
        <v/>
      </c>
      <c r="C301" s="26"/>
      <c r="D301" s="26"/>
      <c r="E301" s="26"/>
      <c r="F301" s="26"/>
      <c r="G301" s="27" t="str">
        <f>IF(Enquiry!B301="","",IFERROR(Enquiry!K301,""))</f>
        <v/>
      </c>
    </row>
    <row r="302" spans="1:7" ht="19.5" customHeight="1" x14ac:dyDescent="0.35">
      <c r="A302" s="25" t="str">
        <f>IF(Enquiry!B302="","",IFERROR(Enquiry!C302,""))</f>
        <v/>
      </c>
      <c r="B302" s="25" t="str">
        <f>IF(Enquiry!B302="","",IFERROR(Enquiry!D302,""))</f>
        <v/>
      </c>
      <c r="C302" s="26"/>
      <c r="D302" s="26"/>
      <c r="E302" s="26"/>
      <c r="F302" s="26"/>
      <c r="G302" s="27" t="str">
        <f>IF(Enquiry!B302="","",IFERROR(Enquiry!K302,""))</f>
        <v/>
      </c>
    </row>
    <row r="303" spans="1:7" ht="19.5" customHeight="1" x14ac:dyDescent="0.35">
      <c r="A303" s="25" t="str">
        <f>IF(Enquiry!B303="","",IFERROR(Enquiry!C303,""))</f>
        <v/>
      </c>
      <c r="B303" s="25" t="str">
        <f>IF(Enquiry!B303="","",IFERROR(Enquiry!D303,""))</f>
        <v/>
      </c>
      <c r="C303" s="26"/>
      <c r="D303" s="26"/>
      <c r="E303" s="26"/>
      <c r="F303" s="26"/>
      <c r="G303" s="27" t="str">
        <f>IF(Enquiry!B303="","",IFERROR(Enquiry!K303,""))</f>
        <v/>
      </c>
    </row>
    <row r="304" spans="1:7" ht="19.5" customHeight="1" x14ac:dyDescent="0.35">
      <c r="A304" s="25" t="str">
        <f>IF(Enquiry!B304="","",IFERROR(Enquiry!C304,""))</f>
        <v/>
      </c>
      <c r="B304" s="25" t="str">
        <f>IF(Enquiry!B304="","",IFERROR(Enquiry!D304,""))</f>
        <v/>
      </c>
      <c r="C304" s="26"/>
      <c r="D304" s="26"/>
      <c r="E304" s="26"/>
      <c r="F304" s="26"/>
      <c r="G304" s="27" t="str">
        <f>IF(Enquiry!B304="","",IFERROR(Enquiry!K304,""))</f>
        <v/>
      </c>
    </row>
    <row r="305" spans="1:7" ht="19.5" customHeight="1" x14ac:dyDescent="0.35">
      <c r="A305" s="25" t="str">
        <f>IF(Enquiry!B305="","",IFERROR(Enquiry!C305,""))</f>
        <v/>
      </c>
      <c r="B305" s="25" t="str">
        <f>IF(Enquiry!B305="","",IFERROR(Enquiry!D305,""))</f>
        <v/>
      </c>
      <c r="C305" s="26"/>
      <c r="D305" s="26"/>
      <c r="E305" s="26"/>
      <c r="F305" s="26"/>
      <c r="G305" s="27" t="str">
        <f>IF(Enquiry!B305="","",IFERROR(Enquiry!K305,""))</f>
        <v/>
      </c>
    </row>
    <row r="306" spans="1:7" ht="19.5" customHeight="1" x14ac:dyDescent="0.35">
      <c r="A306" s="25" t="str">
        <f>IF(Enquiry!B306="","",IFERROR(Enquiry!C306,""))</f>
        <v/>
      </c>
      <c r="B306" s="25" t="str">
        <f>IF(Enquiry!B306="","",IFERROR(Enquiry!D306,""))</f>
        <v/>
      </c>
      <c r="C306" s="26"/>
      <c r="D306" s="26"/>
      <c r="E306" s="26"/>
      <c r="F306" s="26"/>
      <c r="G306" s="27" t="str">
        <f>IF(Enquiry!B306="","",IFERROR(Enquiry!K306,""))</f>
        <v/>
      </c>
    </row>
    <row r="307" spans="1:7" ht="19.5" customHeight="1" x14ac:dyDescent="0.35">
      <c r="A307" s="25" t="str">
        <f>IF(Enquiry!B307="","",IFERROR(Enquiry!C307,""))</f>
        <v/>
      </c>
      <c r="B307" s="25" t="str">
        <f>IF(Enquiry!B307="","",IFERROR(Enquiry!D307,""))</f>
        <v/>
      </c>
      <c r="C307" s="26"/>
      <c r="D307" s="26"/>
      <c r="E307" s="26"/>
      <c r="F307" s="26"/>
      <c r="G307" s="27" t="str">
        <f>IF(Enquiry!B307="","",IFERROR(Enquiry!K307,""))</f>
        <v/>
      </c>
    </row>
    <row r="308" spans="1:7" ht="19.5" customHeight="1" x14ac:dyDescent="0.35">
      <c r="A308" s="25" t="str">
        <f>IF(Enquiry!B308="","",IFERROR(Enquiry!C308,""))</f>
        <v/>
      </c>
      <c r="B308" s="25" t="str">
        <f>IF(Enquiry!B308="","",IFERROR(Enquiry!D308,""))</f>
        <v/>
      </c>
      <c r="C308" s="26"/>
      <c r="D308" s="26"/>
      <c r="E308" s="26"/>
      <c r="F308" s="26"/>
      <c r="G308" s="27" t="str">
        <f>IF(Enquiry!B308="","",IFERROR(Enquiry!K308,""))</f>
        <v/>
      </c>
    </row>
    <row r="309" spans="1:7" ht="19.5" customHeight="1" x14ac:dyDescent="0.35">
      <c r="A309" s="25" t="str">
        <f>IF(Enquiry!B309="","",IFERROR(Enquiry!C309,""))</f>
        <v/>
      </c>
      <c r="B309" s="25" t="str">
        <f>IF(Enquiry!B309="","",IFERROR(Enquiry!D309,""))</f>
        <v/>
      </c>
      <c r="C309" s="26"/>
      <c r="D309" s="26"/>
      <c r="E309" s="26"/>
      <c r="F309" s="26"/>
      <c r="G309" s="27" t="str">
        <f>IF(Enquiry!B309="","",IFERROR(Enquiry!K309,""))</f>
        <v/>
      </c>
    </row>
    <row r="310" spans="1:7" ht="19.5" customHeight="1" x14ac:dyDescent="0.35">
      <c r="A310" s="25" t="str">
        <f>IF(Enquiry!B310="","",IFERROR(Enquiry!C310,""))</f>
        <v/>
      </c>
      <c r="B310" s="25" t="str">
        <f>IF(Enquiry!B310="","",IFERROR(Enquiry!D310,""))</f>
        <v/>
      </c>
      <c r="C310" s="26"/>
      <c r="D310" s="26"/>
      <c r="E310" s="26"/>
      <c r="F310" s="26"/>
      <c r="G310" s="27" t="str">
        <f>IF(Enquiry!B310="","",IFERROR(Enquiry!K310,""))</f>
        <v/>
      </c>
    </row>
    <row r="311" spans="1:7" ht="19.5" customHeight="1" x14ac:dyDescent="0.35">
      <c r="A311" s="25" t="str">
        <f>IF(Enquiry!B311="","",IFERROR(Enquiry!C311,""))</f>
        <v/>
      </c>
      <c r="B311" s="25" t="str">
        <f>IF(Enquiry!B311="","",IFERROR(Enquiry!D311,""))</f>
        <v/>
      </c>
      <c r="C311" s="26"/>
      <c r="D311" s="26"/>
      <c r="E311" s="26"/>
      <c r="F311" s="26"/>
      <c r="G311" s="27" t="str">
        <f>IF(Enquiry!B311="","",IFERROR(Enquiry!K311,""))</f>
        <v/>
      </c>
    </row>
    <row r="312" spans="1:7" ht="19.5" customHeight="1" x14ac:dyDescent="0.35">
      <c r="A312" s="25" t="str">
        <f>IF(Enquiry!B312="","",IFERROR(Enquiry!C312,""))</f>
        <v/>
      </c>
      <c r="B312" s="25" t="str">
        <f>IF(Enquiry!B312="","",IFERROR(Enquiry!D312,""))</f>
        <v/>
      </c>
      <c r="C312" s="26"/>
      <c r="D312" s="26"/>
      <c r="E312" s="26"/>
      <c r="F312" s="26"/>
      <c r="G312" s="27" t="str">
        <f>IF(Enquiry!B312="","",IFERROR(Enquiry!K312,""))</f>
        <v/>
      </c>
    </row>
    <row r="313" spans="1:7" ht="19.5" customHeight="1" x14ac:dyDescent="0.35">
      <c r="A313" s="25" t="str">
        <f>IF(Enquiry!B313="","",IFERROR(Enquiry!C313,""))</f>
        <v/>
      </c>
      <c r="B313" s="25" t="str">
        <f>IF(Enquiry!B313="","",IFERROR(Enquiry!D313,""))</f>
        <v/>
      </c>
      <c r="C313" s="26"/>
      <c r="D313" s="26"/>
      <c r="E313" s="26"/>
      <c r="F313" s="26"/>
      <c r="G313" s="27" t="str">
        <f>IF(Enquiry!B313="","",IFERROR(Enquiry!K313,""))</f>
        <v/>
      </c>
    </row>
    <row r="314" spans="1:7" ht="19.5" customHeight="1" x14ac:dyDescent="0.35">
      <c r="A314" s="25" t="str">
        <f>IF(Enquiry!B314="","",IFERROR(Enquiry!C314,""))</f>
        <v/>
      </c>
      <c r="B314" s="25" t="str">
        <f>IF(Enquiry!B314="","",IFERROR(Enquiry!D314,""))</f>
        <v/>
      </c>
      <c r="C314" s="26"/>
      <c r="D314" s="26"/>
      <c r="E314" s="26"/>
      <c r="F314" s="26"/>
      <c r="G314" s="27" t="str">
        <f>IF(Enquiry!B314="","",IFERROR(Enquiry!K314,""))</f>
        <v/>
      </c>
    </row>
    <row r="315" spans="1:7" ht="19.5" customHeight="1" x14ac:dyDescent="0.35">
      <c r="A315" s="25" t="str">
        <f>IF(Enquiry!B315="","",IFERROR(Enquiry!C315,""))</f>
        <v/>
      </c>
      <c r="B315" s="25" t="str">
        <f>IF(Enquiry!B315="","",IFERROR(Enquiry!D315,""))</f>
        <v/>
      </c>
      <c r="C315" s="26"/>
      <c r="D315" s="26"/>
      <c r="E315" s="26"/>
      <c r="F315" s="26"/>
      <c r="G315" s="27" t="str">
        <f>IF(Enquiry!B315="","",IFERROR(Enquiry!K315,""))</f>
        <v/>
      </c>
    </row>
    <row r="316" spans="1:7" ht="19.5" customHeight="1" x14ac:dyDescent="0.35">
      <c r="A316" s="25" t="str">
        <f>IF(Enquiry!B316="","",IFERROR(Enquiry!C316,""))</f>
        <v/>
      </c>
      <c r="B316" s="25" t="str">
        <f>IF(Enquiry!B316="","",IFERROR(Enquiry!D316,""))</f>
        <v/>
      </c>
      <c r="C316" s="26"/>
      <c r="D316" s="26"/>
      <c r="E316" s="26"/>
      <c r="F316" s="26"/>
      <c r="G316" s="27" t="str">
        <f>IF(Enquiry!B316="","",IFERROR(Enquiry!K316,""))</f>
        <v/>
      </c>
    </row>
    <row r="317" spans="1:7" ht="19.5" customHeight="1" x14ac:dyDescent="0.35">
      <c r="A317" s="25" t="str">
        <f>IF(Enquiry!B317="","",IFERROR(Enquiry!C317,""))</f>
        <v/>
      </c>
      <c r="B317" s="25" t="str">
        <f>IF(Enquiry!B317="","",IFERROR(Enquiry!D317,""))</f>
        <v/>
      </c>
      <c r="C317" s="26"/>
      <c r="D317" s="26"/>
      <c r="E317" s="26"/>
      <c r="F317" s="26"/>
      <c r="G317" s="27" t="str">
        <f>IF(Enquiry!B317="","",IFERROR(Enquiry!K317,""))</f>
        <v/>
      </c>
    </row>
    <row r="318" spans="1:7" ht="19.5" customHeight="1" x14ac:dyDescent="0.35">
      <c r="A318" s="25" t="str">
        <f>IF(Enquiry!B318="","",IFERROR(Enquiry!C318,""))</f>
        <v/>
      </c>
      <c r="B318" s="25" t="str">
        <f>IF(Enquiry!B318="","",IFERROR(Enquiry!D318,""))</f>
        <v/>
      </c>
      <c r="C318" s="26"/>
      <c r="D318" s="26"/>
      <c r="E318" s="26"/>
      <c r="F318" s="26"/>
      <c r="G318" s="27" t="str">
        <f>IF(Enquiry!B318="","",IFERROR(Enquiry!K318,""))</f>
        <v/>
      </c>
    </row>
    <row r="319" spans="1:7" ht="19.5" customHeight="1" x14ac:dyDescent="0.35">
      <c r="A319" s="25" t="str">
        <f>IF(Enquiry!B319="","",IFERROR(Enquiry!C319,""))</f>
        <v/>
      </c>
      <c r="B319" s="25" t="str">
        <f>IF(Enquiry!B319="","",IFERROR(Enquiry!D319,""))</f>
        <v/>
      </c>
      <c r="C319" s="26"/>
      <c r="D319" s="26"/>
      <c r="E319" s="26"/>
      <c r="F319" s="26"/>
      <c r="G319" s="27" t="str">
        <f>IF(Enquiry!B319="","",IFERROR(Enquiry!K319,""))</f>
        <v/>
      </c>
    </row>
    <row r="320" spans="1:7" ht="19.5" customHeight="1" x14ac:dyDescent="0.35">
      <c r="A320" s="25" t="str">
        <f>IF(Enquiry!B320="","",IFERROR(Enquiry!C320,""))</f>
        <v/>
      </c>
      <c r="B320" s="25" t="str">
        <f>IF(Enquiry!B320="","",IFERROR(Enquiry!D320,""))</f>
        <v/>
      </c>
      <c r="C320" s="26"/>
      <c r="D320" s="26"/>
      <c r="E320" s="26"/>
      <c r="F320" s="26"/>
      <c r="G320" s="27" t="str">
        <f>IF(Enquiry!B320="","",IFERROR(Enquiry!K320,""))</f>
        <v/>
      </c>
    </row>
    <row r="321" spans="1:7" ht="19.5" customHeight="1" x14ac:dyDescent="0.35">
      <c r="A321" s="25" t="str">
        <f>IF(Enquiry!B321="","",IFERROR(Enquiry!C321,""))</f>
        <v/>
      </c>
      <c r="B321" s="25" t="str">
        <f>IF(Enquiry!B321="","",IFERROR(Enquiry!D321,""))</f>
        <v/>
      </c>
      <c r="C321" s="26"/>
      <c r="D321" s="26"/>
      <c r="E321" s="26"/>
      <c r="F321" s="26"/>
      <c r="G321" s="27" t="str">
        <f>IF(Enquiry!B321="","",IFERROR(Enquiry!K321,""))</f>
        <v/>
      </c>
    </row>
    <row r="322" spans="1:7" ht="19.5" customHeight="1" x14ac:dyDescent="0.35">
      <c r="A322" s="25" t="str">
        <f>IF(Enquiry!B322="","",IFERROR(Enquiry!C322,""))</f>
        <v/>
      </c>
      <c r="B322" s="25" t="str">
        <f>IF(Enquiry!B322="","",IFERROR(Enquiry!D322,""))</f>
        <v/>
      </c>
      <c r="C322" s="26"/>
      <c r="D322" s="26"/>
      <c r="E322" s="26"/>
      <c r="F322" s="26"/>
      <c r="G322" s="27" t="str">
        <f>IF(Enquiry!B322="","",IFERROR(Enquiry!K322,""))</f>
        <v/>
      </c>
    </row>
    <row r="323" spans="1:7" ht="19.5" customHeight="1" x14ac:dyDescent="0.35">
      <c r="A323" s="25" t="str">
        <f>IF(Enquiry!B323="","",IFERROR(Enquiry!C323,""))</f>
        <v/>
      </c>
      <c r="B323" s="25" t="str">
        <f>IF(Enquiry!B323="","",IFERROR(Enquiry!D323,""))</f>
        <v/>
      </c>
      <c r="C323" s="26"/>
      <c r="D323" s="26"/>
      <c r="E323" s="26"/>
      <c r="F323" s="26"/>
      <c r="G323" s="27" t="str">
        <f>IF(Enquiry!B323="","",IFERROR(Enquiry!K323,""))</f>
        <v/>
      </c>
    </row>
    <row r="324" spans="1:7" ht="19.5" customHeight="1" x14ac:dyDescent="0.35">
      <c r="A324" s="25" t="str">
        <f>IF(Enquiry!B324="","",IFERROR(Enquiry!C324,""))</f>
        <v/>
      </c>
      <c r="B324" s="25" t="str">
        <f>IF(Enquiry!B324="","",IFERROR(Enquiry!D324,""))</f>
        <v/>
      </c>
      <c r="C324" s="26"/>
      <c r="D324" s="26"/>
      <c r="E324" s="26"/>
      <c r="F324" s="26"/>
      <c r="G324" s="27" t="str">
        <f>IF(Enquiry!B324="","",IFERROR(Enquiry!K324,""))</f>
        <v/>
      </c>
    </row>
    <row r="325" spans="1:7" ht="19.5" customHeight="1" x14ac:dyDescent="0.35">
      <c r="A325" s="25" t="str">
        <f>IF(Enquiry!B325="","",IFERROR(Enquiry!C325,""))</f>
        <v/>
      </c>
      <c r="B325" s="25" t="str">
        <f>IF(Enquiry!B325="","",IFERROR(Enquiry!D325,""))</f>
        <v/>
      </c>
      <c r="C325" s="26"/>
      <c r="D325" s="26"/>
      <c r="E325" s="26"/>
      <c r="F325" s="26"/>
      <c r="G325" s="27" t="str">
        <f>IF(Enquiry!B325="","",IFERROR(Enquiry!K325,""))</f>
        <v/>
      </c>
    </row>
    <row r="326" spans="1:7" ht="19.5" customHeight="1" x14ac:dyDescent="0.35">
      <c r="A326" s="25" t="str">
        <f>IF(Enquiry!B326="","",IFERROR(Enquiry!C326,""))</f>
        <v/>
      </c>
      <c r="B326" s="25" t="str">
        <f>IF(Enquiry!B326="","",IFERROR(Enquiry!D326,""))</f>
        <v/>
      </c>
      <c r="C326" s="26"/>
      <c r="D326" s="26"/>
      <c r="E326" s="26"/>
      <c r="F326" s="26"/>
      <c r="G326" s="27" t="str">
        <f>IF(Enquiry!B326="","",IFERROR(Enquiry!K326,""))</f>
        <v/>
      </c>
    </row>
    <row r="327" spans="1:7" ht="19.5" customHeight="1" x14ac:dyDescent="0.35">
      <c r="A327" s="25" t="str">
        <f>IF(Enquiry!B327="","",IFERROR(Enquiry!C327,""))</f>
        <v/>
      </c>
      <c r="B327" s="25" t="str">
        <f>IF(Enquiry!B327="","",IFERROR(Enquiry!D327,""))</f>
        <v/>
      </c>
      <c r="C327" s="26"/>
      <c r="D327" s="26"/>
      <c r="E327" s="26"/>
      <c r="F327" s="26"/>
      <c r="G327" s="27" t="str">
        <f>IF(Enquiry!B327="","",IFERROR(Enquiry!K327,""))</f>
        <v/>
      </c>
    </row>
    <row r="328" spans="1:7" ht="19.5" customHeight="1" x14ac:dyDescent="0.35">
      <c r="A328" s="25" t="str">
        <f>IF(Enquiry!B328="","",IFERROR(Enquiry!C328,""))</f>
        <v/>
      </c>
      <c r="B328" s="25" t="str">
        <f>IF(Enquiry!B328="","",IFERROR(Enquiry!D328,""))</f>
        <v/>
      </c>
      <c r="C328" s="26"/>
      <c r="D328" s="26"/>
      <c r="E328" s="26"/>
      <c r="F328" s="26"/>
      <c r="G328" s="27" t="str">
        <f>IF(Enquiry!B328="","",IFERROR(Enquiry!K328,""))</f>
        <v/>
      </c>
    </row>
    <row r="329" spans="1:7" ht="19.5" customHeight="1" x14ac:dyDescent="0.35">
      <c r="A329" s="25" t="str">
        <f>IF(Enquiry!B329="","",IFERROR(Enquiry!C329,""))</f>
        <v/>
      </c>
      <c r="B329" s="25" t="str">
        <f>IF(Enquiry!B329="","",IFERROR(Enquiry!D329,""))</f>
        <v/>
      </c>
      <c r="C329" s="26"/>
      <c r="D329" s="26"/>
      <c r="E329" s="26"/>
      <c r="F329" s="26"/>
      <c r="G329" s="27" t="str">
        <f>IF(Enquiry!B329="","",IFERROR(Enquiry!K329,""))</f>
        <v/>
      </c>
    </row>
    <row r="330" spans="1:7" ht="19.5" customHeight="1" x14ac:dyDescent="0.35">
      <c r="A330" s="25" t="str">
        <f>IF(Enquiry!B330="","",IFERROR(Enquiry!C330,""))</f>
        <v/>
      </c>
      <c r="B330" s="25" t="str">
        <f>IF(Enquiry!B330="","",IFERROR(Enquiry!D330,""))</f>
        <v/>
      </c>
      <c r="C330" s="26"/>
      <c r="D330" s="26"/>
      <c r="E330" s="26"/>
      <c r="F330" s="26"/>
      <c r="G330" s="27" t="str">
        <f>IF(Enquiry!B330="","",IFERROR(Enquiry!K330,""))</f>
        <v/>
      </c>
    </row>
    <row r="331" spans="1:7" ht="19.5" customHeight="1" x14ac:dyDescent="0.35">
      <c r="A331" s="25" t="str">
        <f>IF(Enquiry!B331="","",IFERROR(Enquiry!C331,""))</f>
        <v/>
      </c>
      <c r="B331" s="25" t="str">
        <f>IF(Enquiry!B331="","",IFERROR(Enquiry!D331,""))</f>
        <v/>
      </c>
      <c r="C331" s="26"/>
      <c r="D331" s="26"/>
      <c r="E331" s="26"/>
      <c r="F331" s="26"/>
      <c r="G331" s="27" t="str">
        <f>IF(Enquiry!B331="","",IFERROR(Enquiry!K331,""))</f>
        <v/>
      </c>
    </row>
    <row r="332" spans="1:7" ht="19.5" customHeight="1" x14ac:dyDescent="0.35">
      <c r="A332" s="25" t="str">
        <f>IF(Enquiry!B332="","",IFERROR(Enquiry!C332,""))</f>
        <v/>
      </c>
      <c r="B332" s="25" t="str">
        <f>IF(Enquiry!B332="","",IFERROR(Enquiry!D332,""))</f>
        <v/>
      </c>
      <c r="C332" s="26"/>
      <c r="D332" s="26"/>
      <c r="E332" s="26"/>
      <c r="F332" s="26"/>
      <c r="G332" s="27" t="str">
        <f>IF(Enquiry!B332="","",IFERROR(Enquiry!K332,""))</f>
        <v/>
      </c>
    </row>
    <row r="333" spans="1:7" ht="19.5" customHeight="1" x14ac:dyDescent="0.35">
      <c r="A333" s="25" t="str">
        <f>IF(Enquiry!B333="","",IFERROR(Enquiry!C333,""))</f>
        <v/>
      </c>
      <c r="B333" s="25" t="str">
        <f>IF(Enquiry!B333="","",IFERROR(Enquiry!D333,""))</f>
        <v/>
      </c>
      <c r="C333" s="26"/>
      <c r="D333" s="26"/>
      <c r="E333" s="26"/>
      <c r="F333" s="26"/>
      <c r="G333" s="27" t="str">
        <f>IF(Enquiry!B333="","",IFERROR(Enquiry!K333,""))</f>
        <v/>
      </c>
    </row>
    <row r="334" spans="1:7" ht="19.5" customHeight="1" x14ac:dyDescent="0.35">
      <c r="A334" s="25" t="str">
        <f>IF(Enquiry!B334="","",IFERROR(Enquiry!C334,""))</f>
        <v/>
      </c>
      <c r="B334" s="25" t="str">
        <f>IF(Enquiry!B334="","",IFERROR(Enquiry!D334,""))</f>
        <v/>
      </c>
      <c r="C334" s="26"/>
      <c r="D334" s="26"/>
      <c r="E334" s="26"/>
      <c r="F334" s="26"/>
      <c r="G334" s="27" t="str">
        <f>IF(Enquiry!B334="","",IFERROR(Enquiry!K334,""))</f>
        <v/>
      </c>
    </row>
    <row r="335" spans="1:7" ht="19.5" customHeight="1" x14ac:dyDescent="0.35">
      <c r="A335" s="25" t="str">
        <f>IF(Enquiry!B335="","",IFERROR(Enquiry!C335,""))</f>
        <v/>
      </c>
      <c r="B335" s="25" t="str">
        <f>IF(Enquiry!B335="","",IFERROR(Enquiry!D335,""))</f>
        <v/>
      </c>
      <c r="C335" s="26"/>
      <c r="D335" s="26"/>
      <c r="E335" s="26"/>
      <c r="F335" s="26"/>
      <c r="G335" s="27" t="str">
        <f>IF(Enquiry!B335="","",IFERROR(Enquiry!K335,""))</f>
        <v/>
      </c>
    </row>
    <row r="336" spans="1:7" ht="19.5" customHeight="1" x14ac:dyDescent="0.35">
      <c r="A336" s="25" t="str">
        <f>IF(Enquiry!B336="","",IFERROR(Enquiry!C336,""))</f>
        <v/>
      </c>
      <c r="B336" s="25" t="str">
        <f>IF(Enquiry!B336="","",IFERROR(Enquiry!D336,""))</f>
        <v/>
      </c>
      <c r="C336" s="26"/>
      <c r="D336" s="26"/>
      <c r="E336" s="26"/>
      <c r="F336" s="26"/>
      <c r="G336" s="27" t="str">
        <f>IF(Enquiry!B336="","",IFERROR(Enquiry!K336,""))</f>
        <v/>
      </c>
    </row>
    <row r="337" spans="1:7" ht="19.5" customHeight="1" x14ac:dyDescent="0.35">
      <c r="A337" s="25" t="str">
        <f>IF(Enquiry!B337="","",IFERROR(Enquiry!C337,""))</f>
        <v/>
      </c>
      <c r="B337" s="25" t="str">
        <f>IF(Enquiry!B337="","",IFERROR(Enquiry!D337,""))</f>
        <v/>
      </c>
      <c r="C337" s="26"/>
      <c r="D337" s="26"/>
      <c r="E337" s="26"/>
      <c r="F337" s="26"/>
      <c r="G337" s="27" t="str">
        <f>IF(Enquiry!B337="","",IFERROR(Enquiry!K337,""))</f>
        <v/>
      </c>
    </row>
    <row r="338" spans="1:7" ht="19.5" customHeight="1" x14ac:dyDescent="0.35">
      <c r="A338" s="25" t="str">
        <f>IF(Enquiry!B338="","",IFERROR(Enquiry!C338,""))</f>
        <v/>
      </c>
      <c r="B338" s="25" t="str">
        <f>IF(Enquiry!B338="","",IFERROR(Enquiry!D338,""))</f>
        <v/>
      </c>
      <c r="C338" s="26"/>
      <c r="D338" s="26"/>
      <c r="E338" s="26"/>
      <c r="F338" s="26"/>
      <c r="G338" s="27" t="str">
        <f>IF(Enquiry!B338="","",IFERROR(Enquiry!K338,""))</f>
        <v/>
      </c>
    </row>
    <row r="339" spans="1:7" ht="19.5" customHeight="1" x14ac:dyDescent="0.35">
      <c r="A339" s="25" t="str">
        <f>IF(Enquiry!B339="","",IFERROR(Enquiry!C339,""))</f>
        <v/>
      </c>
      <c r="B339" s="25" t="str">
        <f>IF(Enquiry!B339="","",IFERROR(Enquiry!D339,""))</f>
        <v/>
      </c>
      <c r="C339" s="26"/>
      <c r="D339" s="26"/>
      <c r="E339" s="26"/>
      <c r="F339" s="26"/>
      <c r="G339" s="27" t="str">
        <f>IF(Enquiry!B339="","",IFERROR(Enquiry!K339,""))</f>
        <v/>
      </c>
    </row>
    <row r="340" spans="1:7" ht="19.5" customHeight="1" x14ac:dyDescent="0.35">
      <c r="A340" s="25" t="str">
        <f>IF(Enquiry!B340="","",IFERROR(Enquiry!C340,""))</f>
        <v/>
      </c>
      <c r="B340" s="25" t="str">
        <f>IF(Enquiry!B340="","",IFERROR(Enquiry!D340,""))</f>
        <v/>
      </c>
      <c r="C340" s="26"/>
      <c r="D340" s="26"/>
      <c r="E340" s="26"/>
      <c r="F340" s="26"/>
      <c r="G340" s="27" t="str">
        <f>IF(Enquiry!B340="","",IFERROR(Enquiry!K340,""))</f>
        <v/>
      </c>
    </row>
    <row r="341" spans="1:7" ht="19.5" customHeight="1" x14ac:dyDescent="0.35">
      <c r="A341" s="25" t="str">
        <f>IF(Enquiry!B341="","",IFERROR(Enquiry!C341,""))</f>
        <v/>
      </c>
      <c r="B341" s="25" t="str">
        <f>IF(Enquiry!B341="","",IFERROR(Enquiry!D341,""))</f>
        <v/>
      </c>
      <c r="C341" s="26"/>
      <c r="D341" s="26"/>
      <c r="E341" s="26"/>
      <c r="F341" s="26"/>
      <c r="G341" s="27" t="str">
        <f>IF(Enquiry!B341="","",IFERROR(Enquiry!K341,""))</f>
        <v/>
      </c>
    </row>
    <row r="342" spans="1:7" ht="19.5" customHeight="1" x14ac:dyDescent="0.35">
      <c r="A342" s="25" t="str">
        <f>IF(Enquiry!B342="","",IFERROR(Enquiry!C342,""))</f>
        <v/>
      </c>
      <c r="B342" s="25" t="str">
        <f>IF(Enquiry!B342="","",IFERROR(Enquiry!D342,""))</f>
        <v/>
      </c>
      <c r="C342" s="26"/>
      <c r="D342" s="26"/>
      <c r="E342" s="26"/>
      <c r="F342" s="26"/>
      <c r="G342" s="27" t="str">
        <f>IF(Enquiry!B342="","",IFERROR(Enquiry!K342,""))</f>
        <v/>
      </c>
    </row>
    <row r="343" spans="1:7" ht="19.5" customHeight="1" x14ac:dyDescent="0.35">
      <c r="A343" s="25" t="str">
        <f>IF(Enquiry!B343="","",IFERROR(Enquiry!C343,""))</f>
        <v/>
      </c>
      <c r="B343" s="25" t="str">
        <f>IF(Enquiry!B343="","",IFERROR(Enquiry!D343,""))</f>
        <v/>
      </c>
      <c r="C343" s="26"/>
      <c r="D343" s="26"/>
      <c r="E343" s="26"/>
      <c r="F343" s="26"/>
      <c r="G343" s="27" t="str">
        <f>IF(Enquiry!B343="","",IFERROR(Enquiry!K343,""))</f>
        <v/>
      </c>
    </row>
    <row r="344" spans="1:7" ht="19.5" customHeight="1" x14ac:dyDescent="0.35">
      <c r="A344" s="25" t="str">
        <f>IF(Enquiry!B344="","",IFERROR(Enquiry!C344,""))</f>
        <v/>
      </c>
      <c r="B344" s="25" t="str">
        <f>IF(Enquiry!B344="","",IFERROR(Enquiry!D344,""))</f>
        <v/>
      </c>
      <c r="C344" s="26"/>
      <c r="D344" s="26"/>
      <c r="E344" s="26"/>
      <c r="F344" s="26"/>
      <c r="G344" s="27" t="str">
        <f>IF(Enquiry!B344="","",IFERROR(Enquiry!K344,""))</f>
        <v/>
      </c>
    </row>
    <row r="345" spans="1:7" ht="19.5" customHeight="1" x14ac:dyDescent="0.35">
      <c r="A345" s="25" t="str">
        <f>IF(Enquiry!B345="","",IFERROR(Enquiry!C345,""))</f>
        <v/>
      </c>
      <c r="B345" s="25" t="str">
        <f>IF(Enquiry!B345="","",IFERROR(Enquiry!D345,""))</f>
        <v/>
      </c>
      <c r="C345" s="26"/>
      <c r="D345" s="26"/>
      <c r="E345" s="26"/>
      <c r="F345" s="26"/>
      <c r="G345" s="27" t="str">
        <f>IF(Enquiry!B345="","",IFERROR(Enquiry!K345,""))</f>
        <v/>
      </c>
    </row>
    <row r="346" spans="1:7" ht="19.5" customHeight="1" x14ac:dyDescent="0.35">
      <c r="A346" s="25" t="str">
        <f>IF(Enquiry!B346="","",IFERROR(Enquiry!C346,""))</f>
        <v/>
      </c>
      <c r="B346" s="25" t="str">
        <f>IF(Enquiry!B346="","",IFERROR(Enquiry!D346,""))</f>
        <v/>
      </c>
      <c r="C346" s="26"/>
      <c r="D346" s="26"/>
      <c r="E346" s="26"/>
      <c r="F346" s="26"/>
      <c r="G346" s="27" t="str">
        <f>IF(Enquiry!B346="","",IFERROR(Enquiry!K346,""))</f>
        <v/>
      </c>
    </row>
    <row r="347" spans="1:7" ht="19.5" customHeight="1" x14ac:dyDescent="0.35">
      <c r="A347" s="25" t="str">
        <f>IF(Enquiry!B347="","",IFERROR(Enquiry!C347,""))</f>
        <v/>
      </c>
      <c r="B347" s="25" t="str">
        <f>IF(Enquiry!B347="","",IFERROR(Enquiry!D347,""))</f>
        <v/>
      </c>
      <c r="C347" s="26"/>
      <c r="D347" s="26"/>
      <c r="E347" s="26"/>
      <c r="F347" s="26"/>
      <c r="G347" s="27" t="str">
        <f>IF(Enquiry!B347="","",IFERROR(Enquiry!K347,""))</f>
        <v/>
      </c>
    </row>
    <row r="348" spans="1:7" ht="19.5" customHeight="1" x14ac:dyDescent="0.35">
      <c r="A348" s="25" t="str">
        <f>IF(Enquiry!B348="","",IFERROR(Enquiry!C348,""))</f>
        <v/>
      </c>
      <c r="B348" s="25" t="str">
        <f>IF(Enquiry!B348="","",IFERROR(Enquiry!D348,""))</f>
        <v/>
      </c>
      <c r="C348" s="26"/>
      <c r="D348" s="26"/>
      <c r="E348" s="26"/>
      <c r="F348" s="26"/>
      <c r="G348" s="27" t="str">
        <f>IF(Enquiry!B348="","",IFERROR(Enquiry!K348,""))</f>
        <v/>
      </c>
    </row>
    <row r="349" spans="1:7" ht="19.5" customHeight="1" x14ac:dyDescent="0.35">
      <c r="A349" s="25" t="str">
        <f>IF(Enquiry!B349="","",IFERROR(Enquiry!C349,""))</f>
        <v/>
      </c>
      <c r="B349" s="25" t="str">
        <f>IF(Enquiry!B349="","",IFERROR(Enquiry!D349,""))</f>
        <v/>
      </c>
      <c r="C349" s="26"/>
      <c r="D349" s="26"/>
      <c r="E349" s="26"/>
      <c r="F349" s="26"/>
      <c r="G349" s="27" t="str">
        <f>IF(Enquiry!B349="","",IFERROR(Enquiry!K349,""))</f>
        <v/>
      </c>
    </row>
    <row r="350" spans="1:7" ht="19.5" customHeight="1" x14ac:dyDescent="0.35">
      <c r="A350" s="25" t="str">
        <f>IF(Enquiry!B350="","",IFERROR(Enquiry!C350,""))</f>
        <v/>
      </c>
      <c r="B350" s="25" t="str">
        <f>IF(Enquiry!B350="","",IFERROR(Enquiry!D350,""))</f>
        <v/>
      </c>
      <c r="C350" s="26"/>
      <c r="D350" s="26"/>
      <c r="E350" s="26"/>
      <c r="F350" s="26"/>
      <c r="G350" s="27" t="str">
        <f>IF(Enquiry!B350="","",IFERROR(Enquiry!K350,""))</f>
        <v/>
      </c>
    </row>
    <row r="351" spans="1:7" ht="19.5" customHeight="1" x14ac:dyDescent="0.35">
      <c r="A351" s="25" t="str">
        <f>IF(Enquiry!B351="","",IFERROR(Enquiry!C351,""))</f>
        <v/>
      </c>
      <c r="B351" s="25" t="str">
        <f>IF(Enquiry!B351="","",IFERROR(Enquiry!D351,""))</f>
        <v/>
      </c>
      <c r="C351" s="26"/>
      <c r="D351" s="26"/>
      <c r="E351" s="26"/>
      <c r="F351" s="26"/>
      <c r="G351" s="27" t="str">
        <f>IF(Enquiry!B351="","",IFERROR(Enquiry!K351,""))</f>
        <v/>
      </c>
    </row>
    <row r="352" spans="1:7" ht="19.5" customHeight="1" x14ac:dyDescent="0.35">
      <c r="A352" s="25" t="str">
        <f>IF(Enquiry!B352="","",IFERROR(Enquiry!C352,""))</f>
        <v/>
      </c>
      <c r="B352" s="25" t="str">
        <f>IF(Enquiry!B352="","",IFERROR(Enquiry!D352,""))</f>
        <v/>
      </c>
      <c r="C352" s="26"/>
      <c r="D352" s="26"/>
      <c r="E352" s="26"/>
      <c r="F352" s="26"/>
      <c r="G352" s="27" t="str">
        <f>IF(Enquiry!B352="","",IFERROR(Enquiry!K352,""))</f>
        <v/>
      </c>
    </row>
    <row r="353" spans="1:7" ht="19.5" customHeight="1" x14ac:dyDescent="0.35">
      <c r="A353" s="25" t="str">
        <f>IF(Enquiry!B353="","",IFERROR(Enquiry!C353,""))</f>
        <v/>
      </c>
      <c r="B353" s="25" t="str">
        <f>IF(Enquiry!B353="","",IFERROR(Enquiry!D353,""))</f>
        <v/>
      </c>
      <c r="C353" s="26"/>
      <c r="D353" s="26"/>
      <c r="E353" s="26"/>
      <c r="F353" s="26"/>
      <c r="G353" s="27" t="str">
        <f>IF(Enquiry!B353="","",IFERROR(Enquiry!K353,""))</f>
        <v/>
      </c>
    </row>
    <row r="354" spans="1:7" ht="19.5" customHeight="1" x14ac:dyDescent="0.35">
      <c r="A354" s="25" t="str">
        <f>IF(Enquiry!B354="","",IFERROR(Enquiry!C354,""))</f>
        <v/>
      </c>
      <c r="B354" s="25" t="str">
        <f>IF(Enquiry!B354="","",IFERROR(Enquiry!D354,""))</f>
        <v/>
      </c>
      <c r="C354" s="26"/>
      <c r="D354" s="26"/>
      <c r="E354" s="26"/>
      <c r="F354" s="26"/>
      <c r="G354" s="27" t="str">
        <f>IF(Enquiry!B354="","",IFERROR(Enquiry!K354,""))</f>
        <v/>
      </c>
    </row>
    <row r="355" spans="1:7" ht="19.5" customHeight="1" x14ac:dyDescent="0.35">
      <c r="A355" s="25" t="str">
        <f>IF(Enquiry!B355="","",IFERROR(Enquiry!C355,""))</f>
        <v/>
      </c>
      <c r="B355" s="25" t="str">
        <f>IF(Enquiry!B355="","",IFERROR(Enquiry!D355,""))</f>
        <v/>
      </c>
      <c r="C355" s="26"/>
      <c r="D355" s="26"/>
      <c r="E355" s="26"/>
      <c r="F355" s="26"/>
      <c r="G355" s="27" t="str">
        <f>IF(Enquiry!B355="","",IFERROR(Enquiry!K355,""))</f>
        <v/>
      </c>
    </row>
    <row r="356" spans="1:7" ht="19.5" customHeight="1" x14ac:dyDescent="0.35">
      <c r="A356" s="25" t="str">
        <f>IF(Enquiry!B356="","",IFERROR(Enquiry!C356,""))</f>
        <v/>
      </c>
      <c r="B356" s="25" t="str">
        <f>IF(Enquiry!B356="","",IFERROR(Enquiry!D356,""))</f>
        <v/>
      </c>
      <c r="C356" s="26"/>
      <c r="D356" s="26"/>
      <c r="E356" s="26"/>
      <c r="F356" s="26"/>
      <c r="G356" s="27" t="str">
        <f>IF(Enquiry!B356="","",IFERROR(Enquiry!K356,""))</f>
        <v/>
      </c>
    </row>
    <row r="357" spans="1:7" ht="19.5" customHeight="1" x14ac:dyDescent="0.35">
      <c r="A357" s="25" t="str">
        <f>IF(Enquiry!B357="","",IFERROR(Enquiry!C357,""))</f>
        <v/>
      </c>
      <c r="B357" s="25" t="str">
        <f>IF(Enquiry!B357="","",IFERROR(Enquiry!D357,""))</f>
        <v/>
      </c>
      <c r="C357" s="26"/>
      <c r="D357" s="26"/>
      <c r="E357" s="26"/>
      <c r="F357" s="26"/>
      <c r="G357" s="27" t="str">
        <f>IF(Enquiry!B357="","",IFERROR(Enquiry!K357,""))</f>
        <v/>
      </c>
    </row>
    <row r="358" spans="1:7" ht="19.5" customHeight="1" x14ac:dyDescent="0.35">
      <c r="A358" s="25" t="str">
        <f>IF(Enquiry!B358="","",IFERROR(Enquiry!C358,""))</f>
        <v/>
      </c>
      <c r="B358" s="25" t="str">
        <f>IF(Enquiry!B358="","",IFERROR(Enquiry!D358,""))</f>
        <v/>
      </c>
      <c r="C358" s="26"/>
      <c r="D358" s="26"/>
      <c r="E358" s="26"/>
      <c r="F358" s="26"/>
      <c r="G358" s="27" t="str">
        <f>IF(Enquiry!B358="","",IFERROR(Enquiry!K358,""))</f>
        <v/>
      </c>
    </row>
    <row r="359" spans="1:7" ht="19.5" customHeight="1" x14ac:dyDescent="0.35">
      <c r="A359" s="25" t="str">
        <f>IF(Enquiry!B359="","",IFERROR(Enquiry!C359,""))</f>
        <v/>
      </c>
      <c r="B359" s="25" t="str">
        <f>IF(Enquiry!B359="","",IFERROR(Enquiry!D359,""))</f>
        <v/>
      </c>
      <c r="C359" s="26"/>
      <c r="D359" s="26"/>
      <c r="E359" s="26"/>
      <c r="F359" s="26"/>
      <c r="G359" s="27" t="str">
        <f>IF(Enquiry!B359="","",IFERROR(Enquiry!K359,""))</f>
        <v/>
      </c>
    </row>
    <row r="360" spans="1:7" ht="19.5" customHeight="1" x14ac:dyDescent="0.35">
      <c r="A360" s="25" t="str">
        <f>IF(Enquiry!B360="","",IFERROR(Enquiry!C360,""))</f>
        <v/>
      </c>
      <c r="B360" s="25" t="str">
        <f>IF(Enquiry!B360="","",IFERROR(Enquiry!D360,""))</f>
        <v/>
      </c>
      <c r="C360" s="26"/>
      <c r="D360" s="26"/>
      <c r="E360" s="26"/>
      <c r="F360" s="26"/>
      <c r="G360" s="27" t="str">
        <f>IF(Enquiry!B360="","",IFERROR(Enquiry!K360,""))</f>
        <v/>
      </c>
    </row>
    <row r="361" spans="1:7" ht="19.5" customHeight="1" x14ac:dyDescent="0.35">
      <c r="A361" s="25" t="str">
        <f>IF(Enquiry!B361="","",IFERROR(Enquiry!C361,""))</f>
        <v/>
      </c>
      <c r="B361" s="25" t="str">
        <f>IF(Enquiry!B361="","",IFERROR(Enquiry!D361,""))</f>
        <v/>
      </c>
      <c r="C361" s="26"/>
      <c r="D361" s="26"/>
      <c r="E361" s="26"/>
      <c r="F361" s="26"/>
      <c r="G361" s="27" t="str">
        <f>IF(Enquiry!B361="","",IFERROR(Enquiry!K361,""))</f>
        <v/>
      </c>
    </row>
    <row r="362" spans="1:7" ht="19.5" customHeight="1" x14ac:dyDescent="0.35">
      <c r="A362" s="25" t="str">
        <f>IF(Enquiry!B362="","",IFERROR(Enquiry!C362,""))</f>
        <v/>
      </c>
      <c r="B362" s="25" t="str">
        <f>IF(Enquiry!B362="","",IFERROR(Enquiry!D362,""))</f>
        <v/>
      </c>
      <c r="C362" s="26"/>
      <c r="D362" s="26"/>
      <c r="E362" s="26"/>
      <c r="F362" s="26"/>
      <c r="G362" s="27" t="str">
        <f>IF(Enquiry!B362="","",IFERROR(Enquiry!K362,""))</f>
        <v/>
      </c>
    </row>
    <row r="363" spans="1:7" ht="19.5" customHeight="1" x14ac:dyDescent="0.35">
      <c r="A363" s="25" t="str">
        <f>IF(Enquiry!B363="","",IFERROR(Enquiry!C363,""))</f>
        <v/>
      </c>
      <c r="B363" s="25" t="str">
        <f>IF(Enquiry!B363="","",IFERROR(Enquiry!D363,""))</f>
        <v/>
      </c>
      <c r="C363" s="26"/>
      <c r="D363" s="26"/>
      <c r="E363" s="26"/>
      <c r="F363" s="26"/>
      <c r="G363" s="27" t="str">
        <f>IF(Enquiry!B363="","",IFERROR(Enquiry!K363,""))</f>
        <v/>
      </c>
    </row>
    <row r="364" spans="1:7" ht="19.5" customHeight="1" x14ac:dyDescent="0.35">
      <c r="A364" s="25" t="str">
        <f>IF(Enquiry!B364="","",IFERROR(Enquiry!C364,""))</f>
        <v/>
      </c>
      <c r="B364" s="25" t="str">
        <f>IF(Enquiry!B364="","",IFERROR(Enquiry!D364,""))</f>
        <v/>
      </c>
      <c r="C364" s="26"/>
      <c r="D364" s="26"/>
      <c r="E364" s="26"/>
      <c r="F364" s="26"/>
      <c r="G364" s="27" t="str">
        <f>IF(Enquiry!B364="","",IFERROR(Enquiry!K364,""))</f>
        <v/>
      </c>
    </row>
    <row r="365" spans="1:7" ht="19.5" customHeight="1" x14ac:dyDescent="0.35">
      <c r="A365" s="25" t="str">
        <f>IF(Enquiry!B365="","",IFERROR(Enquiry!C365,""))</f>
        <v/>
      </c>
      <c r="B365" s="25" t="str">
        <f>IF(Enquiry!B365="","",IFERROR(Enquiry!D365,""))</f>
        <v/>
      </c>
      <c r="C365" s="26"/>
      <c r="D365" s="26"/>
      <c r="E365" s="26"/>
      <c r="F365" s="26"/>
      <c r="G365" s="27" t="str">
        <f>IF(Enquiry!B365="","",IFERROR(Enquiry!K365,""))</f>
        <v/>
      </c>
    </row>
    <row r="366" spans="1:7" ht="19.5" customHeight="1" x14ac:dyDescent="0.35">
      <c r="A366" s="25" t="str">
        <f>IF(Enquiry!B366="","",IFERROR(Enquiry!C366,""))</f>
        <v/>
      </c>
      <c r="B366" s="25" t="str">
        <f>IF(Enquiry!B366="","",IFERROR(Enquiry!D366,""))</f>
        <v/>
      </c>
      <c r="C366" s="26"/>
      <c r="D366" s="26"/>
      <c r="E366" s="26"/>
      <c r="F366" s="26"/>
      <c r="G366" s="27" t="str">
        <f>IF(Enquiry!B366="","",IFERROR(Enquiry!K366,""))</f>
        <v/>
      </c>
    </row>
    <row r="367" spans="1:7" ht="19.5" customHeight="1" x14ac:dyDescent="0.35">
      <c r="A367" s="25" t="str">
        <f>IF(Enquiry!B367="","",IFERROR(Enquiry!C367,""))</f>
        <v/>
      </c>
      <c r="B367" s="25" t="str">
        <f>IF(Enquiry!B367="","",IFERROR(Enquiry!D367,""))</f>
        <v/>
      </c>
      <c r="C367" s="26"/>
      <c r="D367" s="26"/>
      <c r="E367" s="26"/>
      <c r="F367" s="26"/>
      <c r="G367" s="27" t="str">
        <f>IF(Enquiry!B367="","",IFERROR(Enquiry!K367,""))</f>
        <v/>
      </c>
    </row>
    <row r="368" spans="1:7" ht="19.5" customHeight="1" x14ac:dyDescent="0.35">
      <c r="A368" s="25" t="str">
        <f>IF(Enquiry!B368="","",IFERROR(Enquiry!C368,""))</f>
        <v/>
      </c>
      <c r="B368" s="25" t="str">
        <f>IF(Enquiry!B368="","",IFERROR(Enquiry!D368,""))</f>
        <v/>
      </c>
      <c r="C368" s="26"/>
      <c r="D368" s="26"/>
      <c r="E368" s="26"/>
      <c r="F368" s="26"/>
      <c r="G368" s="27" t="str">
        <f>IF(Enquiry!B368="","",IFERROR(Enquiry!K368,""))</f>
        <v/>
      </c>
    </row>
    <row r="369" spans="1:7" ht="19.5" customHeight="1" x14ac:dyDescent="0.35">
      <c r="A369" s="25" t="str">
        <f>IF(Enquiry!B369="","",IFERROR(Enquiry!C369,""))</f>
        <v/>
      </c>
      <c r="B369" s="25" t="str">
        <f>IF(Enquiry!B369="","",IFERROR(Enquiry!D369,""))</f>
        <v/>
      </c>
      <c r="C369" s="26"/>
      <c r="D369" s="26"/>
      <c r="E369" s="26"/>
      <c r="F369" s="26"/>
      <c r="G369" s="27" t="str">
        <f>IF(Enquiry!B369="","",IFERROR(Enquiry!K369,""))</f>
        <v/>
      </c>
    </row>
    <row r="370" spans="1:7" ht="19.5" customHeight="1" x14ac:dyDescent="0.35">
      <c r="A370" s="25" t="str">
        <f>IF(Enquiry!B370="","",IFERROR(Enquiry!C370,""))</f>
        <v/>
      </c>
      <c r="B370" s="25" t="str">
        <f>IF(Enquiry!B370="","",IFERROR(Enquiry!D370,""))</f>
        <v/>
      </c>
      <c r="C370" s="26"/>
      <c r="D370" s="26"/>
      <c r="E370" s="26"/>
      <c r="F370" s="26"/>
      <c r="G370" s="27" t="str">
        <f>IF(Enquiry!B370="","",IFERROR(Enquiry!K370,""))</f>
        <v/>
      </c>
    </row>
    <row r="371" spans="1:7" ht="19.5" customHeight="1" x14ac:dyDescent="0.35">
      <c r="A371" s="25" t="str">
        <f>IF(Enquiry!B371="","",IFERROR(Enquiry!C371,""))</f>
        <v/>
      </c>
      <c r="B371" s="25" t="str">
        <f>IF(Enquiry!B371="","",IFERROR(Enquiry!D371,""))</f>
        <v/>
      </c>
      <c r="C371" s="26"/>
      <c r="D371" s="26"/>
      <c r="E371" s="26"/>
      <c r="F371" s="26"/>
      <c r="G371" s="27" t="str">
        <f>IF(Enquiry!B371="","",IFERROR(Enquiry!K371,""))</f>
        <v/>
      </c>
    </row>
    <row r="372" spans="1:7" ht="19.5" customHeight="1" x14ac:dyDescent="0.35">
      <c r="A372" s="25" t="str">
        <f>IF(Enquiry!B372="","",IFERROR(Enquiry!C372,""))</f>
        <v/>
      </c>
      <c r="B372" s="25" t="str">
        <f>IF(Enquiry!B372="","",IFERROR(Enquiry!D372,""))</f>
        <v/>
      </c>
      <c r="C372" s="26"/>
      <c r="D372" s="26"/>
      <c r="E372" s="26"/>
      <c r="F372" s="26"/>
      <c r="G372" s="27" t="str">
        <f>IF(Enquiry!B372="","",IFERROR(Enquiry!K372,""))</f>
        <v/>
      </c>
    </row>
    <row r="373" spans="1:7" ht="19.5" customHeight="1" x14ac:dyDescent="0.35">
      <c r="A373" s="25" t="str">
        <f>IF(Enquiry!B373="","",IFERROR(Enquiry!C373,""))</f>
        <v/>
      </c>
      <c r="B373" s="25" t="str">
        <f>IF(Enquiry!B373="","",IFERROR(Enquiry!D373,""))</f>
        <v/>
      </c>
      <c r="C373" s="26"/>
      <c r="D373" s="26"/>
      <c r="E373" s="26"/>
      <c r="F373" s="26"/>
      <c r="G373" s="27" t="str">
        <f>IF(Enquiry!B373="","",IFERROR(Enquiry!K373,""))</f>
        <v/>
      </c>
    </row>
    <row r="374" spans="1:7" ht="19.5" customHeight="1" x14ac:dyDescent="0.35">
      <c r="A374" s="25" t="str">
        <f>IF(Enquiry!B374="","",IFERROR(Enquiry!C374,""))</f>
        <v/>
      </c>
      <c r="B374" s="25" t="str">
        <f>IF(Enquiry!B374="","",IFERROR(Enquiry!D374,""))</f>
        <v/>
      </c>
      <c r="C374" s="26"/>
      <c r="D374" s="26"/>
      <c r="E374" s="26"/>
      <c r="F374" s="26"/>
      <c r="G374" s="27" t="str">
        <f>IF(Enquiry!B374="","",IFERROR(Enquiry!K374,""))</f>
        <v/>
      </c>
    </row>
    <row r="375" spans="1:7" ht="19.5" customHeight="1" x14ac:dyDescent="0.35">
      <c r="A375" s="25" t="str">
        <f>IF(Enquiry!B375="","",IFERROR(Enquiry!C375,""))</f>
        <v/>
      </c>
      <c r="B375" s="25" t="str">
        <f>IF(Enquiry!B375="","",IFERROR(Enquiry!D375,""))</f>
        <v/>
      </c>
      <c r="C375" s="26"/>
      <c r="D375" s="26"/>
      <c r="E375" s="26"/>
      <c r="F375" s="26"/>
      <c r="G375" s="27" t="str">
        <f>IF(Enquiry!B375="","",IFERROR(Enquiry!K375,""))</f>
        <v/>
      </c>
    </row>
    <row r="376" spans="1:7" ht="19.5" customHeight="1" x14ac:dyDescent="0.35">
      <c r="A376" s="25" t="str">
        <f>IF(Enquiry!B376="","",IFERROR(Enquiry!C376,""))</f>
        <v/>
      </c>
      <c r="B376" s="25" t="str">
        <f>IF(Enquiry!B376="","",IFERROR(Enquiry!D376,""))</f>
        <v/>
      </c>
      <c r="C376" s="26"/>
      <c r="D376" s="26"/>
      <c r="E376" s="26"/>
      <c r="F376" s="26"/>
      <c r="G376" s="27" t="str">
        <f>IF(Enquiry!B376="","",IFERROR(Enquiry!K376,""))</f>
        <v/>
      </c>
    </row>
    <row r="377" spans="1:7" ht="19.5" customHeight="1" x14ac:dyDescent="0.35">
      <c r="A377" s="25" t="str">
        <f>IF(Enquiry!B377="","",IFERROR(Enquiry!C377,""))</f>
        <v/>
      </c>
      <c r="B377" s="25" t="str">
        <f>IF(Enquiry!B377="","",IFERROR(Enquiry!D377,""))</f>
        <v/>
      </c>
      <c r="C377" s="26"/>
      <c r="D377" s="26"/>
      <c r="E377" s="26"/>
      <c r="F377" s="26"/>
      <c r="G377" s="27" t="str">
        <f>IF(Enquiry!B377="","",IFERROR(Enquiry!K377,""))</f>
        <v/>
      </c>
    </row>
    <row r="378" spans="1:7" ht="19.5" customHeight="1" x14ac:dyDescent="0.35">
      <c r="A378" s="25" t="str">
        <f>IF(Enquiry!B378="","",IFERROR(Enquiry!C378,""))</f>
        <v/>
      </c>
      <c r="B378" s="25" t="str">
        <f>IF(Enquiry!B378="","",IFERROR(Enquiry!D378,""))</f>
        <v/>
      </c>
      <c r="C378" s="26"/>
      <c r="D378" s="26"/>
      <c r="E378" s="26"/>
      <c r="F378" s="26"/>
      <c r="G378" s="27" t="str">
        <f>IF(Enquiry!B378="","",IFERROR(Enquiry!K378,""))</f>
        <v/>
      </c>
    </row>
    <row r="379" spans="1:7" ht="19.5" customHeight="1" x14ac:dyDescent="0.35">
      <c r="A379" s="25" t="str">
        <f>IF(Enquiry!B379="","",IFERROR(Enquiry!C379,""))</f>
        <v/>
      </c>
      <c r="B379" s="25" t="str">
        <f>IF(Enquiry!B379="","",IFERROR(Enquiry!D379,""))</f>
        <v/>
      </c>
      <c r="C379" s="26"/>
      <c r="D379" s="26"/>
      <c r="E379" s="26"/>
      <c r="F379" s="26"/>
      <c r="G379" s="27" t="str">
        <f>IF(Enquiry!B379="","",IFERROR(Enquiry!K379,""))</f>
        <v/>
      </c>
    </row>
    <row r="380" spans="1:7" ht="19.5" customHeight="1" x14ac:dyDescent="0.35">
      <c r="A380" s="25" t="str">
        <f>IF(Enquiry!B380="","",IFERROR(Enquiry!C380,""))</f>
        <v/>
      </c>
      <c r="B380" s="25" t="str">
        <f>IF(Enquiry!B380="","",IFERROR(Enquiry!D380,""))</f>
        <v/>
      </c>
      <c r="C380" s="26"/>
      <c r="D380" s="26"/>
      <c r="E380" s="26"/>
      <c r="F380" s="26"/>
      <c r="G380" s="27" t="str">
        <f>IF(Enquiry!B380="","",IFERROR(Enquiry!K380,""))</f>
        <v/>
      </c>
    </row>
    <row r="381" spans="1:7" ht="19.5" customHeight="1" x14ac:dyDescent="0.35">
      <c r="A381" s="25" t="str">
        <f>IF(Enquiry!B381="","",IFERROR(Enquiry!C381,""))</f>
        <v/>
      </c>
      <c r="B381" s="25" t="str">
        <f>IF(Enquiry!B381="","",IFERROR(Enquiry!D381,""))</f>
        <v/>
      </c>
      <c r="C381" s="26"/>
      <c r="D381" s="26"/>
      <c r="E381" s="26"/>
      <c r="F381" s="26"/>
      <c r="G381" s="27" t="str">
        <f>IF(Enquiry!B381="","",IFERROR(Enquiry!K381,""))</f>
        <v/>
      </c>
    </row>
    <row r="382" spans="1:7" ht="19.5" customHeight="1" x14ac:dyDescent="0.35">
      <c r="A382" s="25" t="str">
        <f>IF(Enquiry!B382="","",IFERROR(Enquiry!C382,""))</f>
        <v/>
      </c>
      <c r="B382" s="25" t="str">
        <f>IF(Enquiry!B382="","",IFERROR(Enquiry!D382,""))</f>
        <v/>
      </c>
      <c r="C382" s="26"/>
      <c r="D382" s="26"/>
      <c r="E382" s="26"/>
      <c r="F382" s="26"/>
      <c r="G382" s="27" t="str">
        <f>IF(Enquiry!B382="","",IFERROR(Enquiry!K382,""))</f>
        <v/>
      </c>
    </row>
    <row r="383" spans="1:7" ht="19.5" customHeight="1" x14ac:dyDescent="0.35">
      <c r="A383" s="25" t="str">
        <f>IF(Enquiry!B383="","",IFERROR(Enquiry!C383,""))</f>
        <v/>
      </c>
      <c r="B383" s="25" t="str">
        <f>IF(Enquiry!B383="","",IFERROR(Enquiry!D383,""))</f>
        <v/>
      </c>
      <c r="C383" s="26"/>
      <c r="D383" s="26"/>
      <c r="E383" s="26"/>
      <c r="F383" s="26"/>
      <c r="G383" s="27" t="str">
        <f>IF(Enquiry!B383="","",IFERROR(Enquiry!K383,""))</f>
        <v/>
      </c>
    </row>
    <row r="384" spans="1:7" ht="19.5" customHeight="1" x14ac:dyDescent="0.35">
      <c r="A384" s="25" t="str">
        <f>IF(Enquiry!B384="","",IFERROR(Enquiry!C384,""))</f>
        <v/>
      </c>
      <c r="B384" s="25" t="str">
        <f>IF(Enquiry!B384="","",IFERROR(Enquiry!D384,""))</f>
        <v/>
      </c>
      <c r="C384" s="26"/>
      <c r="D384" s="26"/>
      <c r="E384" s="26"/>
      <c r="F384" s="26"/>
      <c r="G384" s="27" t="str">
        <f>IF(Enquiry!B384="","",IFERROR(Enquiry!K384,""))</f>
        <v/>
      </c>
    </row>
    <row r="385" spans="1:7" ht="19.5" customHeight="1" x14ac:dyDescent="0.35">
      <c r="A385" s="25" t="str">
        <f>IF(Enquiry!B385="","",IFERROR(Enquiry!C385,""))</f>
        <v/>
      </c>
      <c r="B385" s="25" t="str">
        <f>IF(Enquiry!B385="","",IFERROR(Enquiry!D385,""))</f>
        <v/>
      </c>
      <c r="C385" s="26"/>
      <c r="D385" s="26"/>
      <c r="E385" s="26"/>
      <c r="F385" s="26"/>
      <c r="G385" s="27" t="str">
        <f>IF(Enquiry!B385="","",IFERROR(Enquiry!K385,""))</f>
        <v/>
      </c>
    </row>
    <row r="386" spans="1:7" ht="19.5" customHeight="1" x14ac:dyDescent="0.35">
      <c r="A386" s="25" t="str">
        <f>IF(Enquiry!B386="","",IFERROR(Enquiry!C386,""))</f>
        <v/>
      </c>
      <c r="B386" s="25" t="str">
        <f>IF(Enquiry!B386="","",IFERROR(Enquiry!D386,""))</f>
        <v/>
      </c>
      <c r="C386" s="26"/>
      <c r="D386" s="26"/>
      <c r="E386" s="26"/>
      <c r="F386" s="26"/>
      <c r="G386" s="27" t="str">
        <f>IF(Enquiry!B386="","",IFERROR(Enquiry!K386,""))</f>
        <v/>
      </c>
    </row>
    <row r="387" spans="1:7" ht="19.5" customHeight="1" x14ac:dyDescent="0.35">
      <c r="A387" s="25" t="str">
        <f>IF(Enquiry!B387="","",IFERROR(Enquiry!C387,""))</f>
        <v/>
      </c>
      <c r="B387" s="25" t="str">
        <f>IF(Enquiry!B387="","",IFERROR(Enquiry!D387,""))</f>
        <v/>
      </c>
      <c r="C387" s="26"/>
      <c r="D387" s="26"/>
      <c r="E387" s="26"/>
      <c r="F387" s="26"/>
      <c r="G387" s="27" t="str">
        <f>IF(Enquiry!B387="","",IFERROR(Enquiry!K387,""))</f>
        <v/>
      </c>
    </row>
    <row r="388" spans="1:7" ht="19.5" customHeight="1" x14ac:dyDescent="0.35">
      <c r="A388" s="25" t="str">
        <f>IF(Enquiry!B388="","",IFERROR(Enquiry!C388,""))</f>
        <v/>
      </c>
      <c r="B388" s="25" t="str">
        <f>IF(Enquiry!B388="","",IFERROR(Enquiry!D388,""))</f>
        <v/>
      </c>
      <c r="C388" s="26"/>
      <c r="D388" s="26"/>
      <c r="E388" s="26"/>
      <c r="F388" s="26"/>
      <c r="G388" s="27" t="str">
        <f>IF(Enquiry!B388="","",IFERROR(Enquiry!K388,""))</f>
        <v/>
      </c>
    </row>
    <row r="389" spans="1:7" ht="19.5" customHeight="1" x14ac:dyDescent="0.35">
      <c r="A389" s="25" t="str">
        <f>IF(Enquiry!B389="","",IFERROR(Enquiry!C389,""))</f>
        <v/>
      </c>
      <c r="B389" s="25" t="str">
        <f>IF(Enquiry!B389="","",IFERROR(Enquiry!D389,""))</f>
        <v/>
      </c>
      <c r="C389" s="26"/>
      <c r="D389" s="26"/>
      <c r="E389" s="26"/>
      <c r="F389" s="26"/>
      <c r="G389" s="27" t="str">
        <f>IF(Enquiry!B389="","",IFERROR(Enquiry!K389,""))</f>
        <v/>
      </c>
    </row>
    <row r="390" spans="1:7" ht="19.5" customHeight="1" x14ac:dyDescent="0.35">
      <c r="A390" s="25" t="str">
        <f>IF(Enquiry!B390="","",IFERROR(Enquiry!C390,""))</f>
        <v/>
      </c>
      <c r="B390" s="25" t="str">
        <f>IF(Enquiry!B390="","",IFERROR(Enquiry!D390,""))</f>
        <v/>
      </c>
      <c r="C390" s="26"/>
      <c r="D390" s="26"/>
      <c r="E390" s="26"/>
      <c r="F390" s="26"/>
      <c r="G390" s="27" t="str">
        <f>IF(Enquiry!B390="","",IFERROR(Enquiry!K390,""))</f>
        <v/>
      </c>
    </row>
    <row r="391" spans="1:7" ht="19.5" customHeight="1" x14ac:dyDescent="0.35">
      <c r="A391" s="25" t="str">
        <f>IF(Enquiry!B391="","",IFERROR(Enquiry!C391,""))</f>
        <v/>
      </c>
      <c r="B391" s="25" t="str">
        <f>IF(Enquiry!B391="","",IFERROR(Enquiry!D391,""))</f>
        <v/>
      </c>
      <c r="C391" s="26"/>
      <c r="D391" s="26"/>
      <c r="E391" s="26"/>
      <c r="F391" s="26"/>
      <c r="G391" s="27" t="str">
        <f>IF(Enquiry!B391="","",IFERROR(Enquiry!K391,""))</f>
        <v/>
      </c>
    </row>
    <row r="392" spans="1:7" ht="19.5" customHeight="1" x14ac:dyDescent="0.35">
      <c r="A392" s="25" t="str">
        <f>IF(Enquiry!B392="","",IFERROR(Enquiry!C392,""))</f>
        <v/>
      </c>
      <c r="B392" s="25" t="str">
        <f>IF(Enquiry!B392="","",IFERROR(Enquiry!D392,""))</f>
        <v/>
      </c>
      <c r="C392" s="26"/>
      <c r="D392" s="26"/>
      <c r="E392" s="26"/>
      <c r="F392" s="26"/>
      <c r="G392" s="27" t="str">
        <f>IF(Enquiry!B392="","",IFERROR(Enquiry!K392,""))</f>
        <v/>
      </c>
    </row>
    <row r="393" spans="1:7" ht="19.5" customHeight="1" x14ac:dyDescent="0.35">
      <c r="A393" s="25" t="str">
        <f>IF(Enquiry!B393="","",IFERROR(Enquiry!C393,""))</f>
        <v/>
      </c>
      <c r="B393" s="25" t="str">
        <f>IF(Enquiry!B393="","",IFERROR(Enquiry!D393,""))</f>
        <v/>
      </c>
      <c r="C393" s="26"/>
      <c r="D393" s="26"/>
      <c r="E393" s="26"/>
      <c r="F393" s="26"/>
      <c r="G393" s="27" t="str">
        <f>IF(Enquiry!B393="","",IFERROR(Enquiry!K393,""))</f>
        <v/>
      </c>
    </row>
    <row r="394" spans="1:7" ht="19.5" customHeight="1" x14ac:dyDescent="0.35">
      <c r="A394" s="25" t="str">
        <f>IF(Enquiry!B394="","",IFERROR(Enquiry!C394,""))</f>
        <v/>
      </c>
      <c r="B394" s="25" t="str">
        <f>IF(Enquiry!B394="","",IFERROR(Enquiry!D394,""))</f>
        <v/>
      </c>
      <c r="C394" s="26"/>
      <c r="D394" s="26"/>
      <c r="E394" s="26"/>
      <c r="F394" s="26"/>
      <c r="G394" s="27" t="str">
        <f>IF(Enquiry!B394="","",IFERROR(Enquiry!K394,""))</f>
        <v/>
      </c>
    </row>
    <row r="395" spans="1:7" ht="19.5" customHeight="1" x14ac:dyDescent="0.35">
      <c r="A395" s="25" t="str">
        <f>IF(Enquiry!B395="","",IFERROR(Enquiry!C395,""))</f>
        <v/>
      </c>
      <c r="B395" s="25" t="str">
        <f>IF(Enquiry!B395="","",IFERROR(Enquiry!D395,""))</f>
        <v/>
      </c>
      <c r="C395" s="26"/>
      <c r="D395" s="26"/>
      <c r="E395" s="26"/>
      <c r="F395" s="26"/>
      <c r="G395" s="27" t="str">
        <f>IF(Enquiry!B395="","",IFERROR(Enquiry!K395,""))</f>
        <v/>
      </c>
    </row>
    <row r="396" spans="1:7" ht="19.5" customHeight="1" x14ac:dyDescent="0.35">
      <c r="A396" s="25" t="str">
        <f>IF(Enquiry!B396="","",IFERROR(Enquiry!C396,""))</f>
        <v/>
      </c>
      <c r="B396" s="25" t="str">
        <f>IF(Enquiry!B396="","",IFERROR(Enquiry!D396,""))</f>
        <v/>
      </c>
      <c r="C396" s="26"/>
      <c r="D396" s="26"/>
      <c r="E396" s="26"/>
      <c r="F396" s="26"/>
      <c r="G396" s="27" t="str">
        <f>IF(Enquiry!B396="","",IFERROR(Enquiry!K396,""))</f>
        <v/>
      </c>
    </row>
    <row r="397" spans="1:7" ht="19.5" customHeight="1" x14ac:dyDescent="0.35">
      <c r="A397" s="25" t="str">
        <f>IF(Enquiry!B397="","",IFERROR(Enquiry!C397,""))</f>
        <v/>
      </c>
      <c r="B397" s="25" t="str">
        <f>IF(Enquiry!B397="","",IFERROR(Enquiry!D397,""))</f>
        <v/>
      </c>
      <c r="C397" s="26"/>
      <c r="D397" s="26"/>
      <c r="E397" s="26"/>
      <c r="F397" s="26"/>
      <c r="G397" s="27" t="str">
        <f>IF(Enquiry!B397="","",IFERROR(Enquiry!K397,""))</f>
        <v/>
      </c>
    </row>
    <row r="398" spans="1:7" ht="19.5" customHeight="1" x14ac:dyDescent="0.35">
      <c r="A398" s="25" t="str">
        <f>IF(Enquiry!B398="","",IFERROR(Enquiry!C398,""))</f>
        <v/>
      </c>
      <c r="B398" s="25" t="str">
        <f>IF(Enquiry!B398="","",IFERROR(Enquiry!D398,""))</f>
        <v/>
      </c>
      <c r="C398" s="26"/>
      <c r="D398" s="26"/>
      <c r="E398" s="26"/>
      <c r="F398" s="26"/>
      <c r="G398" s="27" t="str">
        <f>IF(Enquiry!B398="","",IFERROR(Enquiry!K398,""))</f>
        <v/>
      </c>
    </row>
    <row r="399" spans="1:7" ht="19.5" customHeight="1" x14ac:dyDescent="0.35">
      <c r="A399" s="25" t="str">
        <f>IF(Enquiry!B399="","",IFERROR(Enquiry!C399,""))</f>
        <v/>
      </c>
      <c r="B399" s="25" t="str">
        <f>IF(Enquiry!B399="","",IFERROR(Enquiry!D399,""))</f>
        <v/>
      </c>
      <c r="C399" s="26"/>
      <c r="D399" s="26"/>
      <c r="E399" s="26"/>
      <c r="F399" s="26"/>
      <c r="G399" s="27" t="str">
        <f>IF(Enquiry!B399="","",IFERROR(Enquiry!K399,""))</f>
        <v/>
      </c>
    </row>
    <row r="400" spans="1:7" ht="19.5" customHeight="1" x14ac:dyDescent="0.35">
      <c r="A400" s="25" t="str">
        <f>IF(Enquiry!B400="","",IFERROR(Enquiry!C400,""))</f>
        <v/>
      </c>
      <c r="B400" s="25" t="str">
        <f>IF(Enquiry!B400="","",IFERROR(Enquiry!D400,""))</f>
        <v/>
      </c>
      <c r="C400" s="26"/>
      <c r="D400" s="26"/>
      <c r="E400" s="26"/>
      <c r="F400" s="26"/>
      <c r="G400" s="27" t="str">
        <f>IF(Enquiry!B400="","",IFERROR(Enquiry!K400,""))</f>
        <v/>
      </c>
    </row>
    <row r="401" spans="1:7" ht="19.5" customHeight="1" x14ac:dyDescent="0.35">
      <c r="A401" s="25" t="str">
        <f>IF(Enquiry!B401="","",IFERROR(Enquiry!C401,""))</f>
        <v/>
      </c>
      <c r="B401" s="25" t="str">
        <f>IF(Enquiry!B401="","",IFERROR(Enquiry!D401,""))</f>
        <v/>
      </c>
      <c r="C401" s="26"/>
      <c r="D401" s="26"/>
      <c r="E401" s="26"/>
      <c r="F401" s="26"/>
      <c r="G401" s="27" t="str">
        <f>IF(Enquiry!B401="","",IFERROR(Enquiry!K401,""))</f>
        <v/>
      </c>
    </row>
    <row r="402" spans="1:7" ht="19.5" customHeight="1" x14ac:dyDescent="0.35">
      <c r="A402" s="25" t="str">
        <f>IF(Enquiry!B402="","",IFERROR(Enquiry!C402,""))</f>
        <v/>
      </c>
      <c r="B402" s="25" t="str">
        <f>IF(Enquiry!B402="","",IFERROR(Enquiry!D402,""))</f>
        <v/>
      </c>
      <c r="C402" s="26"/>
      <c r="D402" s="26"/>
      <c r="E402" s="26"/>
      <c r="F402" s="26"/>
      <c r="G402" s="27" t="str">
        <f>IF(Enquiry!B402="","",IFERROR(Enquiry!K402,""))</f>
        <v/>
      </c>
    </row>
    <row r="403" spans="1:7" ht="19.5" customHeight="1" x14ac:dyDescent="0.35">
      <c r="A403" s="25" t="str">
        <f>IF(Enquiry!B403="","",IFERROR(Enquiry!C403,""))</f>
        <v/>
      </c>
      <c r="B403" s="25" t="str">
        <f>IF(Enquiry!B403="","",IFERROR(Enquiry!D403,""))</f>
        <v/>
      </c>
      <c r="C403" s="26"/>
      <c r="D403" s="26"/>
      <c r="E403" s="26"/>
      <c r="F403" s="26"/>
      <c r="G403" s="27" t="str">
        <f>IF(Enquiry!B403="","",IFERROR(Enquiry!K403,""))</f>
        <v/>
      </c>
    </row>
    <row r="404" spans="1:7" ht="19.5" customHeight="1" x14ac:dyDescent="0.35">
      <c r="A404" s="25" t="str">
        <f>IF(Enquiry!B404="","",IFERROR(Enquiry!C404,""))</f>
        <v/>
      </c>
      <c r="B404" s="25" t="str">
        <f>IF(Enquiry!B404="","",IFERROR(Enquiry!D404,""))</f>
        <v/>
      </c>
      <c r="C404" s="26"/>
      <c r="D404" s="26"/>
      <c r="E404" s="26"/>
      <c r="F404" s="26"/>
      <c r="G404" s="27" t="str">
        <f>IF(Enquiry!B404="","",IFERROR(Enquiry!K404,""))</f>
        <v/>
      </c>
    </row>
    <row r="405" spans="1:7" ht="19.5" customHeight="1" x14ac:dyDescent="0.35">
      <c r="A405" s="25" t="str">
        <f>IF(Enquiry!B405="","",IFERROR(Enquiry!C405,""))</f>
        <v/>
      </c>
      <c r="B405" s="25" t="str">
        <f>IF(Enquiry!B405="","",IFERROR(Enquiry!D405,""))</f>
        <v/>
      </c>
      <c r="C405" s="26"/>
      <c r="D405" s="26"/>
      <c r="E405" s="26"/>
      <c r="F405" s="26"/>
      <c r="G405" s="27" t="str">
        <f>IF(Enquiry!B405="","",IFERROR(Enquiry!K405,""))</f>
        <v/>
      </c>
    </row>
    <row r="406" spans="1:7" ht="19.5" customHeight="1" x14ac:dyDescent="0.35">
      <c r="A406" s="25" t="str">
        <f>IF(Enquiry!B406="","",IFERROR(Enquiry!C406,""))</f>
        <v/>
      </c>
      <c r="B406" s="25" t="str">
        <f>IF(Enquiry!B406="","",IFERROR(Enquiry!D406,""))</f>
        <v/>
      </c>
      <c r="C406" s="26"/>
      <c r="D406" s="26"/>
      <c r="E406" s="26"/>
      <c r="F406" s="26"/>
      <c r="G406" s="27" t="str">
        <f>IF(Enquiry!B406="","",IFERROR(Enquiry!K406,""))</f>
        <v/>
      </c>
    </row>
    <row r="407" spans="1:7" ht="19.5" customHeight="1" x14ac:dyDescent="0.35">
      <c r="A407" s="25" t="str">
        <f>IF(Enquiry!B407="","",IFERROR(Enquiry!C407,""))</f>
        <v/>
      </c>
      <c r="B407" s="25" t="str">
        <f>IF(Enquiry!B407="","",IFERROR(Enquiry!D407,""))</f>
        <v/>
      </c>
      <c r="C407" s="26"/>
      <c r="D407" s="26"/>
      <c r="E407" s="26"/>
      <c r="F407" s="26"/>
      <c r="G407" s="27" t="str">
        <f>IF(Enquiry!B407="","",IFERROR(Enquiry!K407,""))</f>
        <v/>
      </c>
    </row>
    <row r="408" spans="1:7" ht="19.5" customHeight="1" x14ac:dyDescent="0.35">
      <c r="A408" s="25" t="str">
        <f>IF(Enquiry!B408="","",IFERROR(Enquiry!C408,""))</f>
        <v/>
      </c>
      <c r="B408" s="25" t="str">
        <f>IF(Enquiry!B408="","",IFERROR(Enquiry!D408,""))</f>
        <v/>
      </c>
      <c r="C408" s="26"/>
      <c r="D408" s="26"/>
      <c r="E408" s="26"/>
      <c r="F408" s="26"/>
      <c r="G408" s="27" t="str">
        <f>IF(Enquiry!B408="","",IFERROR(Enquiry!K408,""))</f>
        <v/>
      </c>
    </row>
    <row r="409" spans="1:7" ht="19.5" customHeight="1" x14ac:dyDescent="0.35">
      <c r="A409" s="25" t="str">
        <f>IF(Enquiry!B409="","",IFERROR(Enquiry!C409,""))</f>
        <v/>
      </c>
      <c r="B409" s="25" t="str">
        <f>IF(Enquiry!B409="","",IFERROR(Enquiry!D409,""))</f>
        <v/>
      </c>
      <c r="C409" s="26"/>
      <c r="D409" s="26"/>
      <c r="E409" s="26"/>
      <c r="F409" s="26"/>
      <c r="G409" s="27" t="str">
        <f>IF(Enquiry!B409="","",IFERROR(Enquiry!K409,""))</f>
        <v/>
      </c>
    </row>
    <row r="410" spans="1:7" ht="19.5" customHeight="1" x14ac:dyDescent="0.35">
      <c r="A410" s="25" t="str">
        <f>IF(Enquiry!B410="","",IFERROR(Enquiry!C410,""))</f>
        <v/>
      </c>
      <c r="B410" s="25" t="str">
        <f>IF(Enquiry!B410="","",IFERROR(Enquiry!D410,""))</f>
        <v/>
      </c>
      <c r="C410" s="26"/>
      <c r="D410" s="26"/>
      <c r="E410" s="26"/>
      <c r="F410" s="26"/>
      <c r="G410" s="27" t="str">
        <f>IF(Enquiry!B410="","",IFERROR(Enquiry!K410,""))</f>
        <v/>
      </c>
    </row>
    <row r="411" spans="1:7" ht="19.5" customHeight="1" x14ac:dyDescent="0.35">
      <c r="A411" s="25" t="str">
        <f>IF(Enquiry!B411="","",IFERROR(Enquiry!C411,""))</f>
        <v/>
      </c>
      <c r="B411" s="25" t="str">
        <f>IF(Enquiry!B411="","",IFERROR(Enquiry!D411,""))</f>
        <v/>
      </c>
      <c r="C411" s="26"/>
      <c r="D411" s="26"/>
      <c r="E411" s="26"/>
      <c r="F411" s="26"/>
      <c r="G411" s="27" t="str">
        <f>IF(Enquiry!B411="","",IFERROR(Enquiry!K411,""))</f>
        <v/>
      </c>
    </row>
    <row r="412" spans="1:7" ht="19.5" customHeight="1" x14ac:dyDescent="0.35">
      <c r="A412" s="25" t="str">
        <f>IF(Enquiry!B412="","",IFERROR(Enquiry!C412,""))</f>
        <v/>
      </c>
      <c r="B412" s="25" t="str">
        <f>IF(Enquiry!B412="","",IFERROR(Enquiry!D412,""))</f>
        <v/>
      </c>
      <c r="C412" s="26"/>
      <c r="D412" s="26"/>
      <c r="E412" s="26"/>
      <c r="F412" s="26"/>
      <c r="G412" s="27" t="str">
        <f>IF(Enquiry!B412="","",IFERROR(Enquiry!K412,""))</f>
        <v/>
      </c>
    </row>
    <row r="413" spans="1:7" ht="19.5" customHeight="1" x14ac:dyDescent="0.35">
      <c r="A413" s="25" t="str">
        <f>IF(Enquiry!B413="","",IFERROR(Enquiry!C413,""))</f>
        <v/>
      </c>
      <c r="B413" s="25" t="str">
        <f>IF(Enquiry!B413="","",IFERROR(Enquiry!D413,""))</f>
        <v/>
      </c>
      <c r="C413" s="26"/>
      <c r="D413" s="26"/>
      <c r="E413" s="26"/>
      <c r="F413" s="26"/>
      <c r="G413" s="27" t="str">
        <f>IF(Enquiry!B413="","",IFERROR(Enquiry!K413,""))</f>
        <v/>
      </c>
    </row>
    <row r="414" spans="1:7" ht="19.5" customHeight="1" x14ac:dyDescent="0.35">
      <c r="A414" s="25" t="str">
        <f>IF(Enquiry!B414="","",IFERROR(Enquiry!C414,""))</f>
        <v/>
      </c>
      <c r="B414" s="25" t="str">
        <f>IF(Enquiry!B414="","",IFERROR(Enquiry!D414,""))</f>
        <v/>
      </c>
      <c r="C414" s="26"/>
      <c r="D414" s="26"/>
      <c r="E414" s="26"/>
      <c r="F414" s="26"/>
      <c r="G414" s="27" t="str">
        <f>IF(Enquiry!B414="","",IFERROR(Enquiry!K414,""))</f>
        <v/>
      </c>
    </row>
    <row r="415" spans="1:7" ht="19.5" customHeight="1" x14ac:dyDescent="0.35">
      <c r="A415" s="25" t="str">
        <f>IF(Enquiry!B415="","",IFERROR(Enquiry!C415,""))</f>
        <v/>
      </c>
      <c r="B415" s="25" t="str">
        <f>IF(Enquiry!B415="","",IFERROR(Enquiry!D415,""))</f>
        <v/>
      </c>
      <c r="C415" s="26"/>
      <c r="D415" s="26"/>
      <c r="E415" s="26"/>
      <c r="F415" s="26"/>
      <c r="G415" s="27" t="str">
        <f>IF(Enquiry!B415="","",IFERROR(Enquiry!K415,""))</f>
        <v/>
      </c>
    </row>
    <row r="416" spans="1:7" ht="19.5" customHeight="1" x14ac:dyDescent="0.35">
      <c r="A416" s="25" t="str">
        <f>IF(Enquiry!B416="","",IFERROR(Enquiry!C416,""))</f>
        <v/>
      </c>
      <c r="B416" s="25" t="str">
        <f>IF(Enquiry!B416="","",IFERROR(Enquiry!D416,""))</f>
        <v/>
      </c>
      <c r="C416" s="26"/>
      <c r="D416" s="26"/>
      <c r="E416" s="26"/>
      <c r="F416" s="26"/>
      <c r="G416" s="27" t="str">
        <f>IF(Enquiry!B416="","",IFERROR(Enquiry!K416,""))</f>
        <v/>
      </c>
    </row>
    <row r="417" spans="1:7" ht="19.5" customHeight="1" x14ac:dyDescent="0.35">
      <c r="A417" s="25" t="str">
        <f>IF(Enquiry!B417="","",IFERROR(Enquiry!C417,""))</f>
        <v/>
      </c>
      <c r="B417" s="25" t="str">
        <f>IF(Enquiry!B417="","",IFERROR(Enquiry!D417,""))</f>
        <v/>
      </c>
      <c r="C417" s="26"/>
      <c r="D417" s="26"/>
      <c r="E417" s="26"/>
      <c r="F417" s="26"/>
      <c r="G417" s="27" t="str">
        <f>IF(Enquiry!B417="","",IFERROR(Enquiry!K417,""))</f>
        <v/>
      </c>
    </row>
    <row r="418" spans="1:7" ht="19.5" customHeight="1" x14ac:dyDescent="0.35">
      <c r="A418" s="25" t="str">
        <f>IF(Enquiry!B418="","",IFERROR(Enquiry!C418,""))</f>
        <v/>
      </c>
      <c r="B418" s="25" t="str">
        <f>IF(Enquiry!B418="","",IFERROR(Enquiry!D418,""))</f>
        <v/>
      </c>
      <c r="C418" s="26"/>
      <c r="D418" s="26"/>
      <c r="E418" s="26"/>
      <c r="F418" s="26"/>
      <c r="G418" s="27" t="str">
        <f>IF(Enquiry!B418="","",IFERROR(Enquiry!K418,""))</f>
        <v/>
      </c>
    </row>
    <row r="419" spans="1:7" ht="19.5" customHeight="1" x14ac:dyDescent="0.35">
      <c r="A419" s="25" t="str">
        <f>IF(Enquiry!B419="","",IFERROR(Enquiry!C419,""))</f>
        <v/>
      </c>
      <c r="B419" s="25" t="str">
        <f>IF(Enquiry!B419="","",IFERROR(Enquiry!D419,""))</f>
        <v/>
      </c>
      <c r="C419" s="26"/>
      <c r="D419" s="26"/>
      <c r="E419" s="26"/>
      <c r="F419" s="26"/>
      <c r="G419" s="27" t="str">
        <f>IF(Enquiry!B419="","",IFERROR(Enquiry!K419,""))</f>
        <v/>
      </c>
    </row>
    <row r="420" spans="1:7" ht="19.5" customHeight="1" x14ac:dyDescent="0.35">
      <c r="A420" s="25" t="str">
        <f>IF(Enquiry!B420="","",IFERROR(Enquiry!C420,""))</f>
        <v/>
      </c>
      <c r="B420" s="25" t="str">
        <f>IF(Enquiry!B420="","",IFERROR(Enquiry!D420,""))</f>
        <v/>
      </c>
      <c r="C420" s="26"/>
      <c r="D420" s="26"/>
      <c r="E420" s="26"/>
      <c r="F420" s="26"/>
      <c r="G420" s="27" t="str">
        <f>IF(Enquiry!B420="","",IFERROR(Enquiry!K420,""))</f>
        <v/>
      </c>
    </row>
    <row r="421" spans="1:7" ht="19.5" customHeight="1" x14ac:dyDescent="0.35">
      <c r="A421" s="25" t="str">
        <f>IF(Enquiry!B421="","",IFERROR(Enquiry!C421,""))</f>
        <v/>
      </c>
      <c r="B421" s="25" t="str">
        <f>IF(Enquiry!B421="","",IFERROR(Enquiry!D421,""))</f>
        <v/>
      </c>
      <c r="C421" s="26"/>
      <c r="D421" s="26"/>
      <c r="E421" s="26"/>
      <c r="F421" s="26"/>
      <c r="G421" s="27" t="str">
        <f>IF(Enquiry!B421="","",IFERROR(Enquiry!K421,""))</f>
        <v/>
      </c>
    </row>
    <row r="422" spans="1:7" ht="19.5" customHeight="1" x14ac:dyDescent="0.35">
      <c r="A422" s="25" t="str">
        <f>IF(Enquiry!B422="","",IFERROR(Enquiry!C422,""))</f>
        <v/>
      </c>
      <c r="B422" s="25" t="str">
        <f>IF(Enquiry!B422="","",IFERROR(Enquiry!D422,""))</f>
        <v/>
      </c>
      <c r="C422" s="26"/>
      <c r="D422" s="26"/>
      <c r="E422" s="26"/>
      <c r="F422" s="26"/>
      <c r="G422" s="27" t="str">
        <f>IF(Enquiry!B422="","",IFERROR(Enquiry!K422,""))</f>
        <v/>
      </c>
    </row>
    <row r="423" spans="1:7" ht="19.5" customHeight="1" x14ac:dyDescent="0.35">
      <c r="A423" s="25" t="str">
        <f>IF(Enquiry!B423="","",IFERROR(Enquiry!C423,""))</f>
        <v/>
      </c>
      <c r="B423" s="25" t="str">
        <f>IF(Enquiry!B423="","",IFERROR(Enquiry!D423,""))</f>
        <v/>
      </c>
      <c r="C423" s="26"/>
      <c r="D423" s="26"/>
      <c r="E423" s="26"/>
      <c r="F423" s="26"/>
      <c r="G423" s="27" t="str">
        <f>IF(Enquiry!B423="","",IFERROR(Enquiry!K423,""))</f>
        <v/>
      </c>
    </row>
    <row r="424" spans="1:7" ht="19.5" customHeight="1" x14ac:dyDescent="0.35">
      <c r="A424" s="25" t="str">
        <f>IF(Enquiry!B424="","",IFERROR(Enquiry!C424,""))</f>
        <v/>
      </c>
      <c r="B424" s="25" t="str">
        <f>IF(Enquiry!B424="","",IFERROR(Enquiry!D424,""))</f>
        <v/>
      </c>
      <c r="C424" s="26"/>
      <c r="D424" s="26"/>
      <c r="E424" s="26"/>
      <c r="F424" s="26"/>
      <c r="G424" s="27" t="str">
        <f>IF(Enquiry!B424="","",IFERROR(Enquiry!K424,""))</f>
        <v/>
      </c>
    </row>
    <row r="425" spans="1:7" ht="19.5" customHeight="1" x14ac:dyDescent="0.35">
      <c r="A425" s="25" t="str">
        <f>IF(Enquiry!B425="","",IFERROR(Enquiry!C425,""))</f>
        <v/>
      </c>
      <c r="B425" s="25" t="str">
        <f>IF(Enquiry!B425="","",IFERROR(Enquiry!D425,""))</f>
        <v/>
      </c>
      <c r="C425" s="26"/>
      <c r="D425" s="26"/>
      <c r="E425" s="26"/>
      <c r="F425" s="26"/>
      <c r="G425" s="27" t="str">
        <f>IF(Enquiry!B425="","",IFERROR(Enquiry!K425,""))</f>
        <v/>
      </c>
    </row>
    <row r="426" spans="1:7" ht="19.5" customHeight="1" x14ac:dyDescent="0.35">
      <c r="A426" s="25" t="str">
        <f>IF(Enquiry!B426="","",IFERROR(Enquiry!C426,""))</f>
        <v/>
      </c>
      <c r="B426" s="25" t="str">
        <f>IF(Enquiry!B426="","",IFERROR(Enquiry!D426,""))</f>
        <v/>
      </c>
      <c r="C426" s="26"/>
      <c r="D426" s="26"/>
      <c r="E426" s="26"/>
      <c r="F426" s="26"/>
      <c r="G426" s="27" t="str">
        <f>IF(Enquiry!B426="","",IFERROR(Enquiry!K426,""))</f>
        <v/>
      </c>
    </row>
    <row r="427" spans="1:7" ht="19.5" customHeight="1" x14ac:dyDescent="0.35">
      <c r="A427" s="25" t="str">
        <f>IF(Enquiry!B427="","",IFERROR(Enquiry!C427,""))</f>
        <v/>
      </c>
      <c r="B427" s="25" t="str">
        <f>IF(Enquiry!B427="","",IFERROR(Enquiry!D427,""))</f>
        <v/>
      </c>
      <c r="C427" s="26"/>
      <c r="D427" s="26"/>
      <c r="E427" s="26"/>
      <c r="F427" s="26"/>
      <c r="G427" s="27" t="str">
        <f>IF(Enquiry!B427="","",IFERROR(Enquiry!K427,""))</f>
        <v/>
      </c>
    </row>
    <row r="428" spans="1:7" ht="19.5" customHeight="1" x14ac:dyDescent="0.35">
      <c r="A428" s="25" t="str">
        <f>IF(Enquiry!B428="","",IFERROR(Enquiry!C428,""))</f>
        <v/>
      </c>
      <c r="B428" s="25" t="str">
        <f>IF(Enquiry!B428="","",IFERROR(Enquiry!D428,""))</f>
        <v/>
      </c>
      <c r="C428" s="26"/>
      <c r="D428" s="26"/>
      <c r="E428" s="26"/>
      <c r="F428" s="26"/>
      <c r="G428" s="27" t="str">
        <f>IF(Enquiry!B428="","",IFERROR(Enquiry!K428,""))</f>
        <v/>
      </c>
    </row>
    <row r="429" spans="1:7" ht="19.5" customHeight="1" x14ac:dyDescent="0.35">
      <c r="A429" s="25" t="str">
        <f>IF(Enquiry!B429="","",IFERROR(Enquiry!C429,""))</f>
        <v/>
      </c>
      <c r="B429" s="25" t="str">
        <f>IF(Enquiry!B429="","",IFERROR(Enquiry!D429,""))</f>
        <v/>
      </c>
      <c r="C429" s="26"/>
      <c r="D429" s="26"/>
      <c r="E429" s="26"/>
      <c r="F429" s="26"/>
      <c r="G429" s="27" t="str">
        <f>IF(Enquiry!B429="","",IFERROR(Enquiry!K429,""))</f>
        <v/>
      </c>
    </row>
    <row r="430" spans="1:7" ht="19.5" customHeight="1" x14ac:dyDescent="0.35">
      <c r="A430" s="25" t="str">
        <f>IF(Enquiry!B430="","",IFERROR(Enquiry!C430,""))</f>
        <v/>
      </c>
      <c r="B430" s="25" t="str">
        <f>IF(Enquiry!B430="","",IFERROR(Enquiry!D430,""))</f>
        <v/>
      </c>
      <c r="C430" s="26"/>
      <c r="D430" s="26"/>
      <c r="E430" s="26"/>
      <c r="F430" s="26"/>
      <c r="G430" s="27" t="str">
        <f>IF(Enquiry!B430="","",IFERROR(Enquiry!K430,""))</f>
        <v/>
      </c>
    </row>
    <row r="431" spans="1:7" ht="19.5" customHeight="1" x14ac:dyDescent="0.35">
      <c r="A431" s="25" t="str">
        <f>IF(Enquiry!B431="","",IFERROR(Enquiry!C431,""))</f>
        <v/>
      </c>
      <c r="B431" s="25" t="str">
        <f>IF(Enquiry!B431="","",IFERROR(Enquiry!D431,""))</f>
        <v/>
      </c>
      <c r="C431" s="26"/>
      <c r="D431" s="26"/>
      <c r="E431" s="26"/>
      <c r="F431" s="26"/>
      <c r="G431" s="27" t="str">
        <f>IF(Enquiry!B431="","",IFERROR(Enquiry!K431,""))</f>
        <v/>
      </c>
    </row>
    <row r="432" spans="1:7" ht="19.5" customHeight="1" x14ac:dyDescent="0.35">
      <c r="A432" s="25" t="str">
        <f>IF(Enquiry!B432="","",IFERROR(Enquiry!C432,""))</f>
        <v/>
      </c>
      <c r="B432" s="25" t="str">
        <f>IF(Enquiry!B432="","",IFERROR(Enquiry!D432,""))</f>
        <v/>
      </c>
      <c r="C432" s="26"/>
      <c r="D432" s="26"/>
      <c r="E432" s="26"/>
      <c r="F432" s="26"/>
      <c r="G432" s="27" t="str">
        <f>IF(Enquiry!B432="","",IFERROR(Enquiry!K432,""))</f>
        <v/>
      </c>
    </row>
    <row r="433" spans="1:7" ht="19.5" customHeight="1" x14ac:dyDescent="0.35">
      <c r="A433" s="25" t="str">
        <f>IF(Enquiry!B433="","",IFERROR(Enquiry!C433,""))</f>
        <v/>
      </c>
      <c r="B433" s="25" t="str">
        <f>IF(Enquiry!B433="","",IFERROR(Enquiry!D433,""))</f>
        <v/>
      </c>
      <c r="C433" s="26"/>
      <c r="D433" s="26"/>
      <c r="E433" s="26"/>
      <c r="F433" s="26"/>
      <c r="G433" s="27" t="str">
        <f>IF(Enquiry!B433="","",IFERROR(Enquiry!K433,""))</f>
        <v/>
      </c>
    </row>
    <row r="434" spans="1:7" ht="19.5" customHeight="1" x14ac:dyDescent="0.35">
      <c r="A434" s="25" t="str">
        <f>IF(Enquiry!B434="","",IFERROR(Enquiry!C434,""))</f>
        <v/>
      </c>
      <c r="B434" s="25" t="str">
        <f>IF(Enquiry!B434="","",IFERROR(Enquiry!D434,""))</f>
        <v/>
      </c>
      <c r="C434" s="26"/>
      <c r="D434" s="26"/>
      <c r="E434" s="26"/>
      <c r="F434" s="26"/>
      <c r="G434" s="27" t="str">
        <f>IF(Enquiry!B434="","",IFERROR(Enquiry!K434,""))</f>
        <v/>
      </c>
    </row>
    <row r="435" spans="1:7" ht="19.5" customHeight="1" x14ac:dyDescent="0.35">
      <c r="A435" s="25" t="str">
        <f>IF(Enquiry!B435="","",IFERROR(Enquiry!C435,""))</f>
        <v/>
      </c>
      <c r="B435" s="25" t="str">
        <f>IF(Enquiry!B435="","",IFERROR(Enquiry!D435,""))</f>
        <v/>
      </c>
      <c r="C435" s="26"/>
      <c r="D435" s="26"/>
      <c r="E435" s="26"/>
      <c r="F435" s="26"/>
      <c r="G435" s="27" t="str">
        <f>IF(Enquiry!B435="","",IFERROR(Enquiry!K435,""))</f>
        <v/>
      </c>
    </row>
    <row r="436" spans="1:7" ht="19.5" customHeight="1" x14ac:dyDescent="0.35">
      <c r="A436" s="25" t="str">
        <f>IF(Enquiry!B436="","",IFERROR(Enquiry!C436,""))</f>
        <v/>
      </c>
      <c r="B436" s="25" t="str">
        <f>IF(Enquiry!B436="","",IFERROR(Enquiry!D436,""))</f>
        <v/>
      </c>
      <c r="C436" s="26"/>
      <c r="D436" s="26"/>
      <c r="E436" s="26"/>
      <c r="F436" s="26"/>
      <c r="G436" s="27" t="str">
        <f>IF(Enquiry!B436="","",IFERROR(Enquiry!K436,""))</f>
        <v/>
      </c>
    </row>
    <row r="437" spans="1:7" ht="19.5" customHeight="1" x14ac:dyDescent="0.35">
      <c r="A437" s="25" t="str">
        <f>IF(Enquiry!B437="","",IFERROR(Enquiry!C437,""))</f>
        <v/>
      </c>
      <c r="B437" s="25" t="str">
        <f>IF(Enquiry!B437="","",IFERROR(Enquiry!D437,""))</f>
        <v/>
      </c>
      <c r="C437" s="26"/>
      <c r="D437" s="26"/>
      <c r="E437" s="26"/>
      <c r="F437" s="26"/>
      <c r="G437" s="27" t="str">
        <f>IF(Enquiry!B437="","",IFERROR(Enquiry!K437,""))</f>
        <v/>
      </c>
    </row>
    <row r="438" spans="1:7" ht="19.5" customHeight="1" x14ac:dyDescent="0.35">
      <c r="A438" s="25" t="str">
        <f>IF(Enquiry!B438="","",IFERROR(Enquiry!C438,""))</f>
        <v/>
      </c>
      <c r="B438" s="25" t="str">
        <f>IF(Enquiry!B438="","",IFERROR(Enquiry!D438,""))</f>
        <v/>
      </c>
      <c r="C438" s="26"/>
      <c r="D438" s="26"/>
      <c r="E438" s="26"/>
      <c r="F438" s="26"/>
      <c r="G438" s="27" t="str">
        <f>IF(Enquiry!B438="","",IFERROR(Enquiry!K438,""))</f>
        <v/>
      </c>
    </row>
    <row r="439" spans="1:7" ht="19.5" customHeight="1" x14ac:dyDescent="0.35">
      <c r="A439" s="25" t="str">
        <f>IF(Enquiry!B439="","",IFERROR(Enquiry!C439,""))</f>
        <v/>
      </c>
      <c r="B439" s="25" t="str">
        <f>IF(Enquiry!B439="","",IFERROR(Enquiry!D439,""))</f>
        <v/>
      </c>
      <c r="C439" s="26"/>
      <c r="D439" s="26"/>
      <c r="E439" s="26"/>
      <c r="F439" s="26"/>
      <c r="G439" s="27" t="str">
        <f>IF(Enquiry!B439="","",IFERROR(Enquiry!K439,""))</f>
        <v/>
      </c>
    </row>
    <row r="440" spans="1:7" ht="19.5" customHeight="1" x14ac:dyDescent="0.35">
      <c r="A440" s="25" t="str">
        <f>IF(Enquiry!B440="","",IFERROR(Enquiry!C440,""))</f>
        <v/>
      </c>
      <c r="B440" s="25" t="str">
        <f>IF(Enquiry!B440="","",IFERROR(Enquiry!D440,""))</f>
        <v/>
      </c>
      <c r="C440" s="26"/>
      <c r="D440" s="26"/>
      <c r="E440" s="26"/>
      <c r="F440" s="26"/>
      <c r="G440" s="27" t="str">
        <f>IF(Enquiry!B440="","",IFERROR(Enquiry!K440,""))</f>
        <v/>
      </c>
    </row>
    <row r="441" spans="1:7" ht="19.5" customHeight="1" x14ac:dyDescent="0.35">
      <c r="A441" s="25" t="str">
        <f>IF(Enquiry!B441="","",IFERROR(Enquiry!C441,""))</f>
        <v/>
      </c>
      <c r="B441" s="25" t="str">
        <f>IF(Enquiry!B441="","",IFERROR(Enquiry!D441,""))</f>
        <v/>
      </c>
      <c r="C441" s="26"/>
      <c r="D441" s="26"/>
      <c r="E441" s="26"/>
      <c r="F441" s="26"/>
      <c r="G441" s="27" t="str">
        <f>IF(Enquiry!B441="","",IFERROR(Enquiry!K441,""))</f>
        <v/>
      </c>
    </row>
    <row r="442" spans="1:7" ht="19.5" customHeight="1" x14ac:dyDescent="0.35">
      <c r="A442" s="25" t="str">
        <f>IF(Enquiry!B442="","",IFERROR(Enquiry!C442,""))</f>
        <v/>
      </c>
      <c r="B442" s="25" t="str">
        <f>IF(Enquiry!B442="","",IFERROR(Enquiry!D442,""))</f>
        <v/>
      </c>
      <c r="C442" s="26"/>
      <c r="D442" s="26"/>
      <c r="E442" s="26"/>
      <c r="F442" s="26"/>
      <c r="G442" s="27" t="str">
        <f>IF(Enquiry!B442="","",IFERROR(Enquiry!K442,""))</f>
        <v/>
      </c>
    </row>
    <row r="443" spans="1:7" ht="19.5" customHeight="1" x14ac:dyDescent="0.35">
      <c r="A443" s="25" t="str">
        <f>IF(Enquiry!B443="","",IFERROR(Enquiry!C443,""))</f>
        <v/>
      </c>
      <c r="B443" s="25" t="str">
        <f>IF(Enquiry!B443="","",IFERROR(Enquiry!D443,""))</f>
        <v/>
      </c>
      <c r="C443" s="26"/>
      <c r="D443" s="26"/>
      <c r="E443" s="26"/>
      <c r="F443" s="26"/>
      <c r="G443" s="27" t="str">
        <f>IF(Enquiry!B443="","",IFERROR(Enquiry!K443,""))</f>
        <v/>
      </c>
    </row>
    <row r="444" spans="1:7" ht="19.5" customHeight="1" x14ac:dyDescent="0.35">
      <c r="A444" s="25" t="str">
        <f>IF(Enquiry!B444="","",IFERROR(Enquiry!C444,""))</f>
        <v/>
      </c>
      <c r="B444" s="25" t="str">
        <f>IF(Enquiry!B444="","",IFERROR(Enquiry!D444,""))</f>
        <v/>
      </c>
      <c r="C444" s="26"/>
      <c r="D444" s="26"/>
      <c r="E444" s="26"/>
      <c r="F444" s="26"/>
      <c r="G444" s="27" t="str">
        <f>IF(Enquiry!B444="","",IFERROR(Enquiry!K444,""))</f>
        <v/>
      </c>
    </row>
    <row r="445" spans="1:7" ht="19.5" customHeight="1" x14ac:dyDescent="0.35">
      <c r="A445" s="25" t="str">
        <f>IF(Enquiry!B445="","",IFERROR(Enquiry!C445,""))</f>
        <v/>
      </c>
      <c r="B445" s="25" t="str">
        <f>IF(Enquiry!B445="","",IFERROR(Enquiry!D445,""))</f>
        <v/>
      </c>
      <c r="C445" s="26"/>
      <c r="D445" s="26"/>
      <c r="E445" s="26"/>
      <c r="F445" s="26"/>
      <c r="G445" s="27" t="str">
        <f>IF(Enquiry!B445="","",IFERROR(Enquiry!K445,""))</f>
        <v/>
      </c>
    </row>
    <row r="446" spans="1:7" ht="19.5" customHeight="1" x14ac:dyDescent="0.35">
      <c r="A446" s="25" t="str">
        <f>IF(Enquiry!B446="","",IFERROR(Enquiry!C446,""))</f>
        <v/>
      </c>
      <c r="B446" s="25" t="str">
        <f>IF(Enquiry!B446="","",IFERROR(Enquiry!D446,""))</f>
        <v/>
      </c>
      <c r="C446" s="26"/>
      <c r="D446" s="26"/>
      <c r="E446" s="26"/>
      <c r="F446" s="26"/>
      <c r="G446" s="27" t="str">
        <f>IF(Enquiry!B446="","",IFERROR(Enquiry!K446,""))</f>
        <v/>
      </c>
    </row>
    <row r="447" spans="1:7" ht="19.5" customHeight="1" x14ac:dyDescent="0.35">
      <c r="A447" s="25" t="str">
        <f>IF(Enquiry!B447="","",IFERROR(Enquiry!C447,""))</f>
        <v/>
      </c>
      <c r="B447" s="25" t="str">
        <f>IF(Enquiry!B447="","",IFERROR(Enquiry!D447,""))</f>
        <v/>
      </c>
      <c r="C447" s="26"/>
      <c r="D447" s="26"/>
      <c r="E447" s="26"/>
      <c r="F447" s="26"/>
      <c r="G447" s="27" t="str">
        <f>IF(Enquiry!B447="","",IFERROR(Enquiry!K447,""))</f>
        <v/>
      </c>
    </row>
    <row r="448" spans="1:7" ht="19.5" customHeight="1" x14ac:dyDescent="0.35">
      <c r="A448" s="25" t="str">
        <f>IF(Enquiry!B448="","",IFERROR(Enquiry!C448,""))</f>
        <v/>
      </c>
      <c r="B448" s="25" t="str">
        <f>IF(Enquiry!B448="","",IFERROR(Enquiry!D448,""))</f>
        <v/>
      </c>
      <c r="C448" s="26"/>
      <c r="D448" s="26"/>
      <c r="E448" s="26"/>
      <c r="F448" s="26"/>
      <c r="G448" s="27" t="str">
        <f>IF(Enquiry!B448="","",IFERROR(Enquiry!K448,""))</f>
        <v/>
      </c>
    </row>
    <row r="449" spans="1:7" ht="19.5" customHeight="1" x14ac:dyDescent="0.35">
      <c r="A449" s="25" t="str">
        <f>IF(Enquiry!B449="","",IFERROR(Enquiry!C449,""))</f>
        <v/>
      </c>
      <c r="B449" s="25" t="str">
        <f>IF(Enquiry!B449="","",IFERROR(Enquiry!D449,""))</f>
        <v/>
      </c>
      <c r="C449" s="26"/>
      <c r="D449" s="26"/>
      <c r="E449" s="26"/>
      <c r="F449" s="26"/>
      <c r="G449" s="27" t="str">
        <f>IF(Enquiry!B449="","",IFERROR(Enquiry!K449,""))</f>
        <v/>
      </c>
    </row>
    <row r="450" spans="1:7" ht="19.5" customHeight="1" x14ac:dyDescent="0.35">
      <c r="A450" s="25" t="str">
        <f>IF(Enquiry!B450="","",IFERROR(Enquiry!C450,""))</f>
        <v/>
      </c>
      <c r="B450" s="25" t="str">
        <f>IF(Enquiry!B450="","",IFERROR(Enquiry!D450,""))</f>
        <v/>
      </c>
      <c r="C450" s="26"/>
      <c r="D450" s="26"/>
      <c r="E450" s="26"/>
      <c r="F450" s="26"/>
      <c r="G450" s="27" t="str">
        <f>IF(Enquiry!B450="","",IFERROR(Enquiry!K450,""))</f>
        <v/>
      </c>
    </row>
    <row r="451" spans="1:7" ht="19.5" customHeight="1" x14ac:dyDescent="0.35">
      <c r="A451" s="25" t="str">
        <f>IF(Enquiry!B451="","",IFERROR(Enquiry!C451,""))</f>
        <v/>
      </c>
      <c r="B451" s="25" t="str">
        <f>IF(Enquiry!B451="","",IFERROR(Enquiry!D451,""))</f>
        <v/>
      </c>
      <c r="C451" s="26"/>
      <c r="D451" s="26"/>
      <c r="E451" s="26"/>
      <c r="F451" s="26"/>
      <c r="G451" s="27" t="str">
        <f>IF(Enquiry!B451="","",IFERROR(Enquiry!K451,""))</f>
        <v/>
      </c>
    </row>
    <row r="452" spans="1:7" ht="19.5" customHeight="1" x14ac:dyDescent="0.35">
      <c r="A452" s="25" t="str">
        <f>IF(Enquiry!B452="","",IFERROR(Enquiry!C452,""))</f>
        <v/>
      </c>
      <c r="B452" s="25" t="str">
        <f>IF(Enquiry!B452="","",IFERROR(Enquiry!D452,""))</f>
        <v/>
      </c>
      <c r="C452" s="26"/>
      <c r="D452" s="26"/>
      <c r="E452" s="26"/>
      <c r="F452" s="26"/>
      <c r="G452" s="27" t="str">
        <f>IF(Enquiry!B452="","",IFERROR(Enquiry!K452,""))</f>
        <v/>
      </c>
    </row>
    <row r="453" spans="1:7" ht="19.5" customHeight="1" x14ac:dyDescent="0.35">
      <c r="A453" s="25" t="str">
        <f>IF(Enquiry!B453="","",IFERROR(Enquiry!C453,""))</f>
        <v/>
      </c>
      <c r="B453" s="25" t="str">
        <f>IF(Enquiry!B453="","",IFERROR(Enquiry!D453,""))</f>
        <v/>
      </c>
      <c r="C453" s="26"/>
      <c r="D453" s="26"/>
      <c r="E453" s="26"/>
      <c r="F453" s="26"/>
      <c r="G453" s="27" t="str">
        <f>IF(Enquiry!B453="","",IFERROR(Enquiry!K453,""))</f>
        <v/>
      </c>
    </row>
    <row r="454" spans="1:7" ht="19.5" customHeight="1" x14ac:dyDescent="0.35">
      <c r="A454" s="25" t="str">
        <f>IF(Enquiry!B454="","",IFERROR(Enquiry!C454,""))</f>
        <v/>
      </c>
      <c r="B454" s="25" t="str">
        <f>IF(Enquiry!B454="","",IFERROR(Enquiry!D454,""))</f>
        <v/>
      </c>
      <c r="C454" s="26"/>
      <c r="D454" s="26"/>
      <c r="E454" s="26"/>
      <c r="F454" s="26"/>
      <c r="G454" s="27" t="str">
        <f>IF(Enquiry!B454="","",IFERROR(Enquiry!K454,""))</f>
        <v/>
      </c>
    </row>
    <row r="455" spans="1:7" ht="19.5" customHeight="1" x14ac:dyDescent="0.35">
      <c r="A455" s="25" t="str">
        <f>IF(Enquiry!B455="","",IFERROR(Enquiry!C455,""))</f>
        <v/>
      </c>
      <c r="B455" s="25" t="str">
        <f>IF(Enquiry!B455="","",IFERROR(Enquiry!D455,""))</f>
        <v/>
      </c>
      <c r="C455" s="26"/>
      <c r="D455" s="26"/>
      <c r="E455" s="26"/>
      <c r="F455" s="26"/>
      <c r="G455" s="27" t="str">
        <f>IF(Enquiry!B455="","",IFERROR(Enquiry!K455,""))</f>
        <v/>
      </c>
    </row>
    <row r="456" spans="1:7" ht="19.5" customHeight="1" x14ac:dyDescent="0.35">
      <c r="A456" s="25" t="str">
        <f>IF(Enquiry!B456="","",IFERROR(Enquiry!C456,""))</f>
        <v/>
      </c>
      <c r="B456" s="25" t="str">
        <f>IF(Enquiry!B456="","",IFERROR(Enquiry!D456,""))</f>
        <v/>
      </c>
      <c r="C456" s="26"/>
      <c r="D456" s="26"/>
      <c r="E456" s="26"/>
      <c r="F456" s="26"/>
      <c r="G456" s="27" t="str">
        <f>IF(Enquiry!B456="","",IFERROR(Enquiry!K456,""))</f>
        <v/>
      </c>
    </row>
    <row r="457" spans="1:7" ht="19.5" customHeight="1" x14ac:dyDescent="0.35">
      <c r="A457" s="25" t="str">
        <f>IF(Enquiry!B457="","",IFERROR(Enquiry!C457,""))</f>
        <v/>
      </c>
      <c r="B457" s="25" t="str">
        <f>IF(Enquiry!B457="","",IFERROR(Enquiry!D457,""))</f>
        <v/>
      </c>
      <c r="C457" s="26"/>
      <c r="D457" s="26"/>
      <c r="E457" s="26"/>
      <c r="F457" s="26"/>
      <c r="G457" s="27" t="str">
        <f>IF(Enquiry!B457="","",IFERROR(Enquiry!K457,""))</f>
        <v/>
      </c>
    </row>
    <row r="458" spans="1:7" ht="19.5" customHeight="1" x14ac:dyDescent="0.35">
      <c r="A458" s="25" t="str">
        <f>IF(Enquiry!B458="","",IFERROR(Enquiry!C458,""))</f>
        <v/>
      </c>
      <c r="B458" s="25" t="str">
        <f>IF(Enquiry!B458="","",IFERROR(Enquiry!D458,""))</f>
        <v/>
      </c>
      <c r="C458" s="26"/>
      <c r="D458" s="26"/>
      <c r="E458" s="26"/>
      <c r="F458" s="26"/>
      <c r="G458" s="27" t="str">
        <f>IF(Enquiry!B458="","",IFERROR(Enquiry!K458,""))</f>
        <v/>
      </c>
    </row>
    <row r="459" spans="1:7" ht="19.5" customHeight="1" x14ac:dyDescent="0.35">
      <c r="A459" s="25" t="str">
        <f>IF(Enquiry!B459="","",IFERROR(Enquiry!C459,""))</f>
        <v/>
      </c>
      <c r="B459" s="25" t="str">
        <f>IF(Enquiry!B459="","",IFERROR(Enquiry!D459,""))</f>
        <v/>
      </c>
      <c r="C459" s="26"/>
      <c r="D459" s="26"/>
      <c r="E459" s="26"/>
      <c r="F459" s="26"/>
      <c r="G459" s="27" t="str">
        <f>IF(Enquiry!B459="","",IFERROR(Enquiry!K459,""))</f>
        <v/>
      </c>
    </row>
    <row r="460" spans="1:7" ht="19.5" customHeight="1" x14ac:dyDescent="0.35">
      <c r="A460" s="25" t="str">
        <f>IF(Enquiry!B460="","",IFERROR(Enquiry!C460,""))</f>
        <v/>
      </c>
      <c r="B460" s="25" t="str">
        <f>IF(Enquiry!B460="","",IFERROR(Enquiry!D460,""))</f>
        <v/>
      </c>
      <c r="C460" s="26"/>
      <c r="D460" s="26"/>
      <c r="E460" s="26"/>
      <c r="F460" s="26"/>
      <c r="G460" s="27" t="str">
        <f>IF(Enquiry!B460="","",IFERROR(Enquiry!K460,""))</f>
        <v/>
      </c>
    </row>
    <row r="461" spans="1:7" ht="19.5" customHeight="1" x14ac:dyDescent="0.35">
      <c r="A461" s="25" t="str">
        <f>IF(Enquiry!B461="","",IFERROR(Enquiry!C461,""))</f>
        <v/>
      </c>
      <c r="B461" s="25" t="str">
        <f>IF(Enquiry!B461="","",IFERROR(Enquiry!D461,""))</f>
        <v/>
      </c>
      <c r="C461" s="26"/>
      <c r="D461" s="26"/>
      <c r="E461" s="26"/>
      <c r="F461" s="26"/>
      <c r="G461" s="27" t="str">
        <f>IF(Enquiry!B461="","",IFERROR(Enquiry!K461,""))</f>
        <v/>
      </c>
    </row>
    <row r="462" spans="1:7" ht="19.5" customHeight="1" x14ac:dyDescent="0.35">
      <c r="A462" s="25" t="str">
        <f>IF(Enquiry!B462="","",IFERROR(Enquiry!C462,""))</f>
        <v/>
      </c>
      <c r="B462" s="25" t="str">
        <f>IF(Enquiry!B462="","",IFERROR(Enquiry!D462,""))</f>
        <v/>
      </c>
      <c r="C462" s="26"/>
      <c r="D462" s="26"/>
      <c r="E462" s="26"/>
      <c r="F462" s="26"/>
      <c r="G462" s="27" t="str">
        <f>IF(Enquiry!B462="","",IFERROR(Enquiry!K462,""))</f>
        <v/>
      </c>
    </row>
    <row r="463" spans="1:7" ht="19.5" customHeight="1" x14ac:dyDescent="0.35">
      <c r="A463" s="25" t="str">
        <f>IF(Enquiry!B463="","",IFERROR(Enquiry!C463,""))</f>
        <v/>
      </c>
      <c r="B463" s="25" t="str">
        <f>IF(Enquiry!B463="","",IFERROR(Enquiry!D463,""))</f>
        <v/>
      </c>
      <c r="C463" s="26"/>
      <c r="D463" s="26"/>
      <c r="E463" s="26"/>
      <c r="F463" s="26"/>
      <c r="G463" s="27" t="str">
        <f>IF(Enquiry!B463="","",IFERROR(Enquiry!K463,""))</f>
        <v/>
      </c>
    </row>
    <row r="464" spans="1:7" ht="19.5" customHeight="1" x14ac:dyDescent="0.35">
      <c r="A464" s="25" t="str">
        <f>IF(Enquiry!B464="","",IFERROR(Enquiry!C464,""))</f>
        <v/>
      </c>
      <c r="B464" s="25" t="str">
        <f>IF(Enquiry!B464="","",IFERROR(Enquiry!D464,""))</f>
        <v/>
      </c>
      <c r="C464" s="26"/>
      <c r="D464" s="26"/>
      <c r="E464" s="26"/>
      <c r="F464" s="26"/>
      <c r="G464" s="27" t="str">
        <f>IF(Enquiry!B464="","",IFERROR(Enquiry!K464,""))</f>
        <v/>
      </c>
    </row>
    <row r="465" spans="1:7" ht="19.5" customHeight="1" x14ac:dyDescent="0.35">
      <c r="A465" s="25" t="str">
        <f>IF(Enquiry!B465="","",IFERROR(Enquiry!C465,""))</f>
        <v/>
      </c>
      <c r="B465" s="25" t="str">
        <f>IF(Enquiry!B465="","",IFERROR(Enquiry!D465,""))</f>
        <v/>
      </c>
      <c r="C465" s="26"/>
      <c r="D465" s="26"/>
      <c r="E465" s="26"/>
      <c r="F465" s="26"/>
      <c r="G465" s="27" t="str">
        <f>IF(Enquiry!B465="","",IFERROR(Enquiry!K465,""))</f>
        <v/>
      </c>
    </row>
    <row r="466" spans="1:7" ht="19.5" customHeight="1" x14ac:dyDescent="0.35">
      <c r="A466" s="25" t="str">
        <f>IF(Enquiry!B466="","",IFERROR(Enquiry!C466,""))</f>
        <v/>
      </c>
      <c r="B466" s="25" t="str">
        <f>IF(Enquiry!B466="","",IFERROR(Enquiry!D466,""))</f>
        <v/>
      </c>
      <c r="C466" s="26"/>
      <c r="D466" s="26"/>
      <c r="E466" s="26"/>
      <c r="F466" s="26"/>
      <c r="G466" s="27" t="str">
        <f>IF(Enquiry!B466="","",IFERROR(Enquiry!K466,""))</f>
        <v/>
      </c>
    </row>
    <row r="467" spans="1:7" ht="19.5" customHeight="1" x14ac:dyDescent="0.35">
      <c r="A467" s="25" t="str">
        <f>IF(Enquiry!B467="","",IFERROR(Enquiry!C467,""))</f>
        <v/>
      </c>
      <c r="B467" s="25" t="str">
        <f>IF(Enquiry!B467="","",IFERROR(Enquiry!D467,""))</f>
        <v/>
      </c>
      <c r="C467" s="26"/>
      <c r="D467" s="26"/>
      <c r="E467" s="26"/>
      <c r="F467" s="26"/>
      <c r="G467" s="27" t="str">
        <f>IF(Enquiry!B467="","",IFERROR(Enquiry!K467,""))</f>
        <v/>
      </c>
    </row>
    <row r="468" spans="1:7" ht="19.5" customHeight="1" x14ac:dyDescent="0.35">
      <c r="A468" s="25" t="str">
        <f>IF(Enquiry!B468="","",IFERROR(Enquiry!C468,""))</f>
        <v/>
      </c>
      <c r="B468" s="25" t="str">
        <f>IF(Enquiry!B468="","",IFERROR(Enquiry!D468,""))</f>
        <v/>
      </c>
      <c r="C468" s="26"/>
      <c r="D468" s="26"/>
      <c r="E468" s="26"/>
      <c r="F468" s="26"/>
      <c r="G468" s="27" t="str">
        <f>IF(Enquiry!B468="","",IFERROR(Enquiry!K468,""))</f>
        <v/>
      </c>
    </row>
    <row r="469" spans="1:7" ht="19.5" customHeight="1" x14ac:dyDescent="0.35">
      <c r="A469" s="25" t="str">
        <f>IF(Enquiry!B469="","",IFERROR(Enquiry!C469,""))</f>
        <v/>
      </c>
      <c r="B469" s="25" t="str">
        <f>IF(Enquiry!B469="","",IFERROR(Enquiry!D469,""))</f>
        <v/>
      </c>
      <c r="C469" s="26"/>
      <c r="D469" s="26"/>
      <c r="E469" s="26"/>
      <c r="F469" s="26"/>
      <c r="G469" s="27" t="str">
        <f>IF(Enquiry!B469="","",IFERROR(Enquiry!K469,""))</f>
        <v/>
      </c>
    </row>
    <row r="470" spans="1:7" ht="19.5" customHeight="1" x14ac:dyDescent="0.35">
      <c r="A470" s="25" t="str">
        <f>IF(Enquiry!B470="","",IFERROR(Enquiry!C470,""))</f>
        <v/>
      </c>
      <c r="B470" s="25" t="str">
        <f>IF(Enquiry!B470="","",IFERROR(Enquiry!D470,""))</f>
        <v/>
      </c>
      <c r="C470" s="26"/>
      <c r="D470" s="26"/>
      <c r="E470" s="26"/>
      <c r="F470" s="26"/>
      <c r="G470" s="27" t="str">
        <f>IF(Enquiry!B470="","",IFERROR(Enquiry!K470,""))</f>
        <v/>
      </c>
    </row>
    <row r="471" spans="1:7" ht="19.5" customHeight="1" x14ac:dyDescent="0.35">
      <c r="A471" s="25" t="str">
        <f>IF(Enquiry!B471="","",IFERROR(Enquiry!C471,""))</f>
        <v/>
      </c>
      <c r="B471" s="25" t="str">
        <f>IF(Enquiry!B471="","",IFERROR(Enquiry!D471,""))</f>
        <v/>
      </c>
      <c r="C471" s="26"/>
      <c r="D471" s="26"/>
      <c r="E471" s="26"/>
      <c r="F471" s="26"/>
      <c r="G471" s="27" t="str">
        <f>IF(Enquiry!B471="","",IFERROR(Enquiry!K471,""))</f>
        <v/>
      </c>
    </row>
    <row r="472" spans="1:7" ht="19.5" customHeight="1" x14ac:dyDescent="0.35">
      <c r="A472" s="25" t="str">
        <f>IF(Enquiry!B472="","",IFERROR(Enquiry!C472,""))</f>
        <v/>
      </c>
      <c r="B472" s="25" t="str">
        <f>IF(Enquiry!B472="","",IFERROR(Enquiry!D472,""))</f>
        <v/>
      </c>
      <c r="C472" s="26"/>
      <c r="D472" s="26"/>
      <c r="E472" s="26"/>
      <c r="F472" s="26"/>
      <c r="G472" s="27" t="str">
        <f>IF(Enquiry!B472="","",IFERROR(Enquiry!K472,""))</f>
        <v/>
      </c>
    </row>
    <row r="473" spans="1:7" ht="19.5" customHeight="1" x14ac:dyDescent="0.35">
      <c r="A473" s="25" t="str">
        <f>IF(Enquiry!B473="","",IFERROR(Enquiry!C473,""))</f>
        <v/>
      </c>
      <c r="B473" s="25" t="str">
        <f>IF(Enquiry!B473="","",IFERROR(Enquiry!D473,""))</f>
        <v/>
      </c>
      <c r="C473" s="26"/>
      <c r="D473" s="26"/>
      <c r="E473" s="26"/>
      <c r="F473" s="26"/>
      <c r="G473" s="27" t="str">
        <f>IF(Enquiry!B473="","",IFERROR(Enquiry!K473,""))</f>
        <v/>
      </c>
    </row>
    <row r="474" spans="1:7" ht="19.5" customHeight="1" x14ac:dyDescent="0.35">
      <c r="A474" s="25" t="str">
        <f>IF(Enquiry!B474="","",IFERROR(Enquiry!C474,""))</f>
        <v/>
      </c>
      <c r="B474" s="25" t="str">
        <f>IF(Enquiry!B474="","",IFERROR(Enquiry!D474,""))</f>
        <v/>
      </c>
      <c r="C474" s="26"/>
      <c r="D474" s="26"/>
      <c r="E474" s="26"/>
      <c r="F474" s="26"/>
      <c r="G474" s="27" t="str">
        <f>IF(Enquiry!B474="","",IFERROR(Enquiry!K474,""))</f>
        <v/>
      </c>
    </row>
    <row r="475" spans="1:7" ht="19.5" customHeight="1" x14ac:dyDescent="0.35">
      <c r="A475" s="25" t="str">
        <f>IF(Enquiry!B475="","",IFERROR(Enquiry!C475,""))</f>
        <v/>
      </c>
      <c r="B475" s="25" t="str">
        <f>IF(Enquiry!B475="","",IFERROR(Enquiry!D475,""))</f>
        <v/>
      </c>
      <c r="C475" s="26"/>
      <c r="D475" s="26"/>
      <c r="E475" s="26"/>
      <c r="F475" s="26"/>
      <c r="G475" s="27" t="str">
        <f>IF(Enquiry!B475="","",IFERROR(Enquiry!K475,""))</f>
        <v/>
      </c>
    </row>
    <row r="476" spans="1:7" ht="19.5" customHeight="1" x14ac:dyDescent="0.35">
      <c r="A476" s="25" t="str">
        <f>IF(Enquiry!B476="","",IFERROR(Enquiry!C476,""))</f>
        <v/>
      </c>
      <c r="B476" s="25" t="str">
        <f>IF(Enquiry!B476="","",IFERROR(Enquiry!D476,""))</f>
        <v/>
      </c>
      <c r="C476" s="26"/>
      <c r="D476" s="26"/>
      <c r="E476" s="26"/>
      <c r="F476" s="26"/>
      <c r="G476" s="27" t="str">
        <f>IF(Enquiry!B476="","",IFERROR(Enquiry!K476,""))</f>
        <v/>
      </c>
    </row>
    <row r="477" spans="1:7" ht="19.5" customHeight="1" x14ac:dyDescent="0.35">
      <c r="A477" s="25" t="str">
        <f>IF(Enquiry!B477="","",IFERROR(Enquiry!C477,""))</f>
        <v/>
      </c>
      <c r="B477" s="25" t="str">
        <f>IF(Enquiry!B477="","",IFERROR(Enquiry!D477,""))</f>
        <v/>
      </c>
      <c r="C477" s="26"/>
      <c r="D477" s="26"/>
      <c r="E477" s="26"/>
      <c r="F477" s="26"/>
      <c r="G477" s="27" t="str">
        <f>IF(Enquiry!B477="","",IFERROR(Enquiry!K477,""))</f>
        <v/>
      </c>
    </row>
    <row r="478" spans="1:7" ht="19.5" customHeight="1" x14ac:dyDescent="0.35">
      <c r="A478" s="25" t="str">
        <f>IF(Enquiry!B478="","",IFERROR(Enquiry!C478,""))</f>
        <v/>
      </c>
      <c r="B478" s="25" t="str">
        <f>IF(Enquiry!B478="","",IFERROR(Enquiry!D478,""))</f>
        <v/>
      </c>
      <c r="C478" s="26"/>
      <c r="D478" s="26"/>
      <c r="E478" s="26"/>
      <c r="F478" s="26"/>
      <c r="G478" s="27" t="str">
        <f>IF(Enquiry!B478="","",IFERROR(Enquiry!K478,""))</f>
        <v/>
      </c>
    </row>
    <row r="479" spans="1:7" ht="19.5" customHeight="1" x14ac:dyDescent="0.35">
      <c r="A479" s="25" t="str">
        <f>IF(Enquiry!B479="","",IFERROR(Enquiry!C479,""))</f>
        <v/>
      </c>
      <c r="B479" s="25" t="str">
        <f>IF(Enquiry!B479="","",IFERROR(Enquiry!D479,""))</f>
        <v/>
      </c>
      <c r="C479" s="26"/>
      <c r="D479" s="26"/>
      <c r="E479" s="26"/>
      <c r="F479" s="26"/>
      <c r="G479" s="27" t="str">
        <f>IF(Enquiry!B479="","",IFERROR(Enquiry!K479,""))</f>
        <v/>
      </c>
    </row>
    <row r="480" spans="1:7" ht="19.5" customHeight="1" x14ac:dyDescent="0.35">
      <c r="A480" s="25" t="str">
        <f>IF(Enquiry!B480="","",IFERROR(Enquiry!C480,""))</f>
        <v/>
      </c>
      <c r="B480" s="25" t="str">
        <f>IF(Enquiry!B480="","",IFERROR(Enquiry!D480,""))</f>
        <v/>
      </c>
      <c r="C480" s="26"/>
      <c r="D480" s="26"/>
      <c r="E480" s="26"/>
      <c r="F480" s="26"/>
      <c r="G480" s="27" t="str">
        <f>IF(Enquiry!B480="","",IFERROR(Enquiry!K480,""))</f>
        <v/>
      </c>
    </row>
    <row r="481" spans="1:7" ht="19.5" customHeight="1" x14ac:dyDescent="0.35">
      <c r="A481" s="25" t="str">
        <f>IF(Enquiry!B481="","",IFERROR(Enquiry!C481,""))</f>
        <v/>
      </c>
      <c r="B481" s="25" t="str">
        <f>IF(Enquiry!B481="","",IFERROR(Enquiry!D481,""))</f>
        <v/>
      </c>
      <c r="C481" s="26"/>
      <c r="D481" s="26"/>
      <c r="E481" s="26"/>
      <c r="F481" s="26"/>
      <c r="G481" s="27" t="str">
        <f>IF(Enquiry!B481="","",IFERROR(Enquiry!K481,""))</f>
        <v/>
      </c>
    </row>
    <row r="482" spans="1:7" ht="19.5" customHeight="1" x14ac:dyDescent="0.35">
      <c r="A482" s="25" t="str">
        <f>IF(Enquiry!B482="","",IFERROR(Enquiry!C482,""))</f>
        <v/>
      </c>
      <c r="B482" s="25" t="str">
        <f>IF(Enquiry!B482="","",IFERROR(Enquiry!D482,""))</f>
        <v/>
      </c>
      <c r="C482" s="26"/>
      <c r="D482" s="26"/>
      <c r="E482" s="26"/>
      <c r="F482" s="26"/>
      <c r="G482" s="27" t="str">
        <f>IF(Enquiry!B482="","",IFERROR(Enquiry!K482,""))</f>
        <v/>
      </c>
    </row>
    <row r="483" spans="1:7" ht="19.5" customHeight="1" x14ac:dyDescent="0.35">
      <c r="A483" s="25" t="str">
        <f>IF(Enquiry!B483="","",IFERROR(Enquiry!C483,""))</f>
        <v/>
      </c>
      <c r="B483" s="25" t="str">
        <f>IF(Enquiry!B483="","",IFERROR(Enquiry!D483,""))</f>
        <v/>
      </c>
      <c r="C483" s="26"/>
      <c r="D483" s="26"/>
      <c r="E483" s="26"/>
      <c r="F483" s="26"/>
      <c r="G483" s="27" t="str">
        <f>IF(Enquiry!B483="","",IFERROR(Enquiry!K483,""))</f>
        <v/>
      </c>
    </row>
    <row r="484" spans="1:7" ht="19.5" customHeight="1" x14ac:dyDescent="0.35">
      <c r="A484" s="25" t="str">
        <f>IF(Enquiry!B484="","",IFERROR(Enquiry!C484,""))</f>
        <v/>
      </c>
      <c r="B484" s="25" t="str">
        <f>IF(Enquiry!B484="","",IFERROR(Enquiry!D484,""))</f>
        <v/>
      </c>
      <c r="C484" s="26"/>
      <c r="D484" s="26"/>
      <c r="E484" s="26"/>
      <c r="F484" s="26"/>
      <c r="G484" s="27" t="str">
        <f>IF(Enquiry!B484="","",IFERROR(Enquiry!K484,""))</f>
        <v/>
      </c>
    </row>
    <row r="485" spans="1:7" ht="19.5" customHeight="1" x14ac:dyDescent="0.35">
      <c r="A485" s="25" t="str">
        <f>IF(Enquiry!B485="","",IFERROR(Enquiry!C485,""))</f>
        <v/>
      </c>
      <c r="B485" s="25" t="str">
        <f>IF(Enquiry!B485="","",IFERROR(Enquiry!D485,""))</f>
        <v/>
      </c>
      <c r="C485" s="26"/>
      <c r="D485" s="26"/>
      <c r="E485" s="26"/>
      <c r="F485" s="26"/>
      <c r="G485" s="27" t="str">
        <f>IF(Enquiry!B485="","",IFERROR(Enquiry!K485,""))</f>
        <v/>
      </c>
    </row>
    <row r="486" spans="1:7" ht="19.5" customHeight="1" x14ac:dyDescent="0.35">
      <c r="A486" s="25" t="str">
        <f>IF(Enquiry!B486="","",IFERROR(Enquiry!C486,""))</f>
        <v/>
      </c>
      <c r="B486" s="25" t="str">
        <f>IF(Enquiry!B486="","",IFERROR(Enquiry!D486,""))</f>
        <v/>
      </c>
      <c r="C486" s="26"/>
      <c r="D486" s="26"/>
      <c r="E486" s="26"/>
      <c r="F486" s="26"/>
      <c r="G486" s="27" t="str">
        <f>IF(Enquiry!B486="","",IFERROR(Enquiry!K486,""))</f>
        <v/>
      </c>
    </row>
    <row r="487" spans="1:7" ht="19.5" customHeight="1" x14ac:dyDescent="0.35">
      <c r="A487" s="25" t="str">
        <f>IF(Enquiry!B487="","",IFERROR(Enquiry!C487,""))</f>
        <v/>
      </c>
      <c r="B487" s="25" t="str">
        <f>IF(Enquiry!B487="","",IFERROR(Enquiry!D487,""))</f>
        <v/>
      </c>
      <c r="C487" s="26"/>
      <c r="D487" s="26"/>
      <c r="E487" s="26"/>
      <c r="F487" s="26"/>
      <c r="G487" s="27" t="str">
        <f>IF(Enquiry!B487="","",IFERROR(Enquiry!K487,""))</f>
        <v/>
      </c>
    </row>
    <row r="488" spans="1:7" ht="19.5" customHeight="1" x14ac:dyDescent="0.35">
      <c r="A488" s="25" t="str">
        <f>IF(Enquiry!B488="","",IFERROR(Enquiry!C488,""))</f>
        <v/>
      </c>
      <c r="B488" s="25" t="str">
        <f>IF(Enquiry!B488="","",IFERROR(Enquiry!D488,""))</f>
        <v/>
      </c>
      <c r="C488" s="26"/>
      <c r="D488" s="26"/>
      <c r="E488" s="26"/>
      <c r="F488" s="26"/>
      <c r="G488" s="27" t="str">
        <f>IF(Enquiry!B488="","",IFERROR(Enquiry!K488,""))</f>
        <v/>
      </c>
    </row>
    <row r="489" spans="1:7" ht="19.5" customHeight="1" x14ac:dyDescent="0.35">
      <c r="A489" s="25" t="str">
        <f>IF(Enquiry!B489="","",IFERROR(Enquiry!C489,""))</f>
        <v/>
      </c>
      <c r="B489" s="25" t="str">
        <f>IF(Enquiry!B489="","",IFERROR(Enquiry!D489,""))</f>
        <v/>
      </c>
      <c r="C489" s="26"/>
      <c r="D489" s="26"/>
      <c r="E489" s="26"/>
      <c r="F489" s="26"/>
      <c r="G489" s="27" t="str">
        <f>IF(Enquiry!B489="","",IFERROR(Enquiry!K489,""))</f>
        <v/>
      </c>
    </row>
    <row r="490" spans="1:7" ht="19.5" customHeight="1" x14ac:dyDescent="0.35">
      <c r="A490" s="25" t="str">
        <f>IF(Enquiry!B490="","",IFERROR(Enquiry!C490,""))</f>
        <v/>
      </c>
      <c r="B490" s="25" t="str">
        <f>IF(Enquiry!B490="","",IFERROR(Enquiry!D490,""))</f>
        <v/>
      </c>
      <c r="C490" s="26"/>
      <c r="D490" s="26"/>
      <c r="E490" s="26"/>
      <c r="F490" s="26"/>
      <c r="G490" s="27" t="str">
        <f>IF(Enquiry!B490="","",IFERROR(Enquiry!K490,""))</f>
        <v/>
      </c>
    </row>
    <row r="491" spans="1:7" ht="19.5" customHeight="1" x14ac:dyDescent="0.35">
      <c r="A491" s="25" t="str">
        <f>IF(Enquiry!B491="","",IFERROR(Enquiry!C491,""))</f>
        <v/>
      </c>
      <c r="B491" s="25" t="str">
        <f>IF(Enquiry!B491="","",IFERROR(Enquiry!D491,""))</f>
        <v/>
      </c>
      <c r="C491" s="26"/>
      <c r="D491" s="26"/>
      <c r="E491" s="26"/>
      <c r="F491" s="26"/>
      <c r="G491" s="27" t="str">
        <f>IF(Enquiry!B491="","",IFERROR(Enquiry!K491,""))</f>
        <v/>
      </c>
    </row>
    <row r="492" spans="1:7" ht="19.5" customHeight="1" x14ac:dyDescent="0.35">
      <c r="A492" s="25" t="str">
        <f>IF(Enquiry!B492="","",IFERROR(Enquiry!C492,""))</f>
        <v/>
      </c>
      <c r="B492" s="25" t="str">
        <f>IF(Enquiry!B492="","",IFERROR(Enquiry!D492,""))</f>
        <v/>
      </c>
      <c r="C492" s="26"/>
      <c r="D492" s="26"/>
      <c r="E492" s="26"/>
      <c r="F492" s="26"/>
      <c r="G492" s="27" t="str">
        <f>IF(Enquiry!B492="","",IFERROR(Enquiry!K492,""))</f>
        <v/>
      </c>
    </row>
    <row r="493" spans="1:7" ht="19.5" customHeight="1" x14ac:dyDescent="0.35">
      <c r="A493" s="25" t="str">
        <f>IF(Enquiry!B493="","",IFERROR(Enquiry!C493,""))</f>
        <v/>
      </c>
      <c r="B493" s="25" t="str">
        <f>IF(Enquiry!B493="","",IFERROR(Enquiry!D493,""))</f>
        <v/>
      </c>
      <c r="C493" s="26"/>
      <c r="D493" s="26"/>
      <c r="E493" s="26"/>
      <c r="F493" s="26"/>
      <c r="G493" s="27" t="str">
        <f>IF(Enquiry!B493="","",IFERROR(Enquiry!K493,""))</f>
        <v/>
      </c>
    </row>
    <row r="494" spans="1:7" ht="19.5" customHeight="1" x14ac:dyDescent="0.35">
      <c r="A494" s="25" t="str">
        <f>IF(Enquiry!B494="","",IFERROR(Enquiry!C494,""))</f>
        <v/>
      </c>
      <c r="B494" s="25" t="str">
        <f>IF(Enquiry!B494="","",IFERROR(Enquiry!D494,""))</f>
        <v/>
      </c>
      <c r="C494" s="26"/>
      <c r="D494" s="26"/>
      <c r="E494" s="26"/>
      <c r="F494" s="26"/>
      <c r="G494" s="27" t="str">
        <f>IF(Enquiry!B494="","",IFERROR(Enquiry!K494,""))</f>
        <v/>
      </c>
    </row>
    <row r="495" spans="1:7" ht="19.5" customHeight="1" x14ac:dyDescent="0.35">
      <c r="A495" s="25" t="str">
        <f>IF(Enquiry!B495="","",IFERROR(Enquiry!C495,""))</f>
        <v/>
      </c>
      <c r="B495" s="25" t="str">
        <f>IF(Enquiry!B495="","",IFERROR(Enquiry!D495,""))</f>
        <v/>
      </c>
      <c r="C495" s="26"/>
      <c r="D495" s="26"/>
      <c r="E495" s="26"/>
      <c r="F495" s="26"/>
      <c r="G495" s="27" t="str">
        <f>IF(Enquiry!B495="","",IFERROR(Enquiry!K495,""))</f>
        <v/>
      </c>
    </row>
    <row r="496" spans="1:7" ht="19.5" customHeight="1" x14ac:dyDescent="0.35">
      <c r="A496" s="25" t="str">
        <f>IF(Enquiry!B496="","",IFERROR(Enquiry!C496,""))</f>
        <v/>
      </c>
      <c r="B496" s="25" t="str">
        <f>IF(Enquiry!B496="","",IFERROR(Enquiry!D496,""))</f>
        <v/>
      </c>
      <c r="C496" s="26"/>
      <c r="D496" s="26"/>
      <c r="E496" s="26"/>
      <c r="F496" s="26"/>
      <c r="G496" s="27" t="str">
        <f>IF(Enquiry!B496="","",IFERROR(Enquiry!K496,""))</f>
        <v/>
      </c>
    </row>
    <row r="497" spans="1:7" ht="19.5" customHeight="1" x14ac:dyDescent="0.35">
      <c r="A497" s="25" t="str">
        <f>IF(Enquiry!B497="","",IFERROR(Enquiry!C497,""))</f>
        <v/>
      </c>
      <c r="B497" s="25" t="str">
        <f>IF(Enquiry!B497="","",IFERROR(Enquiry!D497,""))</f>
        <v/>
      </c>
      <c r="C497" s="26"/>
      <c r="D497" s="26"/>
      <c r="E497" s="26"/>
      <c r="F497" s="26"/>
      <c r="G497" s="27" t="str">
        <f>IF(Enquiry!B497="","",IFERROR(Enquiry!K497,""))</f>
        <v/>
      </c>
    </row>
    <row r="498" spans="1:7" ht="19.5" customHeight="1" x14ac:dyDescent="0.35">
      <c r="A498" s="25" t="str">
        <f>IF(Enquiry!B498="","",IFERROR(Enquiry!C498,""))</f>
        <v/>
      </c>
      <c r="B498" s="25" t="str">
        <f>IF(Enquiry!B498="","",IFERROR(Enquiry!D498,""))</f>
        <v/>
      </c>
      <c r="C498" s="26"/>
      <c r="D498" s="26"/>
      <c r="E498" s="26"/>
      <c r="F498" s="26"/>
      <c r="G498" s="27" t="str">
        <f>IF(Enquiry!B498="","",IFERROR(Enquiry!K498,""))</f>
        <v/>
      </c>
    </row>
    <row r="499" spans="1:7" ht="19.5" customHeight="1" x14ac:dyDescent="0.35">
      <c r="A499" s="25" t="str">
        <f>IF(Enquiry!B499="","",IFERROR(Enquiry!C499,""))</f>
        <v/>
      </c>
      <c r="B499" s="25" t="str">
        <f>IF(Enquiry!B499="","",IFERROR(Enquiry!D499,""))</f>
        <v/>
      </c>
      <c r="C499" s="26"/>
      <c r="D499" s="26"/>
      <c r="E499" s="26"/>
      <c r="F499" s="26"/>
      <c r="G499" s="27" t="str">
        <f>IF(Enquiry!B499="","",IFERROR(Enquiry!K499,""))</f>
        <v/>
      </c>
    </row>
    <row r="500" spans="1:7" ht="19.5" customHeight="1" x14ac:dyDescent="0.35">
      <c r="A500" s="25" t="str">
        <f>IF(Enquiry!B500="","",IFERROR(Enquiry!C500,""))</f>
        <v/>
      </c>
      <c r="B500" s="25" t="str">
        <f>IF(Enquiry!B500="","",IFERROR(Enquiry!D500,""))</f>
        <v/>
      </c>
      <c r="C500" s="26"/>
      <c r="D500" s="26"/>
      <c r="E500" s="26"/>
      <c r="F500" s="26"/>
      <c r="G500" s="27" t="str">
        <f>IF(Enquiry!B500="","",IFERROR(Enquiry!K500,""))</f>
        <v/>
      </c>
    </row>
    <row r="501" spans="1:7" ht="19.5" customHeight="1" x14ac:dyDescent="0.35">
      <c r="A501" s="25" t="str">
        <f>IF(Enquiry!B501="","",IFERROR(Enquiry!C501,""))</f>
        <v/>
      </c>
      <c r="B501" s="25" t="str">
        <f>IF(Enquiry!B501="","",IFERROR(Enquiry!D501,""))</f>
        <v/>
      </c>
      <c r="C501" s="26"/>
      <c r="D501" s="26"/>
      <c r="E501" s="26"/>
      <c r="F501" s="26"/>
      <c r="G501" s="27" t="str">
        <f>IF(Enquiry!B501="","",IFERROR(Enquiry!K501,""))</f>
        <v/>
      </c>
    </row>
    <row r="502" spans="1:7" ht="19.5" customHeight="1" x14ac:dyDescent="0.35">
      <c r="A502" s="25" t="str">
        <f>IF(Enquiry!B502="","",IFERROR(Enquiry!C502,""))</f>
        <v/>
      </c>
      <c r="B502" s="25" t="str">
        <f>IF(Enquiry!B502="","",IFERROR(Enquiry!D502,""))</f>
        <v/>
      </c>
      <c r="C502" s="26"/>
      <c r="D502" s="26"/>
      <c r="E502" s="26"/>
      <c r="F502" s="26"/>
      <c r="G502" s="27" t="str">
        <f>IF(Enquiry!B502="","",IFERROR(Enquiry!K502,""))</f>
        <v/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21</vt:i4>
      </vt:variant>
    </vt:vector>
  </HeadingPairs>
  <TitlesOfParts>
    <vt:vector size="27" baseType="lpstr">
      <vt:lpstr>Masters</vt:lpstr>
      <vt:lpstr>Enquiry</vt:lpstr>
      <vt:lpstr>Deal</vt:lpstr>
      <vt:lpstr>PO_Workflow</vt:lpstr>
      <vt:lpstr>Input_PO</vt:lpstr>
      <vt:lpstr>Contact</vt:lpstr>
      <vt:lpstr>AssignedTo</vt:lpstr>
      <vt:lpstr>CFOApproval</vt:lpstr>
      <vt:lpstr>Consulting</vt:lpstr>
      <vt:lpstr>Cybersecurity</vt:lpstr>
      <vt:lpstr>DealStage</vt:lpstr>
      <vt:lpstr>Finance</vt:lpstr>
      <vt:lpstr>InvoiceStatus</vt:lpstr>
      <vt:lpstr>InvoiceTerms</vt:lpstr>
      <vt:lpstr>InvoiceType</vt:lpstr>
      <vt:lpstr>LeadSource</vt:lpstr>
      <vt:lpstr>LeadStatus</vt:lpstr>
      <vt:lpstr>Marketing</vt:lpstr>
      <vt:lpstr>PaymentCadence</vt:lpstr>
      <vt:lpstr>PaymentStatus</vt:lpstr>
      <vt:lpstr>POStatus</vt:lpstr>
      <vt:lpstr>PostSales</vt:lpstr>
      <vt:lpstr>POValidated</vt:lpstr>
      <vt:lpstr>PreSales</vt:lpstr>
      <vt:lpstr>ReminderStatus</vt:lpstr>
      <vt:lpstr>ServicePillar</vt:lpstr>
      <vt:lpstr>Software_Dev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2026-03-05T06:54:41Z</dcterms:created>
  <dcterms:modified xsi:type="dcterms:W3CDTF">2026-03-10T03:56:59Z</dcterms:modified>
</cp:coreProperties>
</file>