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305" documentId="11_E60897F41BE170836B02CE998F75CCDC64E183C8" xr6:coauthVersionLast="47" xr6:coauthVersionMax="47" xr10:uidLastSave="{C5B053EC-1A55-4899-9BDC-B7A438564AB2}"/>
  <bookViews>
    <workbookView xWindow="240" yWindow="105" windowWidth="14805" windowHeight="8010" xr2:uid="{00000000-000D-0000-FFFF-FFFF00000000}"/>
  </bookViews>
  <sheets>
    <sheet name="Lead - Deal" sheetId="3" r:id="rId1"/>
    <sheet name="PO_Workflow" sheetId="4" r:id="rId2"/>
    <sheet name="Contact" sheetId="2" r:id="rId3"/>
  </sheets>
  <definedNames>
    <definedName name="_xlnm._FilterDatabase" localSheetId="0" hidden="1">'Lead - Deal'!$J$1:$J$310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I4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2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2" i="2"/>
  <c r="A3" i="2" l="1"/>
  <c r="A4" i="2" l="1"/>
  <c r="A5" i="2" l="1"/>
  <c r="A6" i="2" l="1"/>
  <c r="A7" i="2" l="1"/>
  <c r="A8" i="2" l="1"/>
  <c r="A9" i="2" l="1"/>
  <c r="A10" i="2" l="1"/>
  <c r="A11" i="2" l="1"/>
  <c r="A12" i="2" l="1"/>
  <c r="A13" i="2" l="1"/>
  <c r="A14" i="2" l="1"/>
  <c r="A15" i="2" l="1"/>
  <c r="A16" i="2" l="1"/>
  <c r="A17" i="2" l="1"/>
  <c r="A18" i="2" l="1"/>
  <c r="A19" i="2" l="1"/>
  <c r="A20" i="2" l="1"/>
  <c r="A21" i="2" l="1"/>
  <c r="A22" i="2" l="1"/>
  <c r="A23" i="2" l="1"/>
  <c r="A24" i="2" l="1"/>
  <c r="A25" i="2" l="1"/>
  <c r="A26" i="2" l="1"/>
  <c r="A27" i="2" l="1"/>
  <c r="A28" i="2" l="1"/>
  <c r="A29" i="2" l="1"/>
  <c r="A30" i="2" l="1"/>
  <c r="A31" i="2" l="1"/>
  <c r="A32" i="2" l="1"/>
  <c r="A33" i="2" l="1"/>
  <c r="A34" i="2" l="1"/>
  <c r="A35" i="2" l="1"/>
  <c r="A36" i="2" l="1"/>
  <c r="A37" i="2" l="1"/>
  <c r="A38" i="2" s="1"/>
</calcChain>
</file>

<file path=xl/sharedStrings.xml><?xml version="1.0" encoding="utf-8"?>
<sst xmlns="http://schemas.openxmlformats.org/spreadsheetml/2006/main" count="884" uniqueCount="363">
  <si>
    <t>Lead Number</t>
  </si>
  <si>
    <t>Lead Name</t>
  </si>
  <si>
    <t xml:space="preserve">Company name </t>
  </si>
  <si>
    <t>Contact Names</t>
  </si>
  <si>
    <t>Service Pillar</t>
  </si>
  <si>
    <t>Sub-Categories</t>
  </si>
  <si>
    <t>Delivery Partner</t>
  </si>
  <si>
    <t>Expected Amount(₹)</t>
  </si>
  <si>
    <t>Final Negotiated Amount(₹)</t>
  </si>
  <si>
    <t>Status</t>
  </si>
  <si>
    <t>Sales Stage</t>
  </si>
  <si>
    <t>Lead Source</t>
  </si>
  <si>
    <t>Assigned To</t>
  </si>
  <si>
    <t>Created Lead At</t>
  </si>
  <si>
    <t>Created Deal Date</t>
  </si>
  <si>
    <t>Updated At</t>
  </si>
  <si>
    <t>Department</t>
  </si>
  <si>
    <t>Followup Date</t>
  </si>
  <si>
    <t>Expected Close Date</t>
  </si>
  <si>
    <t>Comment</t>
  </si>
  <si>
    <t>CitiusCloud Services</t>
  </si>
  <si>
    <t>Roshan Shetty</t>
  </si>
  <si>
    <t>Consulting</t>
  </si>
  <si>
    <t>Growth Advisory</t>
  </si>
  <si>
    <t>₹ 600,000.00</t>
  </si>
  <si>
    <t>Win</t>
  </si>
  <si>
    <t>TechPay</t>
  </si>
  <si>
    <t xml:space="preserve">Proposal Sent
22/08/2025 11:28 AM By: </t>
  </si>
  <si>
    <t>Galaxy</t>
  </si>
  <si>
    <t>Galaxy Office Automation Pvt Ltd</t>
  </si>
  <si>
    <t>Anoop PaiDhungat</t>
  </si>
  <si>
    <t>Software Dev</t>
  </si>
  <si>
    <t>Resources</t>
  </si>
  <si>
    <t>₹ 4,800,000.00</t>
  </si>
  <si>
    <t>Cancel</t>
  </si>
  <si>
    <t>Getafix</t>
  </si>
  <si>
    <t>Asif</t>
  </si>
  <si>
    <t xml:space="preserve">2 AI Engineers with 5+ years experience; 2 profiles shared
22/08/2025 11:28 AM By: </t>
  </si>
  <si>
    <t>Nutanix</t>
  </si>
  <si>
    <t>Nutanix India Pvt Ltd</t>
  </si>
  <si>
    <t>Renu Asrani</t>
  </si>
  <si>
    <t>Marketing</t>
  </si>
  <si>
    <t>ICP &amp; ABM</t>
  </si>
  <si>
    <t>₹ 1,700,000.00</t>
  </si>
  <si>
    <t>Sprouts</t>
  </si>
  <si>
    <t>Avinash</t>
  </si>
  <si>
    <t xml:space="preserve">ABM pilot for Top 40-45 accounts
22/08/2025 11:28 AM By: </t>
  </si>
  <si>
    <t>ARCA Alternatives</t>
  </si>
  <si>
    <t>Sagar Nagaraj</t>
  </si>
  <si>
    <t>Cancelled</t>
  </si>
  <si>
    <t xml:space="preserve">Demo done on June 6th; Demo account to be created
22/08/2025 11:28 AM By: </t>
  </si>
  <si>
    <t>Azentio</t>
  </si>
  <si>
    <t>Vamsi Chaitanya</t>
  </si>
  <si>
    <t xml:space="preserve">Demo pending - to be scheduled
22/08/2025 11:28 AM By: </t>
  </si>
  <si>
    <t>Checkpoint</t>
  </si>
  <si>
    <t>Checkpoint Software</t>
  </si>
  <si>
    <t>Keely Wilkins</t>
  </si>
  <si>
    <t>₹ 1,423,740.00</t>
  </si>
  <si>
    <t>Lost</t>
  </si>
  <si>
    <t xml:space="preserve">ICP/ABM for Insurance sector for Checkpoint cyberinsurance alliances
22/08/2025 11:28 AM By: </t>
  </si>
  <si>
    <t>Grishma Potdar</t>
  </si>
  <si>
    <t>Brand Assets</t>
  </si>
  <si>
    <t>Approach or Demo</t>
  </si>
  <si>
    <t>Anand/Shruti</t>
  </si>
  <si>
    <t xml:space="preserve">MDF - Digital Media Campaign: Dell Services Campaign - 1,40,000; AI Factory Campaign - 1,40,000; CSG Campaign - 1,40,000
22/08/2025 12:21 PM By: </t>
  </si>
  <si>
    <t>Inflow Technologies</t>
  </si>
  <si>
    <t>PostSales</t>
  </si>
  <si>
    <t>Discovery Meeting</t>
  </si>
  <si>
    <t>Anil</t>
  </si>
  <si>
    <t xml:space="preserve">TBC
22/08/2025 11:28 AM By: </t>
  </si>
  <si>
    <t>PreSales</t>
  </si>
  <si>
    <t>Anshuman</t>
  </si>
  <si>
    <t>Ingram Micro</t>
  </si>
  <si>
    <t>Amith Nair</t>
  </si>
  <si>
    <t>Sunfinity</t>
  </si>
  <si>
    <t>PTC Singapore</t>
  </si>
  <si>
    <t>SS Lim</t>
  </si>
  <si>
    <t xml:space="preserve">Demo done on 6/18/2025
22/08/2025 11:28 AM By: </t>
  </si>
  <si>
    <t>Scogo</t>
  </si>
  <si>
    <t>Growth Consulting</t>
  </si>
  <si>
    <t>First Contact</t>
  </si>
  <si>
    <t>Sprouts.ai</t>
  </si>
  <si>
    <t>Avinash Nagla</t>
  </si>
  <si>
    <t>Saji.M</t>
  </si>
  <si>
    <t xml:space="preserve">Proposal to be sent
22/08/2025 11:28 AM By: </t>
  </si>
  <si>
    <t>Getafix Technologies</t>
  </si>
  <si>
    <t>Asif Bhat</t>
  </si>
  <si>
    <t>Finance</t>
  </si>
  <si>
    <t>FinOps/Biz Ops</t>
  </si>
  <si>
    <t>₹ 300,000.00</t>
  </si>
  <si>
    <t>Akshay</t>
  </si>
  <si>
    <t xml:space="preserve">FinOps Consulting
22/08/2025 11:28 AM By: </t>
  </si>
  <si>
    <t>Druva</t>
  </si>
  <si>
    <t>Andrew Hillman</t>
  </si>
  <si>
    <t>₹ 6,120,000.00</t>
  </si>
  <si>
    <t xml:space="preserve">MSP/CSP Consulting and Business Dev
22/08/2025 11:28 AM By: </t>
  </si>
  <si>
    <t>Ashtech</t>
  </si>
  <si>
    <t>Saurin Shah</t>
  </si>
  <si>
    <t xml:space="preserve">Investor Deck, Corporate deck, Website Updates
22/08/2025 11:28 AM By: </t>
  </si>
  <si>
    <t>Chavans Technologies</t>
  </si>
  <si>
    <t>Sumanth Chavan</t>
  </si>
  <si>
    <t>₹ 180,000.00</t>
  </si>
  <si>
    <t>₹ 17,100,000.00</t>
  </si>
  <si>
    <t>Arunava</t>
  </si>
  <si>
    <t xml:space="preserve">Demo done on 7/1/2025; Demo account created
22/08/2025 11:28 AM By: Techpay AI
29/08/2025 11:07 AM By: </t>
  </si>
  <si>
    <t xml:space="preserve">Brand/Vision and Website
22/08/2025 11:28 AM By: Techpay AI
29/08/2025 11:07 AM By: </t>
  </si>
  <si>
    <t>Frontier Business</t>
  </si>
  <si>
    <t>Suresh M.C</t>
  </si>
  <si>
    <t>₹ 850,000.00</t>
  </si>
  <si>
    <t xml:space="preserve">Database building for New account acquisition
22/08/2025 11:28 AM By: </t>
  </si>
  <si>
    <t>₹ 85,000.00</t>
  </si>
  <si>
    <t xml:space="preserve">Broadcom Compete and NKP event - qualified contact list
22/08/2025 11:28 AM By: </t>
  </si>
  <si>
    <t>Nikhil Mehrotra</t>
  </si>
  <si>
    <t>₹ 259,620.00</t>
  </si>
  <si>
    <t xml:space="preserve">ICP/ABP for Top 10 accounts: PO via their marketing agency Fervent
22/08/2025 11:28 AM By: </t>
  </si>
  <si>
    <t>Chitiz Gupta</t>
  </si>
  <si>
    <t>Negotiation</t>
  </si>
  <si>
    <t xml:space="preserve">Dotnext
22/08/2025 11:28 AM By: </t>
  </si>
  <si>
    <t>Veeam India</t>
  </si>
  <si>
    <t>Veeam Software, India</t>
  </si>
  <si>
    <t>Kushagra Sharma</t>
  </si>
  <si>
    <t>Training</t>
  </si>
  <si>
    <t xml:space="preserve">Veeam TTX &amp; TTX Lite events : Proposal submitted with 2 options
22/08/2025 11:28 AM By: </t>
  </si>
  <si>
    <t>Commvault</t>
  </si>
  <si>
    <t>Commvault, India</t>
  </si>
  <si>
    <t>Subhojit Roy</t>
  </si>
  <si>
    <t>₹ 1,728,200.00</t>
  </si>
  <si>
    <t>AIDA</t>
  </si>
  <si>
    <t>Anand</t>
  </si>
  <si>
    <t xml:space="preserve">PO via their marketing agency Tangent
22/08/2025 11:28 AM By: </t>
  </si>
  <si>
    <t>Sanjay Patodia</t>
  </si>
  <si>
    <t>₹ 1,520,000.00</t>
  </si>
  <si>
    <t xml:space="preserve">4 Pre-Sales resources
22/08/2025 11:28 AM By: </t>
  </si>
  <si>
    <t>Converted</t>
  </si>
  <si>
    <t xml:space="preserve">Dell AI factory: AI Factory Launch Event Branding Collaterals - 75000; AI Factory Launch Event Giveaways - 58,000 (TBC); AI Factory Launch Event On-ground Production - 1,75,000 (TBC)
22/08/2025 11:28 AM By: </t>
  </si>
  <si>
    <t>Enfactum</t>
  </si>
  <si>
    <t>Ajay Mohan</t>
  </si>
  <si>
    <t>₹ 3,000,000.00</t>
  </si>
  <si>
    <t xml:space="preserve">HPI- APJ project
22/08/2025 11:28 AM By: </t>
  </si>
  <si>
    <t xml:space="preserve">IPL campaign : IPL ticket purchase 100+ tickets - 8,41,500; IPL Branding - Content and design - 17,000; IPL Match Merchandise - 3,40,800 (TBC)
22/08/2025 11:28 AM By: </t>
  </si>
  <si>
    <t>New Era</t>
  </si>
  <si>
    <t>New Era Informatique Pvt Ltd</t>
  </si>
  <si>
    <t>Sandeep Agarwal</t>
  </si>
  <si>
    <t>₹ 200,000.00</t>
  </si>
  <si>
    <t>Closed</t>
  </si>
  <si>
    <t xml:space="preserve">Corporate Profile, Investor Deck
22/08/2025 11:28 AM By: </t>
  </si>
  <si>
    <t>BidBrain for Chavans Technologies</t>
  </si>
  <si>
    <t>BidBrain</t>
  </si>
  <si>
    <t>Pilot Testing Customer
08/09/2025 04:37 PM By: Arunava Chakrabarty</t>
  </si>
  <si>
    <t>BidBrain for Galaxy Office Automation</t>
  </si>
  <si>
    <t>Pilot testing customer
08/09/2025 04:32 PM By: Arunava Chakrabarty</t>
  </si>
  <si>
    <t>BidBrain for New Era Informatique</t>
  </si>
  <si>
    <t>Dinesh Ochani</t>
  </si>
  <si>
    <t>Pilot testing customer
08/09/2025 04:35 PM By: Arunava Chakrabarty</t>
  </si>
  <si>
    <t>BidBrain for PTC Systems</t>
  </si>
  <si>
    <t>Pilot Testing Customer
08/09/2025 04:36 PM By: Arunava Chakrabarty</t>
  </si>
  <si>
    <t>Padah</t>
  </si>
  <si>
    <t>Priti Bhatnagar</t>
  </si>
  <si>
    <t xml:space="preserve">Retainer
22/08/2025 11:28 AM By: </t>
  </si>
  <si>
    <t>₹ 8,587,800.00</t>
  </si>
  <si>
    <t xml:space="preserve">Clubbed all invoiced line items until Jan 2025 into 1 line
22/08/2025 11:28 AM By: </t>
  </si>
  <si>
    <t xml:space="preserve">Annual agreement
22/08/2025 11:28 AM By: </t>
  </si>
  <si>
    <t>Galaxy Infotech</t>
  </si>
  <si>
    <t>CMO services</t>
  </si>
  <si>
    <t xml:space="preserve">Fractional CMO/Marketing activities
22/08/2025 11:28 AM By: </t>
  </si>
  <si>
    <t>Consulting and Advisory for Savex Technologies</t>
  </si>
  <si>
    <t>Savex Technologies Pvt Ltd</t>
  </si>
  <si>
    <t>Raunak Jagasia</t>
  </si>
  <si>
    <t>₹ 10,200,000.00</t>
  </si>
  <si>
    <t>.Next post event Lead Generation (Nutanix)</t>
  </si>
  <si>
    <t>₹ 177,000.00</t>
  </si>
  <si>
    <t>Commercial Proposal</t>
  </si>
  <si>
    <t>Lead Generation leveraging Sprouts.ai
04/11/2025 11:27 AM By: Arunava Chakrabarty</t>
  </si>
  <si>
    <t>Veeam VDC digital and Content Syndication Program</t>
  </si>
  <si>
    <t>₹ 440,000.00</t>
  </si>
  <si>
    <t>Savex: Marketing Pod</t>
  </si>
  <si>
    <t>Savex: Technical Services POD</t>
  </si>
  <si>
    <t>Lead Generation</t>
  </si>
  <si>
    <t>Enterprise Growth Advisory Service: Savex</t>
  </si>
  <si>
    <t>Atul Gaur</t>
  </si>
  <si>
    <t>Technobind Consulting Services</t>
  </si>
  <si>
    <t>Technobind Solutions Private Limited</t>
  </si>
  <si>
    <t>Prashanth GJ</t>
  </si>
  <si>
    <t>₹ 2,100,000.00</t>
  </si>
  <si>
    <t>Galaxy Lead Gen Pod</t>
  </si>
  <si>
    <t>₹ 39,480,000.00</t>
  </si>
  <si>
    <t>TechServ</t>
  </si>
  <si>
    <t>Saji Mathew</t>
  </si>
  <si>
    <t>Technical Services for IRIS Global Services</t>
  </si>
  <si>
    <t>IRIS Global Services</t>
  </si>
  <si>
    <t>Anil Sethi</t>
  </si>
  <si>
    <t>Praveen Sahai</t>
  </si>
  <si>
    <t>Marketing Services for IRIS Global Services</t>
  </si>
  <si>
    <t>Technical Services for Lenovo Enterprise</t>
  </si>
  <si>
    <t>Lenovo India</t>
  </si>
  <si>
    <t>Amit Luthra</t>
  </si>
  <si>
    <t>Marketing Services for Lenovo Enterprise</t>
  </si>
  <si>
    <t>Strategy Advisory and Markerting support for Commvault</t>
  </si>
  <si>
    <t>Tangent</t>
  </si>
  <si>
    <t>Lead Qualification</t>
  </si>
  <si>
    <t>Arunava Chakrabarty</t>
  </si>
  <si>
    <t>Website and Brand Assets for Sprouts.ai</t>
  </si>
  <si>
    <t>To be executed by Red Baron</t>
  </si>
  <si>
    <t>Veeam VDC Migration Project</t>
  </si>
  <si>
    <t>Veeam Software</t>
  </si>
  <si>
    <t>Ramesh Siva</t>
  </si>
  <si>
    <t>To be delivered by TekIndx</t>
  </si>
  <si>
    <t xml:space="preserve">   </t>
  </si>
  <si>
    <t>Customer</t>
  </si>
  <si>
    <t>Billing Entity</t>
  </si>
  <si>
    <t>Service</t>
  </si>
  <si>
    <t>PO</t>
  </si>
  <si>
    <t>PO Date</t>
  </si>
  <si>
    <t>Agreement</t>
  </si>
  <si>
    <t>Start Date</t>
  </si>
  <si>
    <t>End Date</t>
  </si>
  <si>
    <t>Expiry</t>
  </si>
  <si>
    <t>Total value</t>
  </si>
  <si>
    <t>Value per Invoice</t>
  </si>
  <si>
    <t>Billing Cycle</t>
  </si>
  <si>
    <t>Billing Due</t>
  </si>
  <si>
    <t>India</t>
  </si>
  <si>
    <t>-</t>
  </si>
  <si>
    <t>Yes</t>
  </si>
  <si>
    <t>Monthly</t>
  </si>
  <si>
    <t>Event Specific</t>
  </si>
  <si>
    <t>Tangent (Commvault)</t>
  </si>
  <si>
    <t>TIT-PO/25-26/29</t>
  </si>
  <si>
    <t>NA</t>
  </si>
  <si>
    <t>Quarterly</t>
  </si>
  <si>
    <t>FinOps</t>
  </si>
  <si>
    <t>31st of Month</t>
  </si>
  <si>
    <t>Loan</t>
  </si>
  <si>
    <t>PRAS</t>
  </si>
  <si>
    <t>5th of Next month</t>
  </si>
  <si>
    <t>Red Baron</t>
  </si>
  <si>
    <t>Chavans</t>
  </si>
  <si>
    <t>BizOps</t>
  </si>
  <si>
    <t>PO-2526-0048</t>
  </si>
  <si>
    <t>1st of Month</t>
  </si>
  <si>
    <t>PO-2526-0074</t>
  </si>
  <si>
    <t>PO-2526-0132</t>
  </si>
  <si>
    <t>PO-2526-0049</t>
  </si>
  <si>
    <t>PO-2526-0106</t>
  </si>
  <si>
    <t>########</t>
  </si>
  <si>
    <t>One-time</t>
  </si>
  <si>
    <t>15th of November</t>
  </si>
  <si>
    <t>Veeam</t>
  </si>
  <si>
    <t>PO-74021</t>
  </si>
  <si>
    <t>Event</t>
  </si>
  <si>
    <t>Citius Cloud</t>
  </si>
  <si>
    <t>PO-00322</t>
  </si>
  <si>
    <t>Savex</t>
  </si>
  <si>
    <t>Consultancy</t>
  </si>
  <si>
    <t>NEIPL/25-26/03 11/MEO1</t>
  </si>
  <si>
    <t>SG</t>
  </si>
  <si>
    <t>15th of Month</t>
  </si>
  <si>
    <t>Boulevard</t>
  </si>
  <si>
    <t>No.</t>
  </si>
  <si>
    <t>Company Name</t>
  </si>
  <si>
    <t>Contact Name</t>
  </si>
  <si>
    <t>Designation</t>
  </si>
  <si>
    <t>Contact Email</t>
  </si>
  <si>
    <t>Company Email</t>
  </si>
  <si>
    <t>Phone</t>
  </si>
  <si>
    <t>Address_1</t>
  </si>
  <si>
    <t>City</t>
  </si>
  <si>
    <t>State</t>
  </si>
  <si>
    <t>Country</t>
  </si>
  <si>
    <t>GST Number</t>
  </si>
  <si>
    <t>Created At</t>
  </si>
  <si>
    <t>saurin_shah@ashinfo.com</t>
  </si>
  <si>
    <t>CEO</t>
  </si>
  <si>
    <t>Management</t>
  </si>
  <si>
    <t>sumanth.chavan@chavans.in</t>
  </si>
  <si>
    <t>Bengaluru</t>
  </si>
  <si>
    <t>Karnataka</t>
  </si>
  <si>
    <t>Global Program Manager, Partners</t>
  </si>
  <si>
    <t>Global Programs</t>
  </si>
  <si>
    <t>krichmon@checkpoint.com</t>
  </si>
  <si>
    <t>roshan.shetty@citiuscloud.com</t>
  </si>
  <si>
    <t>Santosh Kumar</t>
  </si>
  <si>
    <t>Global Alliance Architect</t>
  </si>
  <si>
    <t>Pre-Sales</t>
  </si>
  <si>
    <t>krishnankumar@commvault.com</t>
  </si>
  <si>
    <t>Truptendu Mohapatra</t>
  </si>
  <si>
    <t>Global Sales Manager</t>
  </si>
  <si>
    <t>Sales Management</t>
  </si>
  <si>
    <t>tmohapatra@commvault.com</t>
  </si>
  <si>
    <t>Saurabh Narula</t>
  </si>
  <si>
    <t>Senior Global Alliance Architect</t>
  </si>
  <si>
    <t>snarula@commvault.com</t>
  </si>
  <si>
    <t>Global Head - GSI Partnerships</t>
  </si>
  <si>
    <t>sroy@commvault.com</t>
  </si>
  <si>
    <t>Alok Tiwari</t>
  </si>
  <si>
    <t>Global Account Manager</t>
  </si>
  <si>
    <t>Account Manager</t>
  </si>
  <si>
    <t>aloktiwari@commvault.com</t>
  </si>
  <si>
    <t>andrew.hillman@druva.com</t>
  </si>
  <si>
    <t>ajay.mohan@enfactum.com</t>
  </si>
  <si>
    <t xml:space="preserve">Suresh </t>
  </si>
  <si>
    <t>suresh.mc@frontier.in</t>
  </si>
  <si>
    <t>Rachel Fernandes</t>
  </si>
  <si>
    <t>Marketing Executive</t>
  </si>
  <si>
    <t>rachel.fernandes@gaopl.com</t>
  </si>
  <si>
    <t>Mumbai</t>
  </si>
  <si>
    <t>Maharashtra</t>
  </si>
  <si>
    <t>Nikita Kanojiya</t>
  </si>
  <si>
    <t>nikita.kanojiya@gaopl.com</t>
  </si>
  <si>
    <t>Anoop Pai Dhungat</t>
  </si>
  <si>
    <t>Chairman and MD</t>
  </si>
  <si>
    <t>anoop@gaopl.com</t>
  </si>
  <si>
    <t>sanjay@gaopl.com</t>
  </si>
  <si>
    <t>Marketing Manager</t>
  </si>
  <si>
    <t>grishma.potdar@gaopl.com</t>
  </si>
  <si>
    <t>Anil Zachariah</t>
  </si>
  <si>
    <t>Sr. Director Professional Services</t>
  </si>
  <si>
    <t>anil@goapl.com</t>
  </si>
  <si>
    <t>Founder &amp; CEO</t>
  </si>
  <si>
    <t>asif@getafixtechnologies.com</t>
  </si>
  <si>
    <t>Director SA &amp; IP</t>
  </si>
  <si>
    <t>sandeep@newera-technologies.com</t>
  </si>
  <si>
    <t>Lenos Jacob</t>
  </si>
  <si>
    <t>Chief Business Officer</t>
  </si>
  <si>
    <t>jacob@newera-technologies.com</t>
  </si>
  <si>
    <t>Founder, CEO</t>
  </si>
  <si>
    <t>dinesh@newera-technologies.com</t>
  </si>
  <si>
    <t>Enterprise Marketing Manager</t>
  </si>
  <si>
    <t>renu.asrani@nutanix.com</t>
  </si>
  <si>
    <t>Director, Field Marketing - India</t>
  </si>
  <si>
    <t>nikhil.mehrotra@nutanix.com</t>
  </si>
  <si>
    <t>New Delhi</t>
  </si>
  <si>
    <t>Faiz Shakir</t>
  </si>
  <si>
    <t>VP &amp; Managing Director, India &amp; ASEAN</t>
  </si>
  <si>
    <t>faiz.shakir@nutanix.com</t>
  </si>
  <si>
    <t>Harsh Vaishnav</t>
  </si>
  <si>
    <t>Head of Channels, South Asia</t>
  </si>
  <si>
    <t>harsh.vaishnav@nutanix.com</t>
  </si>
  <si>
    <t>chitiz.gupta@nutanix.com</t>
  </si>
  <si>
    <t>CEO and Co-Founder</t>
  </si>
  <si>
    <t>Red Baron Integrated Services Pvt Ltd</t>
  </si>
  <si>
    <t>Sandeep Saxena</t>
  </si>
  <si>
    <t>Director</t>
  </si>
  <si>
    <t>sandeep@redbaron.in</t>
  </si>
  <si>
    <t>Anand Sharma</t>
  </si>
  <si>
    <t>anand@redbaron.in</t>
  </si>
  <si>
    <t>raunak@savex.in</t>
  </si>
  <si>
    <t>Director - Enterprise Business</t>
  </si>
  <si>
    <t>atul.gaur@savex.in</t>
  </si>
  <si>
    <t>Co-founder and COO</t>
  </si>
  <si>
    <t>avi@sprouts.ai</t>
  </si>
  <si>
    <t>Sunfinity Technologies Pvt Ltd</t>
  </si>
  <si>
    <t>Anshuman Rai</t>
  </si>
  <si>
    <t>Founder and CEO</t>
  </si>
  <si>
    <t>anshuman.rai@sunfinity.tech</t>
  </si>
  <si>
    <t>prashanth@technobind.com</t>
  </si>
  <si>
    <t>SandeepBhambure</t>
  </si>
  <si>
    <t>VP &amp; Managing Director, India &amp; SAARC</t>
  </si>
  <si>
    <t>sandeep.bhambure@veeam.com</t>
  </si>
  <si>
    <t>Head of Marketing, India</t>
  </si>
  <si>
    <t>kushagra.sharma@veeam.com</t>
  </si>
  <si>
    <t>Veeam Software, Global</t>
  </si>
  <si>
    <t>Ramesh.Siva@veeam.com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</si>
</sst>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-mm\-yyyy;@"/>
    <numFmt numFmtId="165" formatCode="[$₹-4009]\ #,##0.00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/>
    <xf numFmtId="0" fontId="0" fillId="0" borderId="0" xfId="0" quotePrefix="1"/>
    <xf numFmtId="0" fontId="4" fillId="0" borderId="0" xfId="0" applyFont="1" applyAlignment="1">
      <alignment horizontal="left" vertical="top"/>
    </xf>
    <xf numFmtId="164" fontId="3" fillId="0" borderId="0" xfId="0" applyNumberFormat="1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2" borderId="0" xfId="0" applyFont="1" applyFill="1"/>
    <xf numFmtId="1" fontId="6" fillId="2" borderId="0" xfId="0" applyNumberFormat="1" applyFont="1" applyFill="1"/>
    <xf numFmtId="164" fontId="6" fillId="2" borderId="0" xfId="0" applyNumberFormat="1" applyFont="1" applyFill="1"/>
    <xf numFmtId="1" fontId="2" fillId="0" borderId="0" xfId="0" applyNumberFormat="1" applyFont="1"/>
    <xf numFmtId="0" fontId="1" fillId="0" borderId="0" xfId="1"/>
    <xf numFmtId="1" fontId="0" fillId="0" borderId="0" xfId="0" applyNumberFormat="1"/>
    <xf numFmtId="165" fontId="4" fillId="0" borderId="0" xfId="0" applyNumberFormat="1" applyFont="1" applyAlignment="1">
      <alignment horizontal="left" vertical="top"/>
    </xf>
    <xf numFmtId="165" fontId="2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0" fontId="4" fillId="0" borderId="0" xfId="0" applyFont="1"/>
    <xf numFmtId="0" fontId="7" fillId="2" borderId="0" xfId="0" applyFont="1" applyFill="1"/>
    <xf numFmtId="165" fontId="7" fillId="3" borderId="0" xfId="0" applyNumberFormat="1" applyFont="1" applyFill="1"/>
    <xf numFmtId="164" fontId="7" fillId="3" borderId="0" xfId="0" applyNumberFormat="1" applyFont="1" applyFill="1"/>
    <xf numFmtId="0" fontId="7" fillId="3" borderId="0" xfId="0" applyFont="1" applyFill="1"/>
    <xf numFmtId="164" fontId="7" fillId="2" borderId="0" xfId="0" applyNumberFormat="1" applyFont="1" applyFill="1"/>
    <xf numFmtId="0" fontId="8" fillId="0" borderId="0" xfId="0" applyFont="1"/>
    <xf numFmtId="0" fontId="2" fillId="0" borderId="0" xfId="0" quotePrefix="1" applyFont="1"/>
    <xf numFmtId="16" fontId="2" fillId="0" borderId="0" xfId="0" applyNumberFormat="1" applyFont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rgb="FF9C0006"/>
      </font>
      <fill>
        <patternFill patternType="solid">
          <bgColor theme="9" tint="0.59999389629810485"/>
        </patternFill>
      </fill>
    </dxf>
    <dxf>
      <font>
        <color rgb="FF9C0006"/>
      </font>
      <fill>
        <patternFill patternType="solid">
          <bgColor theme="5" tint="0.39997558519241921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79998168889431442"/>
        </patternFill>
      </fill>
    </dxf>
    <dxf>
      <font>
        <color theme="1"/>
      </font>
      <fill>
        <patternFill patternType="solid">
          <bgColor rgb="FFEB99FF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theme="1"/>
      </font>
      <fill>
        <patternFill patternType="solid">
          <bgColor theme="8" tint="0.59999389629810485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theme="5" tint="-0.249977111117893"/>
        </patternFill>
      </fill>
    </dxf>
    <dxf>
      <font>
        <color theme="9" tint="0.79998168889431442"/>
      </font>
      <fill>
        <patternFill patternType="solid">
          <bgColor theme="9" tint="-0.249977111117893"/>
        </patternFill>
      </fill>
    </dxf>
  </dxfs>
  <tableStyles count="0" defaultTableStyle="TableStyleMedium2" defaultPivotStyle="PivotStyleMedium9"/>
  <colors>
    <mruColors>
      <color rgb="FFEB99FF"/>
      <color rgb="FFF7B2EB"/>
      <color rgb="FFF78BBF"/>
      <color rgb="FFE48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amesh.Siva@ve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00EB-FE34-4C1C-A4BA-B1365DA8844C}">
  <dimension ref="A1:AH310"/>
  <sheetViews>
    <sheetView tabSelected="1" topLeftCell="I1" workbookViewId="0">
      <selection activeCell="O316" sqref="O316"/>
    </sheetView>
  </sheetViews>
  <sheetFormatPr defaultRowHeight="15"/>
  <cols>
    <col min="1" max="1" width="17.42578125" customWidth="1"/>
    <col min="2" max="2" width="19.140625" customWidth="1"/>
    <col min="3" max="3" width="40.5703125" customWidth="1"/>
    <col min="4" max="4" width="31.85546875" customWidth="1"/>
    <col min="5" max="5" width="25" customWidth="1"/>
    <col min="6" max="6" width="22.42578125" customWidth="1"/>
    <col min="7" max="7" width="23.42578125" customWidth="1"/>
    <col min="8" max="8" width="27" style="18" customWidth="1"/>
    <col min="9" max="9" width="34.7109375" style="18" customWidth="1"/>
    <col min="10" max="10" width="15.140625" customWidth="1"/>
    <col min="11" max="11" width="23.140625" customWidth="1"/>
    <col min="12" max="12" width="17" customWidth="1"/>
    <col min="13" max="13" width="23.28515625" customWidth="1"/>
    <col min="14" max="14" width="16.42578125" style="2" customWidth="1"/>
    <col min="15" max="15" width="25.7109375" style="2" customWidth="1"/>
    <col min="16" max="16" width="19.7109375" customWidth="1"/>
    <col min="17" max="17" width="17.140625" customWidth="1"/>
    <col min="18" max="18" width="21" customWidth="1"/>
    <col min="19" max="19" width="26.42578125" style="2" customWidth="1"/>
    <col min="20" max="20" width="67.7109375" customWidth="1"/>
  </cols>
  <sheetData>
    <row r="1" spans="1:34" s="25" customFormat="1" ht="15.7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1" t="s">
        <v>8</v>
      </c>
      <c r="J1" s="23" t="s">
        <v>9</v>
      </c>
      <c r="K1" s="23" t="s">
        <v>10</v>
      </c>
      <c r="L1" s="20" t="s">
        <v>11</v>
      </c>
      <c r="M1" s="20" t="s">
        <v>12</v>
      </c>
      <c r="N1" s="24" t="s">
        <v>13</v>
      </c>
      <c r="O1" s="24" t="s">
        <v>14</v>
      </c>
      <c r="P1" s="24" t="s">
        <v>15</v>
      </c>
      <c r="Q1" s="20" t="s">
        <v>16</v>
      </c>
      <c r="R1" s="24" t="s">
        <v>17</v>
      </c>
      <c r="S1" s="22" t="s">
        <v>18</v>
      </c>
      <c r="T1" s="20" t="s">
        <v>19</v>
      </c>
    </row>
    <row r="2" spans="1:34">
      <c r="A2" s="4" t="str">
        <f>IF(B2&lt;&gt;"","L"&amp;COUNTIF($B$2:B2,"&lt;&gt;"),"")</f>
        <v>L1</v>
      </c>
      <c r="B2" s="1" t="s">
        <v>20</v>
      </c>
      <c r="C2" s="1" t="s">
        <v>20</v>
      </c>
      <c r="D2" s="1" t="s">
        <v>21</v>
      </c>
      <c r="E2" s="1" t="s">
        <v>22</v>
      </c>
      <c r="F2" s="1" t="s">
        <v>23</v>
      </c>
      <c r="G2" s="1"/>
      <c r="H2" s="19" t="s">
        <v>24</v>
      </c>
      <c r="I2" s="16">
        <v>600000</v>
      </c>
      <c r="J2" s="5" t="str">
        <f>IF(K2="","",IF(OR(K2="Commercial Proposal",K2="Negotiation",K2="Win",K2="Lost",K2="Cancel",K2="Converted"),"Deal","Lead"))</f>
        <v>Deal</v>
      </c>
      <c r="K2" s="5" t="s">
        <v>25</v>
      </c>
      <c r="L2" s="1" t="s">
        <v>26</v>
      </c>
      <c r="M2" s="1"/>
      <c r="N2" s="2">
        <v>45891</v>
      </c>
      <c r="O2" s="2">
        <v>45891</v>
      </c>
      <c r="P2" s="2">
        <v>45891</v>
      </c>
      <c r="R2" s="3"/>
      <c r="S2" s="3">
        <v>45919</v>
      </c>
      <c r="T2" s="1" t="s">
        <v>27</v>
      </c>
    </row>
    <row r="3" spans="1:34">
      <c r="A3" s="4" t="str">
        <f>IF(B3&lt;&gt;"","L"&amp;COUNTIF($B$2:B3,"&lt;&gt;"),"")</f>
        <v>L2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/>
      <c r="H3" s="19" t="s">
        <v>33</v>
      </c>
      <c r="I3" s="16"/>
      <c r="J3" s="5" t="str">
        <f>IF(K3="","",IF(OR(K3="Commercial Proposal",K3="Negotiation",K3="Win",K3="Lost",K3="Cancel",K3="Converted"),"Deal","Lead"))</f>
        <v>Deal</v>
      </c>
      <c r="K3" s="5" t="s">
        <v>34</v>
      </c>
      <c r="L3" s="1" t="s">
        <v>35</v>
      </c>
      <c r="M3" s="1" t="s">
        <v>36</v>
      </c>
      <c r="N3" s="2">
        <v>45892</v>
      </c>
      <c r="O3" s="2">
        <v>45892</v>
      </c>
      <c r="P3" s="2">
        <v>45892</v>
      </c>
      <c r="R3" s="3"/>
      <c r="S3" s="3"/>
      <c r="T3" s="1" t="s">
        <v>37</v>
      </c>
    </row>
    <row r="4" spans="1:34">
      <c r="A4" s="4" t="str">
        <f>IF(B4&lt;&gt;"","L"&amp;COUNTIF($B$2:B4,"&lt;&gt;"),"")</f>
        <v>L3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/>
      <c r="H4" s="19" t="s">
        <v>43</v>
      </c>
      <c r="I4" s="16"/>
      <c r="J4" s="5" t="str">
        <f>IF(K4="","",IF(OR(K4="Commercial Proposal",K4="Negotiation",K4="Win",K4="Lost",K4="Cancel",K4="Converted"),"Deal","Lead"))</f>
        <v>Deal</v>
      </c>
      <c r="K4" s="5" t="s">
        <v>34</v>
      </c>
      <c r="L4" s="1" t="s">
        <v>44</v>
      </c>
      <c r="M4" s="1" t="s">
        <v>45</v>
      </c>
      <c r="N4" s="2">
        <v>45893</v>
      </c>
      <c r="O4" s="2">
        <v>45893</v>
      </c>
      <c r="P4" s="2">
        <v>45893</v>
      </c>
      <c r="R4" s="3"/>
      <c r="S4" s="3"/>
      <c r="T4" s="1" t="s">
        <v>46</v>
      </c>
    </row>
    <row r="5" spans="1:34" ht="15.75">
      <c r="A5" s="4" t="str">
        <f>IF(B5&lt;&gt;"","L"&amp;COUNTIF($B$2:B5,"&lt;&gt;"),"")</f>
        <v>L4</v>
      </c>
      <c r="B5" s="1" t="s">
        <v>47</v>
      </c>
      <c r="C5" s="1" t="s">
        <v>47</v>
      </c>
      <c r="D5" s="1" t="s">
        <v>48</v>
      </c>
      <c r="E5" s="1" t="s">
        <v>41</v>
      </c>
      <c r="F5" s="1" t="s">
        <v>42</v>
      </c>
      <c r="G5" s="1"/>
      <c r="H5" s="19"/>
      <c r="I5" s="16"/>
      <c r="J5" s="5" t="str">
        <f>IF(K5="","",IF(OR(K5="Commercial Proposal",K5="Negotiation",K5="Win",K5="Lost",K5="Cancel",K5="Converted"),"Deal","Lead"))</f>
        <v>Lead</v>
      </c>
      <c r="K5" s="1" t="s">
        <v>49</v>
      </c>
      <c r="L5" s="1" t="s">
        <v>44</v>
      </c>
      <c r="M5" s="1" t="s">
        <v>45</v>
      </c>
      <c r="N5" s="6">
        <v>45894</v>
      </c>
      <c r="O5" s="6">
        <v>45894</v>
      </c>
      <c r="P5" s="6">
        <v>45894</v>
      </c>
      <c r="R5" s="3">
        <v>45893</v>
      </c>
      <c r="S5" s="3"/>
      <c r="T5" s="1" t="s">
        <v>50</v>
      </c>
    </row>
    <row r="6" spans="1:34" ht="15.75">
      <c r="A6" s="4" t="str">
        <f>IF(B6&lt;&gt;"","L"&amp;COUNTIF($B$2:B6,"&lt;&gt;"),"")</f>
        <v>L5</v>
      </c>
      <c r="B6" s="1" t="s">
        <v>51</v>
      </c>
      <c r="C6" s="1" t="s">
        <v>51</v>
      </c>
      <c r="D6" s="1" t="s">
        <v>52</v>
      </c>
      <c r="E6" s="1" t="s">
        <v>41</v>
      </c>
      <c r="F6" s="1" t="s">
        <v>42</v>
      </c>
      <c r="G6" s="1"/>
      <c r="H6" s="19"/>
      <c r="I6" s="16"/>
      <c r="J6" s="5" t="str">
        <f>IF(K6="","",IF(OR(K6="Commercial Proposal",K6="Negotiation",K6="Win",K6="Lost",K6="Cancel",K6="Converted"),"Deal","Lead"))</f>
        <v>Lead</v>
      </c>
      <c r="K6" s="1" t="s">
        <v>49</v>
      </c>
      <c r="L6" s="1" t="s">
        <v>44</v>
      </c>
      <c r="M6" s="1" t="s">
        <v>45</v>
      </c>
      <c r="N6" s="6">
        <v>45894</v>
      </c>
      <c r="O6" s="6">
        <v>45894</v>
      </c>
      <c r="P6" s="6">
        <v>45894</v>
      </c>
      <c r="R6" s="3">
        <v>45893</v>
      </c>
      <c r="S6" s="3"/>
      <c r="T6" s="1" t="s">
        <v>53</v>
      </c>
    </row>
    <row r="7" spans="1:34">
      <c r="A7" s="4" t="str">
        <f>IF(B7&lt;&gt;"","L"&amp;COUNTIF($B$2:B7,"&lt;&gt;"),"")</f>
        <v>L6</v>
      </c>
      <c r="B7" s="1" t="s">
        <v>54</v>
      </c>
      <c r="C7" s="1" t="s">
        <v>55</v>
      </c>
      <c r="D7" s="1" t="s">
        <v>56</v>
      </c>
      <c r="E7" s="1" t="s">
        <v>41</v>
      </c>
      <c r="F7" s="1" t="s">
        <v>42</v>
      </c>
      <c r="G7" s="1"/>
      <c r="H7" s="19" t="s">
        <v>57</v>
      </c>
      <c r="I7" s="16"/>
      <c r="J7" s="5" t="str">
        <f>IF(K7="","",IF(OR(K7="Commercial Proposal",K7="Negotiation",K7="Win",K7="Lost",K7="Cancel",K7="Converted"),"Deal","Lead"))</f>
        <v>Deal</v>
      </c>
      <c r="K7" s="1" t="s">
        <v>58</v>
      </c>
      <c r="L7" s="1" t="s">
        <v>44</v>
      </c>
      <c r="M7" s="1" t="s">
        <v>45</v>
      </c>
      <c r="N7" s="2">
        <v>45894</v>
      </c>
      <c r="O7" s="2">
        <v>45894</v>
      </c>
      <c r="P7" s="2">
        <v>45894</v>
      </c>
      <c r="R7" s="3"/>
      <c r="S7" s="3"/>
      <c r="T7" s="1" t="s">
        <v>59</v>
      </c>
    </row>
    <row r="8" spans="1:34" ht="15.75">
      <c r="A8" s="4" t="str">
        <f>IF(B8&lt;&gt;"","L"&amp;COUNTIF($B$2:B8,"&lt;&gt;"),"")</f>
        <v>L7</v>
      </c>
      <c r="B8" s="1" t="s">
        <v>28</v>
      </c>
      <c r="C8" s="1" t="s">
        <v>29</v>
      </c>
      <c r="D8" s="1" t="s">
        <v>60</v>
      </c>
      <c r="E8" s="1" t="s">
        <v>41</v>
      </c>
      <c r="F8" s="1" t="s">
        <v>61</v>
      </c>
      <c r="G8" s="1"/>
      <c r="H8" s="19"/>
      <c r="I8" s="16"/>
      <c r="J8" s="5" t="str">
        <f>IF(K8="","",IF(OR(K8="Commercial Proposal",K8="Negotiation",K8="Win",K8="Lost",K8="Cancel",K8="Converted"),"Deal","Lead"))</f>
        <v>Lead</v>
      </c>
      <c r="K8" s="1" t="s">
        <v>62</v>
      </c>
      <c r="L8" s="1"/>
      <c r="M8" s="1" t="s">
        <v>63</v>
      </c>
      <c r="N8" s="6">
        <v>45894</v>
      </c>
      <c r="O8" s="6">
        <v>45894</v>
      </c>
      <c r="P8" s="6">
        <v>45894</v>
      </c>
      <c r="R8" s="3">
        <v>45893</v>
      </c>
      <c r="S8" s="3"/>
      <c r="T8" s="1" t="s">
        <v>64</v>
      </c>
      <c r="AH8">
        <v>1</v>
      </c>
    </row>
    <row r="9" spans="1:34" ht="15.75">
      <c r="A9" s="4" t="str">
        <f>IF(B9&lt;&gt;"","L"&amp;COUNTIF($B$2:B9,"&lt;&gt;"),"")</f>
        <v>L8</v>
      </c>
      <c r="B9" s="1" t="s">
        <v>65</v>
      </c>
      <c r="C9" s="1" t="s">
        <v>65</v>
      </c>
      <c r="D9" s="1"/>
      <c r="E9" s="1" t="s">
        <v>66</v>
      </c>
      <c r="F9" s="1" t="s">
        <v>32</v>
      </c>
      <c r="G9" s="1"/>
      <c r="H9" s="19"/>
      <c r="I9" s="16"/>
      <c r="J9" s="5" t="str">
        <f>IF(K9="","",IF(OR(K9="Commercial Proposal",K9="Negotiation",K9="Win",K9="Lost",K9="Cancel",K9="Converted"),"Deal","Lead"))</f>
        <v>Lead</v>
      </c>
      <c r="K9" s="1" t="s">
        <v>67</v>
      </c>
      <c r="L9" s="1" t="s">
        <v>26</v>
      </c>
      <c r="M9" s="1" t="s">
        <v>68</v>
      </c>
      <c r="N9" s="6">
        <v>45894</v>
      </c>
      <c r="O9" s="6">
        <v>45894</v>
      </c>
      <c r="P9" s="6">
        <v>45894</v>
      </c>
      <c r="R9" s="3">
        <v>45893</v>
      </c>
      <c r="S9" s="3"/>
      <c r="T9" s="1" t="s">
        <v>69</v>
      </c>
    </row>
    <row r="10" spans="1:34" ht="15.75">
      <c r="A10" s="4" t="str">
        <f>IF(B10&lt;&gt;"","L"&amp;COUNTIF($B$2:B10,"&lt;&gt;"),"")</f>
        <v>L9</v>
      </c>
      <c r="B10" s="1" t="s">
        <v>65</v>
      </c>
      <c r="C10" s="1" t="s">
        <v>65</v>
      </c>
      <c r="D10" s="1"/>
      <c r="E10" s="1" t="s">
        <v>70</v>
      </c>
      <c r="F10" s="1" t="s">
        <v>32</v>
      </c>
      <c r="G10" s="1"/>
      <c r="H10" s="19"/>
      <c r="I10" s="16"/>
      <c r="J10" s="5" t="str">
        <f>IF(K10="","",IF(OR(K10="Commercial Proposal",K10="Negotiation",K10="Win",K10="Lost",K10="Cancel",K10="Converted"),"Deal","Lead"))</f>
        <v>Lead</v>
      </c>
      <c r="K10" s="1" t="s">
        <v>67</v>
      </c>
      <c r="L10" s="1" t="s">
        <v>26</v>
      </c>
      <c r="M10" s="1" t="s">
        <v>71</v>
      </c>
      <c r="N10" s="6">
        <v>45894</v>
      </c>
      <c r="O10" s="6">
        <v>45894</v>
      </c>
      <c r="P10" s="6">
        <v>45894</v>
      </c>
      <c r="R10" s="3">
        <v>45893</v>
      </c>
      <c r="S10" s="3"/>
      <c r="T10" s="1" t="s">
        <v>69</v>
      </c>
    </row>
    <row r="11" spans="1:34" ht="15.75">
      <c r="A11" s="4" t="str">
        <f>IF(B11&lt;&gt;"","L"&amp;COUNTIF($B$2:B11,"&lt;&gt;"),"")</f>
        <v>L10</v>
      </c>
      <c r="B11" s="1" t="s">
        <v>72</v>
      </c>
      <c r="C11" s="1" t="s">
        <v>72</v>
      </c>
      <c r="D11" s="1" t="s">
        <v>73</v>
      </c>
      <c r="E11" s="1" t="s">
        <v>70</v>
      </c>
      <c r="F11" s="1" t="s">
        <v>32</v>
      </c>
      <c r="G11" s="1"/>
      <c r="H11" s="19"/>
      <c r="I11" s="16"/>
      <c r="J11" s="5" t="str">
        <f>IF(K11="","",IF(OR(K11="Commercial Proposal",K11="Negotiation",K11="Win",K11="Lost",K11="Cancel",K11="Converted"),"Deal","Lead"))</f>
        <v>Lead</v>
      </c>
      <c r="K11" s="1" t="s">
        <v>67</v>
      </c>
      <c r="L11" s="1" t="s">
        <v>74</v>
      </c>
      <c r="M11" s="1" t="s">
        <v>71</v>
      </c>
      <c r="N11" s="6">
        <v>45894</v>
      </c>
      <c r="O11" s="6">
        <v>45894</v>
      </c>
      <c r="P11" s="6">
        <v>45894</v>
      </c>
      <c r="R11" s="3">
        <v>45893</v>
      </c>
      <c r="S11" s="3"/>
      <c r="T11" s="1"/>
    </row>
    <row r="12" spans="1:34" ht="15.75">
      <c r="A12" s="4" t="str">
        <f>IF(B12&lt;&gt;"","L"&amp;COUNTIF($B$2:B12,"&lt;&gt;"),"")</f>
        <v>L11</v>
      </c>
      <c r="B12" s="1" t="s">
        <v>75</v>
      </c>
      <c r="C12" s="1" t="s">
        <v>75</v>
      </c>
      <c r="D12" s="1" t="s">
        <v>76</v>
      </c>
      <c r="E12" s="1" t="s">
        <v>70</v>
      </c>
      <c r="F12" s="1" t="s">
        <v>32</v>
      </c>
      <c r="G12" s="1"/>
      <c r="H12" s="19"/>
      <c r="I12" s="16"/>
      <c r="J12" s="5" t="str">
        <f>IF(K12="","",IF(OR(K12="Commercial Proposal",K12="Negotiation",K12="Win",K12="Lost",K12="Cancel",K12="Converted"),"Deal","Lead"))</f>
        <v>Lead</v>
      </c>
      <c r="K12" s="1" t="s">
        <v>67</v>
      </c>
      <c r="L12" s="1" t="s">
        <v>74</v>
      </c>
      <c r="M12" s="1" t="s">
        <v>71</v>
      </c>
      <c r="N12" s="6">
        <v>45894</v>
      </c>
      <c r="O12" s="6">
        <v>45894</v>
      </c>
      <c r="P12" s="6">
        <v>45894</v>
      </c>
      <c r="R12" s="3">
        <v>45893</v>
      </c>
      <c r="S12" s="3"/>
      <c r="T12" s="1"/>
    </row>
    <row r="13" spans="1:34" ht="15.75">
      <c r="A13" s="4" t="str">
        <f>IF(B13&lt;&gt;"","L"&amp;COUNTIF($B$2:B13,"&lt;&gt;"),"")</f>
        <v>L12</v>
      </c>
      <c r="B13" s="1" t="s">
        <v>75</v>
      </c>
      <c r="C13" s="1" t="s">
        <v>75</v>
      </c>
      <c r="D13" s="1" t="s">
        <v>76</v>
      </c>
      <c r="E13" s="1" t="s">
        <v>41</v>
      </c>
      <c r="F13" s="1" t="s">
        <v>42</v>
      </c>
      <c r="G13" s="1"/>
      <c r="H13" s="19"/>
      <c r="I13" s="16"/>
      <c r="J13" s="5" t="str">
        <f>IF(K13="","",IF(OR(K13="Commercial Proposal",K13="Negotiation",K13="Win",K13="Lost",K13="Cancel",K13="Converted"),"Deal","Lead"))</f>
        <v>Lead</v>
      </c>
      <c r="K13" s="1" t="s">
        <v>67</v>
      </c>
      <c r="L13" s="1" t="s">
        <v>44</v>
      </c>
      <c r="M13" s="1" t="s">
        <v>45</v>
      </c>
      <c r="N13" s="6">
        <v>45894</v>
      </c>
      <c r="O13" s="6">
        <v>45894</v>
      </c>
      <c r="P13" s="6">
        <v>45894</v>
      </c>
      <c r="R13" s="3">
        <v>45893</v>
      </c>
      <c r="S13" s="3"/>
      <c r="T13" s="1" t="s">
        <v>77</v>
      </c>
    </row>
    <row r="14" spans="1:34" ht="15.75">
      <c r="A14" s="4" t="str">
        <f>IF(B14&lt;&gt;"","L"&amp;COUNTIF($B$2:B14,"&lt;&gt;"),"")</f>
        <v>L13</v>
      </c>
      <c r="B14" s="1" t="s">
        <v>78</v>
      </c>
      <c r="C14" s="1" t="s">
        <v>78</v>
      </c>
      <c r="D14" s="1"/>
      <c r="E14" s="1" t="s">
        <v>79</v>
      </c>
      <c r="F14" s="1" t="s">
        <v>23</v>
      </c>
      <c r="G14" s="1"/>
      <c r="H14" s="19"/>
      <c r="I14" s="16"/>
      <c r="J14" s="5" t="str">
        <f>IF(K14="","",IF(OR(K14="Commercial Proposal",K14="Negotiation",K14="Win",K14="Lost",K14="Cancel",K14="Converted"),"Deal","Lead"))</f>
        <v>Lead</v>
      </c>
      <c r="K14" s="1" t="s">
        <v>80</v>
      </c>
      <c r="L14" s="1" t="s">
        <v>26</v>
      </c>
      <c r="M14" s="1"/>
      <c r="N14" s="6">
        <v>45894</v>
      </c>
      <c r="O14" s="6">
        <v>45894</v>
      </c>
      <c r="P14" s="6">
        <v>45894</v>
      </c>
      <c r="R14" s="3">
        <v>45893</v>
      </c>
      <c r="S14" s="3"/>
      <c r="T14" s="1"/>
    </row>
    <row r="15" spans="1:34" ht="15.75">
      <c r="A15" s="4" t="str">
        <f>IF(B15&lt;&gt;"","L"&amp;COUNTIF($B$2:B15,"&lt;&gt;"),"")</f>
        <v>L14</v>
      </c>
      <c r="B15" s="1" t="s">
        <v>44</v>
      </c>
      <c r="C15" s="1" t="s">
        <v>81</v>
      </c>
      <c r="D15" s="1" t="s">
        <v>82</v>
      </c>
      <c r="E15" s="1" t="s">
        <v>41</v>
      </c>
      <c r="F15" s="1" t="s">
        <v>61</v>
      </c>
      <c r="G15" s="1"/>
      <c r="H15" s="19"/>
      <c r="I15" s="16"/>
      <c r="J15" s="5" t="str">
        <f>IF(K15="","",IF(OR(K15="Commercial Proposal",K15="Negotiation",K15="Win",K15="Lost",K15="Cancel",K15="Converted"),"Deal","Lead"))</f>
        <v>Lead</v>
      </c>
      <c r="K15" s="1" t="s">
        <v>67</v>
      </c>
      <c r="L15" s="1"/>
      <c r="M15" s="1" t="s">
        <v>83</v>
      </c>
      <c r="N15" s="6">
        <v>45894</v>
      </c>
      <c r="O15" s="6">
        <v>45894</v>
      </c>
      <c r="P15" s="6">
        <v>45894</v>
      </c>
      <c r="R15" s="3">
        <v>45893</v>
      </c>
      <c r="S15" s="3"/>
      <c r="T15" s="1" t="s">
        <v>84</v>
      </c>
    </row>
    <row r="16" spans="1:34">
      <c r="A16" s="4" t="str">
        <f>IF(B16&lt;&gt;"","L"&amp;COUNTIF($B$2:B16,"&lt;&gt;"),"")</f>
        <v>L15</v>
      </c>
      <c r="B16" s="1" t="s">
        <v>85</v>
      </c>
      <c r="C16" s="1" t="s">
        <v>85</v>
      </c>
      <c r="D16" s="1" t="s">
        <v>86</v>
      </c>
      <c r="E16" s="1" t="s">
        <v>87</v>
      </c>
      <c r="F16" s="1" t="s">
        <v>88</v>
      </c>
      <c r="G16" s="1"/>
      <c r="H16" s="19" t="s">
        <v>89</v>
      </c>
      <c r="I16" s="16"/>
      <c r="J16" s="5" t="str">
        <f>IF(K16="","",IF(OR(K16="Commercial Proposal",K16="Negotiation",K16="Win",K16="Lost",K16="Cancel",K16="Converted"),"Deal","Lead"))</f>
        <v>Deal</v>
      </c>
      <c r="K16" s="5" t="s">
        <v>25</v>
      </c>
      <c r="L16" s="1" t="s">
        <v>26</v>
      </c>
      <c r="M16" s="1" t="s">
        <v>90</v>
      </c>
      <c r="N16" s="2">
        <v>45895</v>
      </c>
      <c r="O16" s="2">
        <v>45895</v>
      </c>
      <c r="P16" s="2">
        <v>45895</v>
      </c>
      <c r="R16" s="3"/>
      <c r="S16" s="3"/>
      <c r="T16" s="1" t="s">
        <v>91</v>
      </c>
    </row>
    <row r="17" spans="1:20">
      <c r="A17" s="4" t="str">
        <f>IF(B17&lt;&gt;"","L"&amp;COUNTIF($B$2:B17,"&lt;&gt;"),"")</f>
        <v>L16</v>
      </c>
      <c r="B17" s="1" t="s">
        <v>92</v>
      </c>
      <c r="C17" s="1" t="s">
        <v>92</v>
      </c>
      <c r="D17" s="1" t="s">
        <v>93</v>
      </c>
      <c r="E17" s="1" t="s">
        <v>79</v>
      </c>
      <c r="F17" s="1" t="s">
        <v>23</v>
      </c>
      <c r="G17" s="1"/>
      <c r="H17" s="19" t="s">
        <v>94</v>
      </c>
      <c r="I17" s="16"/>
      <c r="J17" s="5" t="str">
        <f>IF(K17="","",IF(OR(K17="Commercial Proposal",K17="Negotiation",K17="Win",K17="Lost",K17="Cancel",K17="Converted"),"Deal","Lead"))</f>
        <v>Deal</v>
      </c>
      <c r="K17" s="5" t="s">
        <v>34</v>
      </c>
      <c r="L17" s="1" t="s">
        <v>26</v>
      </c>
      <c r="M17" s="1"/>
      <c r="N17" s="2">
        <v>45896</v>
      </c>
      <c r="O17" s="2">
        <v>45896</v>
      </c>
      <c r="P17" s="2">
        <v>45896</v>
      </c>
      <c r="R17" s="3"/>
      <c r="S17" s="3">
        <v>45919</v>
      </c>
      <c r="T17" s="1" t="s">
        <v>95</v>
      </c>
    </row>
    <row r="18" spans="1:20">
      <c r="A18" s="4" t="str">
        <f>IF(B18&lt;&gt;"","L"&amp;COUNTIF($B$2:B18,"&lt;&gt;"),"")</f>
        <v>L17</v>
      </c>
      <c r="B18" s="1" t="s">
        <v>96</v>
      </c>
      <c r="C18" s="1" t="s">
        <v>96</v>
      </c>
      <c r="D18" s="1" t="s">
        <v>97</v>
      </c>
      <c r="E18" s="1" t="s">
        <v>41</v>
      </c>
      <c r="F18" s="1" t="s">
        <v>61</v>
      </c>
      <c r="G18" s="1"/>
      <c r="H18" s="19" t="s">
        <v>24</v>
      </c>
      <c r="I18" s="16"/>
      <c r="J18" s="5" t="str">
        <f>IF(K18="","",IF(OR(K18="Commercial Proposal",K18="Negotiation",K18="Win",K18="Lost",K18="Cancel",K18="Converted"),"Deal","Lead"))</f>
        <v>Deal</v>
      </c>
      <c r="K18" s="5" t="s">
        <v>34</v>
      </c>
      <c r="L18" s="1"/>
      <c r="M18" s="1" t="s">
        <v>83</v>
      </c>
      <c r="N18" s="2">
        <v>45897</v>
      </c>
      <c r="O18" s="2">
        <v>45897</v>
      </c>
      <c r="P18" s="2">
        <v>45897</v>
      </c>
      <c r="R18" s="3"/>
      <c r="S18" s="3"/>
      <c r="T18" s="1" t="s">
        <v>98</v>
      </c>
    </row>
    <row r="19" spans="1:20" ht="15.75">
      <c r="A19" s="4" t="str">
        <f>IF(B19&lt;&gt;"","L"&amp;COUNTIF($B$2:B19,"&lt;&gt;"),"")</f>
        <v>L18</v>
      </c>
      <c r="B19" s="1" t="s">
        <v>99</v>
      </c>
      <c r="C19" s="1" t="s">
        <v>99</v>
      </c>
      <c r="D19" s="1" t="s">
        <v>100</v>
      </c>
      <c r="E19" s="1" t="s">
        <v>41</v>
      </c>
      <c r="F19" s="1" t="s">
        <v>42</v>
      </c>
      <c r="G19" s="1"/>
      <c r="H19" s="19" t="s">
        <v>101</v>
      </c>
      <c r="I19" s="16">
        <v>180000</v>
      </c>
      <c r="J19" s="5" t="str">
        <f>IF(K19="","",IF(OR(K19="Commercial Proposal",K19="Negotiation",K19="Win",K19="Lost",K19="Cancel",K19="Converted"),"Deal","Lead"))</f>
        <v>Deal</v>
      </c>
      <c r="K19" s="5" t="s">
        <v>25</v>
      </c>
      <c r="L19" s="1" t="s">
        <v>26</v>
      </c>
      <c r="M19" s="1" t="s">
        <v>45</v>
      </c>
      <c r="N19" s="6">
        <v>45898</v>
      </c>
      <c r="O19" s="6">
        <v>45898</v>
      </c>
      <c r="P19" s="6">
        <v>45898</v>
      </c>
      <c r="R19" s="3">
        <v>45898</v>
      </c>
      <c r="S19" s="3"/>
      <c r="T19" s="1"/>
    </row>
    <row r="20" spans="1:20" ht="15.75">
      <c r="A20" s="4" t="str">
        <f>IF(B20&lt;&gt;"","L"&amp;COUNTIF($B$2:B20,"&lt;&gt;"),"")</f>
        <v>L19</v>
      </c>
      <c r="B20" s="1" t="s">
        <v>99</v>
      </c>
      <c r="C20" s="1" t="s">
        <v>99</v>
      </c>
      <c r="D20" s="1" t="s">
        <v>100</v>
      </c>
      <c r="E20" s="1" t="s">
        <v>79</v>
      </c>
      <c r="F20" s="1" t="s">
        <v>23</v>
      </c>
      <c r="G20" s="1"/>
      <c r="H20" s="19" t="s">
        <v>102</v>
      </c>
      <c r="I20" s="16"/>
      <c r="J20" s="5" t="str">
        <f>IF(K20="","",IF(OR(K20="Commercial Proposal",K20="Negotiation",K20="Win",K20="Lost",K20="Cancel",K20="Converted"),"Deal","Lead"))</f>
        <v>Deal</v>
      </c>
      <c r="K20" s="5" t="s">
        <v>25</v>
      </c>
      <c r="L20" s="1" t="s">
        <v>26</v>
      </c>
      <c r="M20" s="1" t="s">
        <v>103</v>
      </c>
      <c r="N20" s="6">
        <v>45898</v>
      </c>
      <c r="O20" s="6">
        <v>45898</v>
      </c>
      <c r="P20" s="6">
        <v>45898</v>
      </c>
      <c r="R20" s="3">
        <v>45891</v>
      </c>
      <c r="S20" s="3"/>
      <c r="T20" s="1" t="s">
        <v>104</v>
      </c>
    </row>
    <row r="21" spans="1:20" ht="15.75">
      <c r="A21" s="4" t="str">
        <f>IF(B21&lt;&gt;"","L"&amp;COUNTIF($B$2:B21,"&lt;&gt;"),"")</f>
        <v>L20</v>
      </c>
      <c r="B21" s="1" t="s">
        <v>99</v>
      </c>
      <c r="C21" s="1" t="s">
        <v>99</v>
      </c>
      <c r="D21" s="1" t="s">
        <v>100</v>
      </c>
      <c r="E21" s="1" t="s">
        <v>41</v>
      </c>
      <c r="F21" s="1" t="s">
        <v>61</v>
      </c>
      <c r="G21" s="1"/>
      <c r="H21" s="19" t="s">
        <v>89</v>
      </c>
      <c r="I21" s="16"/>
      <c r="J21" s="5" t="str">
        <f>IF(K21="","",IF(OR(K21="Commercial Proposal",K21="Negotiation",K21="Win",K21="Lost",K21="Cancel",K21="Converted"),"Deal","Lead"))</f>
        <v>Deal</v>
      </c>
      <c r="K21" s="5" t="s">
        <v>25</v>
      </c>
      <c r="L21" s="1"/>
      <c r="M21" s="1" t="s">
        <v>83</v>
      </c>
      <c r="N21" s="6">
        <v>45898</v>
      </c>
      <c r="O21" s="6">
        <v>45898</v>
      </c>
      <c r="P21" s="6">
        <v>45898</v>
      </c>
      <c r="R21" s="3">
        <v>45891</v>
      </c>
      <c r="S21" s="3"/>
      <c r="T21" s="1" t="s">
        <v>105</v>
      </c>
    </row>
    <row r="22" spans="1:20">
      <c r="A22" s="4" t="str">
        <f>IF(B22&lt;&gt;"","L"&amp;COUNTIF($B$2:B22,"&lt;&gt;"),"")</f>
        <v>L21</v>
      </c>
      <c r="B22" s="1" t="s">
        <v>106</v>
      </c>
      <c r="C22" s="1" t="s">
        <v>106</v>
      </c>
      <c r="D22" s="1" t="s">
        <v>107</v>
      </c>
      <c r="E22" s="1" t="s">
        <v>41</v>
      </c>
      <c r="F22" s="1" t="s">
        <v>42</v>
      </c>
      <c r="G22" s="1"/>
      <c r="H22" s="19" t="s">
        <v>108</v>
      </c>
      <c r="I22" s="16"/>
      <c r="J22" s="5" t="str">
        <f>IF(K22="","",IF(OR(K22="Commercial Proposal",K22="Negotiation",K22="Win",K22="Lost",K22="Cancel",K22="Converted"),"Deal","Lead"))</f>
        <v>Deal</v>
      </c>
      <c r="K22" s="5" t="s">
        <v>58</v>
      </c>
      <c r="L22" s="1" t="s">
        <v>44</v>
      </c>
      <c r="M22" s="1" t="s">
        <v>45</v>
      </c>
      <c r="N22" s="2">
        <v>45898</v>
      </c>
      <c r="O22" s="2">
        <v>45898</v>
      </c>
      <c r="P22" s="2">
        <v>45898</v>
      </c>
      <c r="R22" s="3"/>
      <c r="S22" s="3"/>
      <c r="T22" s="1" t="s">
        <v>109</v>
      </c>
    </row>
    <row r="23" spans="1:20">
      <c r="A23" s="4" t="str">
        <f>IF(B23&lt;&gt;"","L"&amp;COUNTIF($B$2:B23,"&lt;&gt;"),"")</f>
        <v>L22</v>
      </c>
      <c r="B23" s="1" t="s">
        <v>38</v>
      </c>
      <c r="C23" s="1" t="s">
        <v>39</v>
      </c>
      <c r="D23" s="1" t="s">
        <v>40</v>
      </c>
      <c r="E23" s="1" t="s">
        <v>41</v>
      </c>
      <c r="F23" s="1" t="s">
        <v>42</v>
      </c>
      <c r="G23" s="1"/>
      <c r="H23" s="19" t="s">
        <v>110</v>
      </c>
      <c r="I23" s="16"/>
      <c r="J23" s="5" t="str">
        <f>IF(K23="","",IF(OR(K23="Commercial Proposal",K23="Negotiation",K23="Win",K23="Lost",K23="Cancel",K23="Converted"),"Deal","Lead"))</f>
        <v>Deal</v>
      </c>
      <c r="K23" s="5" t="s">
        <v>34</v>
      </c>
      <c r="L23" s="1" t="s">
        <v>44</v>
      </c>
      <c r="M23" s="1" t="s">
        <v>45</v>
      </c>
      <c r="N23" s="2">
        <v>45899</v>
      </c>
      <c r="O23" s="2">
        <v>45899</v>
      </c>
      <c r="P23" s="2">
        <v>45899</v>
      </c>
      <c r="R23" s="3"/>
      <c r="S23" s="3"/>
      <c r="T23" s="1" t="s">
        <v>111</v>
      </c>
    </row>
    <row r="24" spans="1:20">
      <c r="A24" s="4" t="str">
        <f>IF(B24&lt;&gt;"","L"&amp;COUNTIF($B$2:B24,"&lt;&gt;"),"")</f>
        <v>L23</v>
      </c>
      <c r="B24" s="1" t="s">
        <v>38</v>
      </c>
      <c r="C24" s="1" t="s">
        <v>39</v>
      </c>
      <c r="D24" s="1" t="s">
        <v>112</v>
      </c>
      <c r="E24" s="1" t="s">
        <v>41</v>
      </c>
      <c r="F24" s="1" t="s">
        <v>42</v>
      </c>
      <c r="G24" s="1"/>
      <c r="H24" s="19" t="s">
        <v>113</v>
      </c>
      <c r="I24" s="16"/>
      <c r="J24" s="5" t="str">
        <f>IF(K24="","",IF(OR(K24="Commercial Proposal",K24="Negotiation",K24="Win",K24="Lost",K24="Cancel",K24="Converted"),"Deal","Lead"))</f>
        <v>Deal</v>
      </c>
      <c r="K24" s="5" t="s">
        <v>34</v>
      </c>
      <c r="L24" s="1" t="s">
        <v>44</v>
      </c>
      <c r="M24" s="1" t="s">
        <v>45</v>
      </c>
      <c r="N24" s="2">
        <v>45900</v>
      </c>
      <c r="O24" s="2">
        <v>45900</v>
      </c>
      <c r="P24" s="2">
        <v>45900</v>
      </c>
      <c r="R24" s="3"/>
      <c r="S24" s="3"/>
      <c r="T24" s="1" t="s">
        <v>114</v>
      </c>
    </row>
    <row r="25" spans="1:20">
      <c r="A25" s="4" t="str">
        <f>IF(B25&lt;&gt;"","L"&amp;COUNTIF($B$2:B25,"&lt;&gt;"),"")</f>
        <v>L24</v>
      </c>
      <c r="B25" s="1" t="s">
        <v>38</v>
      </c>
      <c r="C25" s="1" t="s">
        <v>39</v>
      </c>
      <c r="D25" s="1" t="s">
        <v>115</v>
      </c>
      <c r="E25" s="1" t="s">
        <v>41</v>
      </c>
      <c r="F25" t="s">
        <v>42</v>
      </c>
      <c r="H25" s="19" t="s">
        <v>43</v>
      </c>
      <c r="J25" s="5" t="str">
        <f>IF(K25="","",IF(OR(K25="Commercial Proposal",K25="Negotiation",K25="Win",K25="Lost",K25="Cancel",K25="Converted"),"Deal","Lead"))</f>
        <v>Deal</v>
      </c>
      <c r="K25" s="5" t="s">
        <v>116</v>
      </c>
      <c r="L25" s="1" t="s">
        <v>44</v>
      </c>
      <c r="M25" s="1" t="s">
        <v>45</v>
      </c>
      <c r="N25" s="2">
        <v>45901</v>
      </c>
      <c r="O25" s="2">
        <v>45901</v>
      </c>
      <c r="P25" s="2">
        <v>45901</v>
      </c>
      <c r="R25" s="3">
        <v>45893</v>
      </c>
      <c r="T25" s="1" t="s">
        <v>117</v>
      </c>
    </row>
    <row r="26" spans="1:20">
      <c r="A26" s="4" t="str">
        <f>IF(B26&lt;&gt;"","L"&amp;COUNTIF($B$2:B26,"&lt;&gt;"),"")</f>
        <v>L25</v>
      </c>
      <c r="B26" s="1" t="s">
        <v>118</v>
      </c>
      <c r="C26" s="1" t="s">
        <v>119</v>
      </c>
      <c r="D26" s="1" t="s">
        <v>120</v>
      </c>
      <c r="E26" s="1" t="s">
        <v>70</v>
      </c>
      <c r="F26" s="1" t="s">
        <v>121</v>
      </c>
      <c r="G26" s="1"/>
      <c r="H26" s="19" t="s">
        <v>89</v>
      </c>
      <c r="I26" s="16"/>
      <c r="J26" s="5" t="str">
        <f>IF(K26="","",IF(OR(K26="Commercial Proposal",K26="Negotiation",K26="Win",K26="Lost",K26="Cancel",K26="Converted"),"Deal","Lead"))</f>
        <v>Deal</v>
      </c>
      <c r="K26" s="5" t="s">
        <v>25</v>
      </c>
      <c r="L26" s="1" t="s">
        <v>74</v>
      </c>
      <c r="M26" s="1" t="s">
        <v>71</v>
      </c>
      <c r="N26" s="2">
        <v>45901</v>
      </c>
      <c r="O26" s="2">
        <v>45901</v>
      </c>
      <c r="P26" s="2">
        <v>45901</v>
      </c>
      <c r="R26" s="3"/>
      <c r="S26" s="3"/>
      <c r="T26" s="1" t="s">
        <v>122</v>
      </c>
    </row>
    <row r="27" spans="1:20">
      <c r="A27" s="4" t="str">
        <f>IF(B27&lt;&gt;"","L"&amp;COUNTIF($B$2:B27,"&lt;&gt;"),"")</f>
        <v>L26</v>
      </c>
      <c r="B27" s="1" t="s">
        <v>123</v>
      </c>
      <c r="C27" s="1" t="s">
        <v>124</v>
      </c>
      <c r="D27" s="1" t="s">
        <v>125</v>
      </c>
      <c r="E27" s="1" t="s">
        <v>41</v>
      </c>
      <c r="F27" s="1" t="s">
        <v>61</v>
      </c>
      <c r="G27" s="1"/>
      <c r="H27" s="19" t="s">
        <v>126</v>
      </c>
      <c r="I27" s="16"/>
      <c r="J27" s="5" t="str">
        <f>IF(K27="","",IF(OR(K27="Commercial Proposal",K27="Negotiation",K27="Win",K27="Lost",K27="Cancel",K27="Converted"),"Deal","Lead"))</f>
        <v>Deal</v>
      </c>
      <c r="K27" s="5" t="s">
        <v>25</v>
      </c>
      <c r="L27" s="1" t="s">
        <v>127</v>
      </c>
      <c r="M27" s="1" t="s">
        <v>128</v>
      </c>
      <c r="N27" s="2">
        <v>45902</v>
      </c>
      <c r="O27" s="2">
        <v>45902</v>
      </c>
      <c r="P27" s="2">
        <v>45902</v>
      </c>
      <c r="R27" s="3"/>
      <c r="S27" s="3"/>
      <c r="T27" s="1" t="s">
        <v>129</v>
      </c>
    </row>
    <row r="28" spans="1:20">
      <c r="A28" s="4" t="str">
        <f>IF(B28&lt;&gt;"","L"&amp;COUNTIF($B$2:B28,"&lt;&gt;"),"")</f>
        <v>L27</v>
      </c>
      <c r="B28" s="1" t="s">
        <v>28</v>
      </c>
      <c r="C28" s="1" t="s">
        <v>29</v>
      </c>
      <c r="D28" s="1" t="s">
        <v>130</v>
      </c>
      <c r="E28" s="1" t="s">
        <v>70</v>
      </c>
      <c r="F28" s="1" t="s">
        <v>32</v>
      </c>
      <c r="G28" s="1"/>
      <c r="H28" s="19" t="s">
        <v>131</v>
      </c>
      <c r="I28" s="16"/>
      <c r="J28" s="5" t="str">
        <f>IF(K28="","",IF(OR(K28="Commercial Proposal",K28="Negotiation",K28="Win",K28="Lost",K28="Cancel",K28="Converted"),"Deal","Lead"))</f>
        <v>Deal</v>
      </c>
      <c r="K28" s="5" t="s">
        <v>25</v>
      </c>
      <c r="L28" s="1" t="s">
        <v>74</v>
      </c>
      <c r="M28" s="1" t="s">
        <v>71</v>
      </c>
      <c r="N28" s="2">
        <v>45903</v>
      </c>
      <c r="O28" s="2">
        <v>45903</v>
      </c>
      <c r="P28" s="2">
        <v>45903</v>
      </c>
      <c r="R28" s="3"/>
      <c r="S28" s="3"/>
      <c r="T28" s="1" t="s">
        <v>132</v>
      </c>
    </row>
    <row r="29" spans="1:20">
      <c r="A29" s="4" t="str">
        <f>IF(B29&lt;&gt;"","L"&amp;COUNTIF($B$2:B29,"&lt;&gt;"),"")</f>
        <v>L28</v>
      </c>
      <c r="B29" s="1" t="s">
        <v>28</v>
      </c>
      <c r="C29" s="1" t="s">
        <v>29</v>
      </c>
      <c r="D29" s="1" t="s">
        <v>60</v>
      </c>
      <c r="E29" s="1" t="s">
        <v>41</v>
      </c>
      <c r="F29" s="1" t="s">
        <v>61</v>
      </c>
      <c r="G29" s="1"/>
      <c r="H29" s="19"/>
      <c r="I29" s="16"/>
      <c r="J29" s="5" t="str">
        <f>IF(K29="","",IF(OR(K29="Commercial Proposal",K29="Negotiation",K29="Win",K29="Lost",K29="Cancel",K29="Converted"),"Deal","Lead"))</f>
        <v>Deal</v>
      </c>
      <c r="K29" s="1" t="s">
        <v>133</v>
      </c>
      <c r="L29" s="1"/>
      <c r="M29" s="1" t="s">
        <v>63</v>
      </c>
      <c r="N29" s="2">
        <v>45904</v>
      </c>
      <c r="O29" s="2">
        <v>45904</v>
      </c>
      <c r="P29" s="2">
        <v>45904</v>
      </c>
      <c r="R29" s="3"/>
      <c r="S29" s="3"/>
      <c r="T29" s="1" t="s">
        <v>134</v>
      </c>
    </row>
    <row r="30" spans="1:20">
      <c r="A30" s="4" t="str">
        <f>IF(B30&lt;&gt;"","L"&amp;COUNTIF($B$2:B30,"&lt;&gt;"),"")</f>
        <v>L29</v>
      </c>
      <c r="B30" s="1" t="s">
        <v>135</v>
      </c>
      <c r="C30" s="1" t="s">
        <v>135</v>
      </c>
      <c r="D30" s="1" t="s">
        <v>136</v>
      </c>
      <c r="E30" s="1" t="s">
        <v>41</v>
      </c>
      <c r="F30" s="1" t="s">
        <v>42</v>
      </c>
      <c r="G30" s="1"/>
      <c r="H30" s="19" t="s">
        <v>137</v>
      </c>
      <c r="I30" s="16"/>
      <c r="J30" s="5" t="str">
        <f>IF(K30="","",IF(OR(K30="Commercial Proposal",K30="Negotiation",K30="Win",K30="Lost",K30="Cancel",K30="Converted"),"Deal","Lead"))</f>
        <v>Deal</v>
      </c>
      <c r="K30" s="1" t="s">
        <v>25</v>
      </c>
      <c r="L30" s="1" t="s">
        <v>44</v>
      </c>
      <c r="M30" s="1" t="s">
        <v>45</v>
      </c>
      <c r="N30" s="2">
        <v>45905</v>
      </c>
      <c r="O30" s="2">
        <v>45905</v>
      </c>
      <c r="P30" s="2">
        <v>45905</v>
      </c>
      <c r="R30" s="3"/>
      <c r="S30" s="3"/>
      <c r="T30" s="1" t="s">
        <v>138</v>
      </c>
    </row>
    <row r="31" spans="1:20">
      <c r="A31" s="4" t="str">
        <f>IF(B31&lt;&gt;"","L"&amp;COUNTIF($B$2:B31,"&lt;&gt;"),"")</f>
        <v>L30</v>
      </c>
      <c r="B31" s="1" t="s">
        <v>28</v>
      </c>
      <c r="C31" s="1" t="s">
        <v>29</v>
      </c>
      <c r="D31" s="1" t="s">
        <v>60</v>
      </c>
      <c r="E31" s="1" t="s">
        <v>41</v>
      </c>
      <c r="F31" s="1" t="s">
        <v>61</v>
      </c>
      <c r="G31" s="1"/>
      <c r="H31" s="19"/>
      <c r="I31" s="16"/>
      <c r="J31" s="5" t="str">
        <f>IF(K31="","",IF(OR(K31="Commercial Proposal",K31="Negotiation",K31="Win",K31="Lost",K31="Cancel",K31="Converted"),"Deal","Lead"))</f>
        <v>Deal</v>
      </c>
      <c r="K31" s="1" t="s">
        <v>133</v>
      </c>
      <c r="L31" s="1"/>
      <c r="M31" s="1" t="s">
        <v>63</v>
      </c>
      <c r="N31" s="2">
        <v>45906</v>
      </c>
      <c r="O31" s="2">
        <v>45906</v>
      </c>
      <c r="P31" s="2">
        <v>45906</v>
      </c>
      <c r="R31" s="3"/>
      <c r="S31" s="3"/>
      <c r="T31" s="1" t="s">
        <v>139</v>
      </c>
    </row>
    <row r="32" spans="1:20">
      <c r="A32" s="4" t="str">
        <f>IF(B32&lt;&gt;"","L"&amp;COUNTIF($B$2:B32,"&lt;&gt;"),"")</f>
        <v>L31</v>
      </c>
      <c r="B32" s="1" t="s">
        <v>140</v>
      </c>
      <c r="C32" s="1" t="s">
        <v>141</v>
      </c>
      <c r="D32" s="1" t="s">
        <v>142</v>
      </c>
      <c r="E32" s="1" t="s">
        <v>41</v>
      </c>
      <c r="F32" s="1" t="s">
        <v>61</v>
      </c>
      <c r="G32" s="1"/>
      <c r="H32" s="19" t="s">
        <v>143</v>
      </c>
      <c r="I32" s="16"/>
      <c r="J32" s="5" t="str">
        <f>IF(K32="","",IF(OR(K32="Commercial Proposal",K32="Negotiation",K32="Win",K32="Lost",K32="Cancel",K32="Converted"),"Deal","Lead"))</f>
        <v>Lead</v>
      </c>
      <c r="K32" s="1" t="s">
        <v>144</v>
      </c>
      <c r="L32" s="1"/>
      <c r="M32" s="1" t="s">
        <v>128</v>
      </c>
      <c r="N32" s="2">
        <v>45907</v>
      </c>
      <c r="O32" s="2">
        <v>45907</v>
      </c>
      <c r="P32" s="2">
        <v>45907</v>
      </c>
      <c r="R32" s="3"/>
      <c r="S32" s="3"/>
      <c r="T32" s="1" t="s">
        <v>145</v>
      </c>
    </row>
    <row r="33" spans="1:20">
      <c r="A33" s="4" t="str">
        <f>IF(B33&lt;&gt;"","L"&amp;COUNTIF($B$2:B33,"&lt;&gt;"),"")</f>
        <v>L32</v>
      </c>
      <c r="B33" s="1" t="s">
        <v>146</v>
      </c>
      <c r="C33" s="1" t="s">
        <v>99</v>
      </c>
      <c r="D33" s="1" t="s">
        <v>100</v>
      </c>
      <c r="E33" s="1" t="s">
        <v>70</v>
      </c>
      <c r="F33" s="1" t="s">
        <v>147</v>
      </c>
      <c r="G33" s="1"/>
      <c r="H33" s="19"/>
      <c r="I33" s="16"/>
      <c r="J33" s="5" t="str">
        <f>IF(K33="","",IF(OR(K33="Commercial Proposal",K33="Negotiation",K33="Win",K33="Lost",K33="Cancel",K33="Converted"),"Deal","Lead"))</f>
        <v>Lead</v>
      </c>
      <c r="K33" s="1" t="s">
        <v>62</v>
      </c>
      <c r="L33" s="1" t="s">
        <v>26</v>
      </c>
      <c r="M33" s="1" t="s">
        <v>103</v>
      </c>
      <c r="N33" s="2">
        <v>45908</v>
      </c>
      <c r="O33" s="2">
        <v>45908</v>
      </c>
      <c r="P33" s="2">
        <v>45908</v>
      </c>
      <c r="R33" s="3">
        <v>45908</v>
      </c>
      <c r="S33" s="3"/>
      <c r="T33" s="1" t="s">
        <v>148</v>
      </c>
    </row>
    <row r="34" spans="1:20">
      <c r="A34" s="4" t="str">
        <f>IF(B34&lt;&gt;"","L"&amp;COUNTIF($B$2:B34,"&lt;&gt;"),"")</f>
        <v>L33</v>
      </c>
      <c r="B34" s="1" t="s">
        <v>149</v>
      </c>
      <c r="C34" s="1" t="s">
        <v>29</v>
      </c>
      <c r="D34" s="1" t="s">
        <v>130</v>
      </c>
      <c r="E34" s="1" t="s">
        <v>70</v>
      </c>
      <c r="F34" s="1" t="s">
        <v>147</v>
      </c>
      <c r="G34" s="1"/>
      <c r="H34" s="19"/>
      <c r="I34" s="16"/>
      <c r="J34" s="5" t="str">
        <f>IF(K34="","",IF(OR(K34="Commercial Proposal",K34="Negotiation",K34="Win",K34="Lost",K34="Cancel",K34="Converted"),"Deal","Lead"))</f>
        <v>Lead</v>
      </c>
      <c r="K34" s="1" t="s">
        <v>62</v>
      </c>
      <c r="L34" s="1" t="s">
        <v>26</v>
      </c>
      <c r="M34" s="1" t="s">
        <v>103</v>
      </c>
      <c r="N34" s="2">
        <v>45908</v>
      </c>
      <c r="O34" s="2">
        <v>45908</v>
      </c>
      <c r="P34" s="2">
        <v>45908</v>
      </c>
      <c r="R34" s="3">
        <v>45908</v>
      </c>
      <c r="S34" s="3"/>
      <c r="T34" s="1" t="s">
        <v>150</v>
      </c>
    </row>
    <row r="35" spans="1:20">
      <c r="A35" s="4" t="str">
        <f>IF(B35&lt;&gt;"","L"&amp;COUNTIF($B$2:B35,"&lt;&gt;"),"")</f>
        <v>L34</v>
      </c>
      <c r="B35" s="1" t="s">
        <v>151</v>
      </c>
      <c r="C35" s="1" t="s">
        <v>141</v>
      </c>
      <c r="D35" s="1" t="s">
        <v>152</v>
      </c>
      <c r="E35" s="1" t="s">
        <v>70</v>
      </c>
      <c r="F35" s="1" t="s">
        <v>147</v>
      </c>
      <c r="G35" s="1"/>
      <c r="H35" s="19"/>
      <c r="I35" s="16"/>
      <c r="J35" s="5" t="str">
        <f>IF(K35="","",IF(OR(K35="Commercial Proposal",K35="Negotiation",K35="Win",K35="Lost",K35="Cancel",K35="Converted"),"Deal","Lead"))</f>
        <v>Lead</v>
      </c>
      <c r="K35" s="1" t="s">
        <v>62</v>
      </c>
      <c r="L35" s="1" t="s">
        <v>26</v>
      </c>
      <c r="M35" s="1" t="s">
        <v>103</v>
      </c>
      <c r="N35" s="2">
        <v>45908</v>
      </c>
      <c r="O35" s="2">
        <v>45908</v>
      </c>
      <c r="P35" s="2">
        <v>45908</v>
      </c>
      <c r="R35" s="3">
        <v>45908</v>
      </c>
      <c r="S35" s="3"/>
      <c r="T35" s="1" t="s">
        <v>153</v>
      </c>
    </row>
    <row r="36" spans="1:20">
      <c r="A36" s="4" t="str">
        <f>IF(B36&lt;&gt;"","L"&amp;COUNTIF($B$2:B36,"&lt;&gt;"),"")</f>
        <v>L35</v>
      </c>
      <c r="B36" s="1" t="s">
        <v>154</v>
      </c>
      <c r="C36" s="1" t="s">
        <v>75</v>
      </c>
      <c r="D36" s="1" t="s">
        <v>76</v>
      </c>
      <c r="E36" s="1" t="s">
        <v>70</v>
      </c>
      <c r="F36" s="1" t="s">
        <v>147</v>
      </c>
      <c r="G36" s="1"/>
      <c r="H36" s="19"/>
      <c r="I36" s="16"/>
      <c r="J36" s="5" t="str">
        <f>IF(K36="","",IF(OR(K36="Commercial Proposal",K36="Negotiation",K36="Win",K36="Lost",K36="Cancel",K36="Converted"),"Deal","Lead"))</f>
        <v>Lead</v>
      </c>
      <c r="K36" s="1" t="s">
        <v>62</v>
      </c>
      <c r="L36" s="1" t="s">
        <v>26</v>
      </c>
      <c r="M36" s="1" t="s">
        <v>103</v>
      </c>
      <c r="N36" s="2">
        <v>45908</v>
      </c>
      <c r="O36" s="2">
        <v>45908</v>
      </c>
      <c r="P36" s="2">
        <v>45908</v>
      </c>
      <c r="R36" s="3">
        <v>45908</v>
      </c>
      <c r="S36" s="3"/>
      <c r="T36" s="1" t="s">
        <v>155</v>
      </c>
    </row>
    <row r="37" spans="1:20">
      <c r="A37" s="4" t="str">
        <f>IF(B37&lt;&gt;"","L"&amp;COUNTIF($B$2:B37,"&lt;&gt;"),"")</f>
        <v>L36</v>
      </c>
      <c r="B37" s="1" t="s">
        <v>156</v>
      </c>
      <c r="C37" s="1" t="s">
        <v>156</v>
      </c>
      <c r="D37" s="1" t="s">
        <v>157</v>
      </c>
      <c r="E37" s="1" t="s">
        <v>41</v>
      </c>
      <c r="F37" s="1" t="s">
        <v>61</v>
      </c>
      <c r="G37" s="1"/>
      <c r="H37" s="19" t="s">
        <v>143</v>
      </c>
      <c r="I37" s="16"/>
      <c r="J37" s="5" t="str">
        <f>IF(K37="","",IF(OR(K37="Commercial Proposal",K37="Negotiation",K37="Win",K37="Lost",K37="Cancel",K37="Converted"),"Deal","Lead"))</f>
        <v>Lead</v>
      </c>
      <c r="K37" s="5" t="s">
        <v>144</v>
      </c>
      <c r="L37" s="1"/>
      <c r="M37" s="1" t="s">
        <v>128</v>
      </c>
      <c r="N37" s="2">
        <v>45908</v>
      </c>
      <c r="O37" s="2">
        <v>45908</v>
      </c>
      <c r="P37" s="2">
        <v>45908</v>
      </c>
      <c r="R37" s="3"/>
      <c r="S37" s="3"/>
      <c r="T37" s="1" t="s">
        <v>158</v>
      </c>
    </row>
    <row r="38" spans="1:20">
      <c r="A38" s="4" t="str">
        <f>IF(B38&lt;&gt;"","L"&amp;COUNTIF($B$2:B38,"&lt;&gt;"),"")</f>
        <v>L37</v>
      </c>
      <c r="B38" s="1" t="s">
        <v>28</v>
      </c>
      <c r="C38" s="1" t="s">
        <v>29</v>
      </c>
      <c r="D38" s="1" t="s">
        <v>130</v>
      </c>
      <c r="E38" s="1" t="s">
        <v>41</v>
      </c>
      <c r="F38" s="1" t="s">
        <v>61</v>
      </c>
      <c r="G38" s="1"/>
      <c r="H38" s="19" t="s">
        <v>159</v>
      </c>
      <c r="I38" s="16"/>
      <c r="J38" s="5" t="str">
        <f>IF(K38="","",IF(OR(K38="Commercial Proposal",K38="Negotiation",K38="Win",K38="Lost",K38="Cancel",K38="Converted"),"Deal","Lead"))</f>
        <v>Lead</v>
      </c>
      <c r="K38" s="5" t="s">
        <v>144</v>
      </c>
      <c r="L38" s="1"/>
      <c r="M38" s="1" t="s">
        <v>128</v>
      </c>
      <c r="N38" s="2">
        <v>45909</v>
      </c>
      <c r="O38" s="2">
        <v>45909</v>
      </c>
      <c r="P38" s="2">
        <v>45909</v>
      </c>
      <c r="R38" s="3"/>
      <c r="S38" s="3"/>
      <c r="T38" s="1" t="s">
        <v>160</v>
      </c>
    </row>
    <row r="39" spans="1:20">
      <c r="A39" s="4" t="str">
        <f>IF(B39&lt;&gt;"","L"&amp;COUNTIF($B$2:B39,"&lt;&gt;"),"")</f>
        <v>L38</v>
      </c>
      <c r="B39" s="1" t="s">
        <v>28</v>
      </c>
      <c r="C39" s="1" t="s">
        <v>29</v>
      </c>
      <c r="D39" s="1" t="s">
        <v>130</v>
      </c>
      <c r="E39" s="1" t="s">
        <v>41</v>
      </c>
      <c r="F39" s="1" t="s">
        <v>61</v>
      </c>
      <c r="G39" s="1"/>
      <c r="H39" s="19"/>
      <c r="I39" s="16"/>
      <c r="J39" s="5" t="str">
        <f>IF(K39="","",IF(OR(K39="Commercial Proposal",K39="Negotiation",K39="Win",K39="Lost",K39="Cancel",K39="Converted"),"Deal","Lead"))</f>
        <v>Deal</v>
      </c>
      <c r="K39" s="1" t="s">
        <v>133</v>
      </c>
      <c r="L39" s="1"/>
      <c r="M39" s="1" t="s">
        <v>128</v>
      </c>
      <c r="N39" s="2">
        <v>45910</v>
      </c>
      <c r="O39" s="2">
        <v>45910</v>
      </c>
      <c r="P39" s="2">
        <v>45910</v>
      </c>
      <c r="R39" s="3"/>
      <c r="S39" s="3"/>
      <c r="T39" s="1" t="s">
        <v>161</v>
      </c>
    </row>
    <row r="40" spans="1:20">
      <c r="A40" s="4" t="str">
        <f>IF(B40&lt;&gt;"","L"&amp;COUNTIF($B$2:B40,"&lt;&gt;"),"")</f>
        <v>L39</v>
      </c>
      <c r="B40" s="1" t="s">
        <v>162</v>
      </c>
      <c r="C40" s="1" t="s">
        <v>29</v>
      </c>
      <c r="D40" s="1" t="s">
        <v>130</v>
      </c>
      <c r="E40" s="1" t="s">
        <v>41</v>
      </c>
      <c r="F40" s="1" t="s">
        <v>163</v>
      </c>
      <c r="G40" s="1"/>
      <c r="H40" s="19"/>
      <c r="I40" s="16"/>
      <c r="J40" s="5" t="str">
        <f>IF(K40="","",IF(OR(K40="Commercial Proposal",K40="Negotiation",K40="Win",K40="Lost",K40="Cancel",K40="Converted"),"Deal","Lead"))</f>
        <v>Lead</v>
      </c>
      <c r="K40" s="1" t="s">
        <v>67</v>
      </c>
      <c r="L40" s="1"/>
      <c r="M40" s="1" t="s">
        <v>83</v>
      </c>
      <c r="N40" s="2">
        <v>45911</v>
      </c>
      <c r="O40" s="2">
        <v>45911</v>
      </c>
      <c r="P40" s="2">
        <v>45911</v>
      </c>
      <c r="R40" s="3">
        <v>45891</v>
      </c>
      <c r="S40" s="3"/>
      <c r="T40" s="1" t="s">
        <v>164</v>
      </c>
    </row>
    <row r="41" spans="1:20" ht="15.75">
      <c r="A41" s="4" t="str">
        <f>IF(B41&lt;&gt;"","L"&amp;COUNTIF($B$2:B41,"&lt;&gt;"),"")</f>
        <v>L40</v>
      </c>
      <c r="B41" s="1" t="s">
        <v>165</v>
      </c>
      <c r="C41" s="1" t="s">
        <v>166</v>
      </c>
      <c r="D41" s="1" t="s">
        <v>167</v>
      </c>
      <c r="E41" s="1" t="s">
        <v>22</v>
      </c>
      <c r="F41" s="1" t="s">
        <v>23</v>
      </c>
      <c r="G41" s="1"/>
      <c r="H41" s="19" t="s">
        <v>168</v>
      </c>
      <c r="I41" s="15">
        <v>10200000</v>
      </c>
      <c r="J41" s="5" t="str">
        <f>IF(K41="","",IF(OR(K41="Commercial Proposal",K41="Negotiation",K41="Win",K41="Lost",K41="Cancel",K41="Converted"),"Deal","Lead"))</f>
        <v>Deal</v>
      </c>
      <c r="K41" s="5" t="s">
        <v>25</v>
      </c>
      <c r="L41" s="1" t="s">
        <v>26</v>
      </c>
      <c r="M41" s="1"/>
      <c r="N41" s="6">
        <v>45958</v>
      </c>
      <c r="O41" s="6">
        <v>45958</v>
      </c>
      <c r="P41" s="6">
        <v>45958</v>
      </c>
      <c r="R41" s="3">
        <v>45958</v>
      </c>
      <c r="S41" s="3"/>
      <c r="T41" s="1"/>
    </row>
    <row r="42" spans="1:20">
      <c r="A42" s="4" t="str">
        <f>IF(B42&lt;&gt;"","L"&amp;COUNTIF($B$2:B42,"&lt;&gt;"),"")</f>
        <v>L41</v>
      </c>
      <c r="B42" s="1" t="s">
        <v>169</v>
      </c>
      <c r="C42" s="1" t="s">
        <v>141</v>
      </c>
      <c r="D42" s="1" t="s">
        <v>142</v>
      </c>
      <c r="E42" s="1" t="s">
        <v>41</v>
      </c>
      <c r="F42" s="1" t="s">
        <v>42</v>
      </c>
      <c r="G42" s="1"/>
      <c r="H42" s="19" t="s">
        <v>170</v>
      </c>
      <c r="I42" s="16"/>
      <c r="J42" s="5" t="str">
        <f>IF(K42="","",IF(OR(K42="Commercial Proposal",K42="Negotiation",K42="Win",K42="Lost",K42="Cancel",K42="Converted"),"Deal","Lead"))</f>
        <v>Deal</v>
      </c>
      <c r="K42" s="5" t="s">
        <v>171</v>
      </c>
      <c r="L42" s="1" t="s">
        <v>26</v>
      </c>
      <c r="M42" s="1"/>
      <c r="N42" s="2">
        <v>45965</v>
      </c>
      <c r="O42" s="2">
        <v>45965</v>
      </c>
      <c r="P42" s="2">
        <v>45965</v>
      </c>
      <c r="R42" s="3">
        <v>45965</v>
      </c>
      <c r="S42" s="3"/>
      <c r="T42" s="1" t="s">
        <v>172</v>
      </c>
    </row>
    <row r="43" spans="1:20">
      <c r="A43" s="4" t="str">
        <f>IF(B43&lt;&gt;"","L"&amp;COUNTIF($B$2:B43,"&lt;&gt;"),"")</f>
        <v>L42</v>
      </c>
      <c r="B43" s="1" t="s">
        <v>173</v>
      </c>
      <c r="C43" s="1" t="s">
        <v>119</v>
      </c>
      <c r="D43" s="1" t="s">
        <v>120</v>
      </c>
      <c r="E43" s="1" t="s">
        <v>41</v>
      </c>
      <c r="F43" s="1" t="s">
        <v>42</v>
      </c>
      <c r="G43" s="1"/>
      <c r="H43" s="19" t="s">
        <v>174</v>
      </c>
      <c r="I43" s="15">
        <v>440000</v>
      </c>
      <c r="J43" s="5" t="str">
        <f>IF(K43="","",IF(OR(K43="Commercial Proposal",K43="Negotiation",K43="Win",K43="Lost",K43="Cancel",K43="Converted"),"Deal","Lead"))</f>
        <v>Deal</v>
      </c>
      <c r="K43" s="5" t="s">
        <v>116</v>
      </c>
      <c r="L43" s="1" t="s">
        <v>26</v>
      </c>
      <c r="M43" s="1"/>
      <c r="N43" s="2">
        <v>45965</v>
      </c>
      <c r="O43" s="2">
        <v>45965</v>
      </c>
      <c r="P43" s="2">
        <v>45965</v>
      </c>
      <c r="R43" s="3">
        <v>45965</v>
      </c>
      <c r="S43" s="3"/>
      <c r="T43" s="1"/>
    </row>
    <row r="44" spans="1:20" ht="15.75">
      <c r="A44" s="4" t="str">
        <f>IF(B44&lt;&gt;"","L"&amp;COUNTIF($B$2:B44,"&lt;&gt;"),"")</f>
        <v>L43</v>
      </c>
      <c r="B44" s="1" t="s">
        <v>175</v>
      </c>
      <c r="C44" s="1" t="s">
        <v>166</v>
      </c>
      <c r="D44" s="1" t="s">
        <v>167</v>
      </c>
      <c r="E44" s="1" t="s">
        <v>41</v>
      </c>
      <c r="F44" s="1" t="s">
        <v>61</v>
      </c>
      <c r="G44" s="1"/>
      <c r="H44" s="19"/>
      <c r="I44" s="16"/>
      <c r="J44" s="5" t="str">
        <f>IF(K44="","",IF(OR(K44="Commercial Proposal",K44="Negotiation",K44="Win",K44="Lost",K44="Cancel",K44="Converted"),"Deal","Lead"))</f>
        <v>Deal</v>
      </c>
      <c r="K44" s="5" t="s">
        <v>171</v>
      </c>
      <c r="L44" s="1" t="s">
        <v>26</v>
      </c>
      <c r="M44" s="1"/>
      <c r="N44" s="6">
        <v>45987</v>
      </c>
      <c r="O44" s="6">
        <v>45987</v>
      </c>
      <c r="P44" s="6">
        <v>45987</v>
      </c>
      <c r="R44" s="3">
        <v>45987</v>
      </c>
      <c r="S44" s="3"/>
      <c r="T44" s="1"/>
    </row>
    <row r="45" spans="1:20" ht="15.75">
      <c r="A45" s="4" t="str">
        <f>IF(B45&lt;&gt;"","L"&amp;COUNTIF($B$2:B45,"&lt;&gt;"),"")</f>
        <v>L44</v>
      </c>
      <c r="B45" s="1" t="s">
        <v>176</v>
      </c>
      <c r="C45" s="1" t="s">
        <v>166</v>
      </c>
      <c r="D45" s="1" t="s">
        <v>167</v>
      </c>
      <c r="E45" s="1" t="s">
        <v>66</v>
      </c>
      <c r="F45" s="1" t="s">
        <v>32</v>
      </c>
      <c r="G45" s="1"/>
      <c r="H45" s="19"/>
      <c r="I45" s="16"/>
      <c r="J45" s="5" t="str">
        <f>IF(K45="","",IF(OR(K45="Commercial Proposal",K45="Negotiation",K45="Win",K45="Lost",K45="Cancel",K45="Converted"),"Deal","Lead"))</f>
        <v>Lead</v>
      </c>
      <c r="K45" s="1" t="s">
        <v>177</v>
      </c>
      <c r="L45" s="1" t="s">
        <v>26</v>
      </c>
      <c r="M45" s="1"/>
      <c r="N45" s="6">
        <v>45987</v>
      </c>
      <c r="O45" s="6">
        <v>45987</v>
      </c>
      <c r="P45" s="6">
        <v>45987</v>
      </c>
      <c r="R45" s="3">
        <v>45987</v>
      </c>
      <c r="S45" s="3"/>
      <c r="T45" s="1"/>
    </row>
    <row r="46" spans="1:20">
      <c r="A46" s="4" t="str">
        <f>IF(B46&lt;&gt;"","L"&amp;COUNTIF($B$2:B46,"&lt;&gt;"),"")</f>
        <v>L45</v>
      </c>
      <c r="B46" s="1" t="s">
        <v>178</v>
      </c>
      <c r="C46" s="1" t="s">
        <v>166</v>
      </c>
      <c r="D46" s="1" t="s">
        <v>179</v>
      </c>
      <c r="E46" s="1" t="s">
        <v>22</v>
      </c>
      <c r="F46" s="1" t="s">
        <v>23</v>
      </c>
      <c r="G46" s="1"/>
      <c r="H46" s="19"/>
      <c r="I46" s="16"/>
      <c r="J46" s="5" t="str">
        <f>IF(K46="","",IF(OR(K46="Commercial Proposal",K46="Negotiation",K46="Win",K46="Lost",K46="Cancel",K46="Converted"),"Deal","Lead"))</f>
        <v>Deal</v>
      </c>
      <c r="K46" s="7" t="s">
        <v>171</v>
      </c>
      <c r="L46" s="1" t="s">
        <v>26</v>
      </c>
      <c r="M46" s="1" t="s">
        <v>103</v>
      </c>
      <c r="N46" s="2">
        <v>46036</v>
      </c>
      <c r="O46" s="2">
        <v>46036</v>
      </c>
      <c r="P46" s="2">
        <v>46036</v>
      </c>
      <c r="R46" s="3">
        <v>46036</v>
      </c>
      <c r="S46" s="3"/>
      <c r="T46" s="1"/>
    </row>
    <row r="47" spans="1:20">
      <c r="A47" s="4" t="str">
        <f>IF(B47&lt;&gt;"","L"&amp;COUNTIF($B$2:B47,"&lt;&gt;"),"")</f>
        <v>L46</v>
      </c>
      <c r="B47" s="1" t="s">
        <v>180</v>
      </c>
      <c r="C47" s="1" t="s">
        <v>181</v>
      </c>
      <c r="D47" s="1" t="s">
        <v>182</v>
      </c>
      <c r="E47" s="1" t="s">
        <v>22</v>
      </c>
      <c r="F47" s="1" t="s">
        <v>23</v>
      </c>
      <c r="G47" s="1"/>
      <c r="H47" s="19" t="s">
        <v>183</v>
      </c>
      <c r="I47" s="17">
        <f>175000*12</f>
        <v>2100000</v>
      </c>
      <c r="J47" s="5" t="str">
        <f>IF(K47="","",IF(OR(K47="Commercial Proposal",K47="Negotiation",K47="Win",K47="Lost",K47="Cancel",K47="Converted"),"Deal","Lead"))</f>
        <v>Deal</v>
      </c>
      <c r="K47" s="8" t="s">
        <v>25</v>
      </c>
      <c r="L47" s="1" t="s">
        <v>26</v>
      </c>
      <c r="M47" s="1" t="s">
        <v>103</v>
      </c>
      <c r="N47" s="2">
        <v>46036</v>
      </c>
      <c r="O47" s="2">
        <v>46036</v>
      </c>
      <c r="P47" s="2">
        <v>46036</v>
      </c>
      <c r="R47" s="3">
        <v>46036</v>
      </c>
      <c r="S47" s="3"/>
      <c r="T47" s="1"/>
    </row>
    <row r="48" spans="1:20">
      <c r="A48" s="4" t="str">
        <f>IF(B48&lt;&gt;"","L"&amp;COUNTIF($B$2:B48,"&lt;&gt;"),"")</f>
        <v>L47</v>
      </c>
      <c r="B48" t="s">
        <v>184</v>
      </c>
      <c r="C48" t="s">
        <v>29</v>
      </c>
      <c r="D48" t="s">
        <v>130</v>
      </c>
      <c r="E48" t="s">
        <v>41</v>
      </c>
      <c r="F48" t="s">
        <v>42</v>
      </c>
      <c r="H48" s="19" t="s">
        <v>185</v>
      </c>
      <c r="J48" s="5" t="str">
        <f>IF(K48="","",IF(OR(K48="Commercial Proposal",K48="Negotiation",K48="Win",K48="Lost",K48="Cancel",K48="Converted"),"Deal","Lead"))</f>
        <v>Deal</v>
      </c>
      <c r="K48" s="8" t="s">
        <v>171</v>
      </c>
      <c r="L48" t="s">
        <v>186</v>
      </c>
      <c r="M48" t="s">
        <v>187</v>
      </c>
      <c r="N48" s="2">
        <v>46057</v>
      </c>
      <c r="O48" s="2">
        <v>46057</v>
      </c>
      <c r="P48" s="2">
        <v>46057</v>
      </c>
      <c r="R48" s="2"/>
    </row>
    <row r="49" spans="1:20">
      <c r="A49" s="4" t="str">
        <f>IF(B49&lt;&gt;"","L"&amp;COUNTIF($B$2:B49,"&lt;&gt;"),"")</f>
        <v>L48</v>
      </c>
      <c r="B49" t="s">
        <v>188</v>
      </c>
      <c r="C49" t="s">
        <v>189</v>
      </c>
      <c r="D49" t="s">
        <v>190</v>
      </c>
      <c r="E49" t="s">
        <v>70</v>
      </c>
      <c r="H49" s="19"/>
      <c r="J49" s="5" t="str">
        <f>IF(K49="","",IF(OR(K49="Commercial Proposal",K49="Negotiation",K49="Win",K49="Lost",K49="Cancel",K49="Converted"),"Deal","Lead"))</f>
        <v>Lead</v>
      </c>
      <c r="K49" t="s">
        <v>177</v>
      </c>
      <c r="L49" t="s">
        <v>186</v>
      </c>
      <c r="M49" t="s">
        <v>191</v>
      </c>
      <c r="N49" s="2">
        <v>46104</v>
      </c>
      <c r="O49" s="2">
        <v>46104</v>
      </c>
      <c r="P49" s="2">
        <v>46104</v>
      </c>
      <c r="R49" s="2"/>
    </row>
    <row r="50" spans="1:20">
      <c r="A50" s="4" t="str">
        <f>IF(B50&lt;&gt;"","L"&amp;COUNTIF($B$2:B50,"&lt;&gt;"),"")</f>
        <v>L49</v>
      </c>
      <c r="B50" t="s">
        <v>192</v>
      </c>
      <c r="C50" t="s">
        <v>189</v>
      </c>
      <c r="D50" t="s">
        <v>190</v>
      </c>
      <c r="E50" t="s">
        <v>41</v>
      </c>
      <c r="F50" t="s">
        <v>42</v>
      </c>
      <c r="H50" s="19"/>
      <c r="J50" s="5" t="str">
        <f>IF(K50="","",IF(OR(K50="Commercial Proposal",K50="Negotiation",K50="Win",K50="Lost",K50="Cancel",K50="Converted"),"Deal","Lead"))</f>
        <v>Lead</v>
      </c>
      <c r="K50" t="s">
        <v>177</v>
      </c>
      <c r="L50" t="s">
        <v>186</v>
      </c>
      <c r="M50" t="s">
        <v>191</v>
      </c>
      <c r="N50" s="2">
        <v>46104</v>
      </c>
      <c r="O50" s="2">
        <v>46104</v>
      </c>
      <c r="P50" s="2">
        <v>46104</v>
      </c>
      <c r="R50" s="2"/>
    </row>
    <row r="51" spans="1:20">
      <c r="A51" s="4" t="str">
        <f>IF(B51&lt;&gt;"","L"&amp;COUNTIF($B$2:B51,"&lt;&gt;"),"")</f>
        <v>L50</v>
      </c>
      <c r="B51" t="s">
        <v>193</v>
      </c>
      <c r="C51" t="s">
        <v>194</v>
      </c>
      <c r="D51" t="s">
        <v>195</v>
      </c>
      <c r="E51" t="s">
        <v>70</v>
      </c>
      <c r="H51" s="19"/>
      <c r="J51" s="5" t="str">
        <f>IF(K51="","",IF(OR(K51="Commercial Proposal",K51="Negotiation",K51="Win",K51="Lost",K51="Cancel",K51="Converted"),"Deal","Lead"))</f>
        <v>Lead</v>
      </c>
      <c r="K51" t="s">
        <v>177</v>
      </c>
      <c r="L51" t="s">
        <v>186</v>
      </c>
      <c r="M51" t="s">
        <v>191</v>
      </c>
      <c r="N51" s="2">
        <v>46104</v>
      </c>
      <c r="O51" s="2">
        <v>46104</v>
      </c>
      <c r="P51" s="2">
        <v>46104</v>
      </c>
      <c r="R51" s="2"/>
    </row>
    <row r="52" spans="1:20">
      <c r="A52" s="4" t="str">
        <f>IF(B52&lt;&gt;"","L"&amp;COUNTIF($B$2:B52,"&lt;&gt;"),"")</f>
        <v>L51</v>
      </c>
      <c r="B52" t="s">
        <v>196</v>
      </c>
      <c r="C52" t="s">
        <v>194</v>
      </c>
      <c r="D52" t="s">
        <v>195</v>
      </c>
      <c r="E52" t="s">
        <v>41</v>
      </c>
      <c r="F52" t="s">
        <v>42</v>
      </c>
      <c r="H52" s="19"/>
      <c r="J52" s="5" t="str">
        <f>IF(K52="","",IF(OR(K52="Commercial Proposal",K52="Negotiation",K52="Win",K52="Lost",K52="Cancel",K52="Converted"),"Deal","Lead"))</f>
        <v>Lead</v>
      </c>
      <c r="K52" t="s">
        <v>177</v>
      </c>
      <c r="L52" t="s">
        <v>186</v>
      </c>
      <c r="M52" t="s">
        <v>191</v>
      </c>
      <c r="N52" s="2">
        <v>46104</v>
      </c>
      <c r="O52" s="2">
        <v>46104</v>
      </c>
      <c r="P52" s="2">
        <v>46104</v>
      </c>
      <c r="R52" s="2"/>
    </row>
    <row r="53" spans="1:20">
      <c r="A53" s="4" t="str">
        <f>IF(B53&lt;&gt;"","L"&amp;COUNTIF($B$2:B53,"&lt;&gt;"),"")</f>
        <v>L52</v>
      </c>
      <c r="B53" t="s">
        <v>197</v>
      </c>
      <c r="C53" t="s">
        <v>198</v>
      </c>
      <c r="D53" t="s">
        <v>125</v>
      </c>
      <c r="E53" t="s">
        <v>41</v>
      </c>
      <c r="F53" t="s">
        <v>61</v>
      </c>
      <c r="H53" s="19"/>
      <c r="J53" s="5" t="str">
        <f>IF(K53="","",IF(OR(K53="Commercial Proposal",K53="Negotiation",K53="Win",K53="Lost",K53="Cancel",K53="Converted"),"Deal","Lead"))</f>
        <v>Lead</v>
      </c>
      <c r="K53" t="s">
        <v>199</v>
      </c>
      <c r="L53" t="s">
        <v>186</v>
      </c>
      <c r="M53" t="s">
        <v>200</v>
      </c>
      <c r="N53" s="2">
        <v>46104</v>
      </c>
      <c r="O53" s="2">
        <v>46104</v>
      </c>
      <c r="P53" s="2">
        <v>46104</v>
      </c>
      <c r="R53" s="2"/>
    </row>
    <row r="54" spans="1:20">
      <c r="A54" s="4" t="str">
        <f>IF(B54&lt;&gt;"","L"&amp;COUNTIF($B$2:B54,"&lt;&gt;"),"")</f>
        <v>L53</v>
      </c>
      <c r="B54" t="s">
        <v>201</v>
      </c>
      <c r="C54" t="s">
        <v>81</v>
      </c>
      <c r="D54" t="s">
        <v>82</v>
      </c>
      <c r="E54" t="s">
        <v>41</v>
      </c>
      <c r="F54" t="s">
        <v>61</v>
      </c>
      <c r="H54" s="19"/>
      <c r="J54" s="5" t="str">
        <f>IF(K54="","",IF(OR(K54="Commercial Proposal",K54="Negotiation",K54="Win",K54="Lost",K54="Cancel",K54="Converted"),"Deal","Lead"))</f>
        <v/>
      </c>
      <c r="L54" t="s">
        <v>186</v>
      </c>
      <c r="P54" s="2"/>
      <c r="R54" s="2"/>
      <c r="T54" t="s">
        <v>202</v>
      </c>
    </row>
    <row r="55" spans="1:20">
      <c r="A55" s="4" t="str">
        <f>IF(B55&lt;&gt;"","L"&amp;COUNTIF($B$2:B55,"&lt;&gt;"),"")</f>
        <v>L54</v>
      </c>
      <c r="B55" t="s">
        <v>203</v>
      </c>
      <c r="C55" t="s">
        <v>204</v>
      </c>
      <c r="D55" t="s">
        <v>205</v>
      </c>
      <c r="E55" t="s">
        <v>66</v>
      </c>
      <c r="F55" t="s">
        <v>32</v>
      </c>
      <c r="H55" s="19"/>
      <c r="J55" s="5" t="str">
        <f>IF(K55="","",IF(OR(K55="Commercial Proposal",K55="Negotiation",K55="Win",K55="Lost",K55="Cancel",K55="Converted"),"Deal","Lead"))</f>
        <v>Deal</v>
      </c>
      <c r="K55" t="s">
        <v>133</v>
      </c>
      <c r="L55" t="s">
        <v>186</v>
      </c>
      <c r="M55" t="s">
        <v>191</v>
      </c>
      <c r="N55" s="2">
        <v>46108</v>
      </c>
      <c r="O55" s="2">
        <v>46108</v>
      </c>
      <c r="P55" s="2">
        <v>46108</v>
      </c>
      <c r="R55" s="2"/>
      <c r="T55" t="s">
        <v>206</v>
      </c>
    </row>
    <row r="56" spans="1:20">
      <c r="A56" s="4" t="str">
        <f>IF(B56&lt;&gt;"","L"&amp;COUNTIF($B$2:B56,"&lt;&gt;"),"")</f>
        <v/>
      </c>
      <c r="J56" s="5" t="str">
        <f>IF(K56="","",IF(OR(K56="Commercial Proposal",K56="Negotiation",K56="Win",K56="Lost",K56="Cancel",K56="Converted"),"Deal","Lead"))</f>
        <v/>
      </c>
      <c r="P56" s="2"/>
      <c r="R56" s="2"/>
    </row>
    <row r="57" spans="1:20">
      <c r="A57" s="4"/>
      <c r="J57" s="5" t="str">
        <f>IF(K57="","",IF(OR(K57="Commercial Proposal",K57="Negotiation",K57="Win",K57="Lost",K57="Cancel",K57="Converted"),"Deal","Lead"))</f>
        <v/>
      </c>
      <c r="P57" s="2"/>
      <c r="R57" s="2"/>
    </row>
    <row r="58" spans="1:20">
      <c r="A58" s="4" t="str">
        <f>IF(B58&lt;&gt;"","L"&amp;COUNTIF($B$2:B58,"&lt;&gt;"),"")</f>
        <v/>
      </c>
      <c r="J58" s="5" t="str">
        <f>IF(K58="","",IF(OR(K58="Commercial Proposal",K58="Negotiation",K58="Win",K58="Lost",K58="Cancel",K58="Converted"),"Deal","Lead"))</f>
        <v/>
      </c>
      <c r="P58" s="2"/>
      <c r="R58" s="2"/>
    </row>
    <row r="59" spans="1:20">
      <c r="A59" s="4" t="str">
        <f>IF(B59&lt;&gt;"","L"&amp;COUNTIF($B$2:B59,"&lt;&gt;"),"")</f>
        <v/>
      </c>
      <c r="J59" s="5" t="str">
        <f>IF(K59="","",IF(OR(K59="Commercial Proposal",K59="Negotiation",K59="Win",K59="Lost",K59="Cancel",K59="Converted"),"Deal","Lead"))</f>
        <v/>
      </c>
      <c r="P59" s="2"/>
      <c r="R59" s="2"/>
    </row>
    <row r="60" spans="1:20">
      <c r="A60" s="4" t="str">
        <f>IF(B60&lt;&gt;"","L"&amp;COUNTIF($B$2:B60,"&lt;&gt;"),"")</f>
        <v/>
      </c>
      <c r="J60" s="5" t="str">
        <f>IF(K60="","",IF(OR(K60="Commercial Proposal",K60="Negotiation",K60="Win",K60="Lost",K60="Cancel",K60="Converted"),"Deal","Lead"))</f>
        <v/>
      </c>
      <c r="P60" s="2"/>
      <c r="R60" s="2"/>
    </row>
    <row r="61" spans="1:20">
      <c r="A61" s="4" t="str">
        <f>IF(B61&lt;&gt;"","L"&amp;COUNTIF($B$2:B61,"&lt;&gt;"),"")</f>
        <v/>
      </c>
      <c r="J61" s="5" t="str">
        <f>IF(K61="","",IF(OR(K61="Commercial Proposal",K61="Negotiation",K61="Win",K61="Lost",K61="Cancel",K61="Converted"),"Deal","Lead"))</f>
        <v/>
      </c>
      <c r="P61" s="2"/>
      <c r="R61" s="2"/>
    </row>
    <row r="62" spans="1:20">
      <c r="A62" s="4" t="str">
        <f>IF(B62&lt;&gt;"","L"&amp;COUNTIF($B$2:B62,"&lt;&gt;"),"")</f>
        <v/>
      </c>
      <c r="J62" s="5" t="str">
        <f>IF(K62="","",IF(OR(K62="Commercial Proposal",K62="Negotiation",K62="Win",K62="Lost",K62="Cancel",K62="Converted"),"Deal","Lead"))</f>
        <v/>
      </c>
      <c r="P62" s="2"/>
      <c r="R62" s="2"/>
    </row>
    <row r="63" spans="1:20">
      <c r="A63" s="4" t="str">
        <f>IF(B63&lt;&gt;"","L"&amp;COUNTIF($B$2:B63,"&lt;&gt;"),"")</f>
        <v/>
      </c>
      <c r="J63" s="5" t="str">
        <f>IF(K63="","",IF(OR(K63="Commercial Proposal",K63="Negotiation",K63="Win",K63="Lost",K63="Cancel",K63="Converted"),"Deal","Lead"))</f>
        <v/>
      </c>
      <c r="P63" s="2"/>
      <c r="R63" s="2"/>
    </row>
    <row r="64" spans="1:20">
      <c r="A64" s="4" t="str">
        <f>IF(B64&lt;&gt;"","L"&amp;COUNTIF($B$2:B64,"&lt;&gt;"),"")</f>
        <v/>
      </c>
      <c r="J64" s="5" t="str">
        <f>IF(K64="","",IF(OR(K64="Commercial Proposal",K64="Negotiation",K64="Win",K64="Lost",K64="Cancel",K64="Converted"),"Deal","Lead"))</f>
        <v/>
      </c>
      <c r="P64" s="2"/>
      <c r="R64" s="2"/>
    </row>
    <row r="65" spans="1:18">
      <c r="A65" s="4" t="str">
        <f>IF(B65&lt;&gt;"","L"&amp;COUNTIF($B$2:B65,"&lt;&gt;"),"")</f>
        <v/>
      </c>
      <c r="J65" s="5" t="str">
        <f>IF(K65="","",IF(OR(K65="Commercial Proposal",K65="Negotiation",K65="Win",K65="Lost",K65="Cancel",K65="Converted"),"Deal","Lead"))</f>
        <v/>
      </c>
      <c r="P65" s="2"/>
      <c r="R65" s="2"/>
    </row>
    <row r="66" spans="1:18">
      <c r="A66" s="4" t="str">
        <f>IF(B66&lt;&gt;"","L"&amp;COUNTIF($B$2:B66,"&lt;&gt;"),"")</f>
        <v/>
      </c>
      <c r="J66" s="5" t="str">
        <f>IF(K66="","",IF(OR(K66="Commercial Proposal",K66="Negotiation",K66="Win",K66="Lost",K66="Cancel",K66="Converted"),"Deal","Lead"))</f>
        <v/>
      </c>
      <c r="P66" s="2"/>
      <c r="R66" s="2"/>
    </row>
    <row r="67" spans="1:18">
      <c r="A67" s="4" t="str">
        <f>IF(B67&lt;&gt;"","L"&amp;COUNTIF($B$2:B67,"&lt;&gt;"),"")</f>
        <v/>
      </c>
      <c r="J67" s="5" t="str">
        <f>IF(K67="","",IF(OR(K67="Commercial Proposal",K67="Negotiation",K67="Win",K67="Lost",K67="Cancel",K67="Converted"),"Deal","Lead"))</f>
        <v/>
      </c>
      <c r="P67" s="2"/>
      <c r="R67" s="2"/>
    </row>
    <row r="68" spans="1:18">
      <c r="A68" s="4" t="str">
        <f>IF(B68&lt;&gt;"","L"&amp;COUNTIF($B$2:B68,"&lt;&gt;"),"")</f>
        <v/>
      </c>
      <c r="J68" s="5" t="str">
        <f>IF(K68="","",IF(OR(K68="Commercial Proposal",K68="Negotiation",K68="Win",K68="Lost",K68="Cancel",K68="Converted"),"Deal","Lead"))</f>
        <v/>
      </c>
      <c r="P68" s="2"/>
      <c r="R68" s="2"/>
    </row>
    <row r="69" spans="1:18">
      <c r="A69" s="4" t="str">
        <f>IF(B69&lt;&gt;"","L"&amp;COUNTIF($B$2:B69,"&lt;&gt;"),"")</f>
        <v/>
      </c>
      <c r="J69" s="5" t="str">
        <f>IF(K69="","",IF(OR(K69="Commercial Proposal",K69="Negotiation",K69="Win",K69="Lost",K69="Cancel",K69="Converted"),"Deal","Lead"))</f>
        <v/>
      </c>
      <c r="P69" s="2"/>
      <c r="R69" s="2"/>
    </row>
    <row r="70" spans="1:18">
      <c r="A70" s="4" t="str">
        <f>IF(B70&lt;&gt;"","L"&amp;COUNTIF($B$2:B70,"&lt;&gt;"),"")</f>
        <v/>
      </c>
      <c r="J70" s="5" t="str">
        <f>IF(K70="","",IF(OR(K70="Commercial Proposal",K70="Negotiation",K70="Win",K70="Lost",K70="Cancel",K70="Converted"),"Deal","Lead"))</f>
        <v/>
      </c>
      <c r="P70" s="2"/>
      <c r="R70" s="2"/>
    </row>
    <row r="71" spans="1:18">
      <c r="A71" s="4" t="str">
        <f>IF(B71&lt;&gt;"","L"&amp;COUNTIF($B$2:B71,"&lt;&gt;"),"")</f>
        <v/>
      </c>
      <c r="J71" s="5" t="str">
        <f>IF(K71="","",IF(OR(K71="Commercial Proposal",K71="Negotiation",K71="Win",K71="Lost",K71="Cancel",K71="Converted"),"Deal","Lead"))</f>
        <v/>
      </c>
      <c r="P71" s="2"/>
      <c r="R71" s="2"/>
    </row>
    <row r="72" spans="1:18">
      <c r="A72" s="4" t="str">
        <f>IF(B72&lt;&gt;"","L"&amp;COUNTIF($B$2:B72,"&lt;&gt;"),"")</f>
        <v/>
      </c>
      <c r="J72" s="5" t="str">
        <f>IF(K72="","",IF(OR(K72="Commercial Proposal",K72="Negotiation",K72="Win",K72="Lost",K72="Cancel",K72="Converted"),"Deal","Lead"))</f>
        <v/>
      </c>
      <c r="P72" s="2"/>
      <c r="R72" s="2"/>
    </row>
    <row r="73" spans="1:18">
      <c r="A73" s="4" t="str">
        <f>IF(B73&lt;&gt;"","L"&amp;COUNTIF($B$2:B73,"&lt;&gt;"),"")</f>
        <v/>
      </c>
      <c r="J73" s="5" t="str">
        <f>IF(K73="","",IF(OR(K73="Commercial Proposal",K73="Negotiation",K73="Win",K73="Lost",K73="Cancel",K73="Converted"),"Deal","Lead"))</f>
        <v/>
      </c>
      <c r="P73" s="2"/>
      <c r="R73" s="2"/>
    </row>
    <row r="74" spans="1:18">
      <c r="A74" s="4" t="str">
        <f>IF(B74&lt;&gt;"","L"&amp;COUNTIF($B$2:B74,"&lt;&gt;"),"")</f>
        <v/>
      </c>
      <c r="J74" s="5" t="str">
        <f>IF(K74="","",IF(OR(K74="Commercial Proposal",K74="Negotiation",K74="Win",K74="Lost",K74="Cancel",K74="Converted"),"Deal","Lead"))</f>
        <v/>
      </c>
      <c r="P74" s="2"/>
      <c r="R74" s="2"/>
    </row>
    <row r="75" spans="1:18">
      <c r="A75" s="4" t="str">
        <f>IF(B75&lt;&gt;"","L"&amp;COUNTIF($B$2:B75,"&lt;&gt;"),"")</f>
        <v/>
      </c>
      <c r="J75" s="5" t="str">
        <f>IF(K75="","",IF(OR(K75="Commercial Proposal",K75="Negotiation",K75="Win",K75="Lost",K75="Cancel",K75="Converted"),"Deal","Lead"))</f>
        <v/>
      </c>
      <c r="P75" s="2"/>
      <c r="R75" s="2"/>
    </row>
    <row r="76" spans="1:18">
      <c r="A76" s="4" t="str">
        <f>IF(B76&lt;&gt;"","L"&amp;COUNTIF($B$2:B76,"&lt;&gt;"),"")</f>
        <v/>
      </c>
      <c r="J76" s="5" t="str">
        <f>IF(K76="","",IF(OR(K76="Commercial Proposal",K76="Negotiation",K76="Win",K76="Lost",K76="Cancel",K76="Converted"),"Deal","Lead"))</f>
        <v/>
      </c>
      <c r="P76" s="2"/>
      <c r="R76" s="2"/>
    </row>
    <row r="77" spans="1:18">
      <c r="A77" s="4" t="str">
        <f>IF(B77&lt;&gt;"","L"&amp;COUNTIF($B$2:B77,"&lt;&gt;"),"")</f>
        <v/>
      </c>
      <c r="J77" s="5" t="str">
        <f>IF(K77="","",IF(OR(K77="Commercial Proposal",K77="Negotiation",K77="Win",K77="Lost",K77="Cancel",K77="Converted"),"Deal","Lead"))</f>
        <v/>
      </c>
      <c r="P77" s="2"/>
      <c r="R77" s="2"/>
    </row>
    <row r="78" spans="1:18">
      <c r="A78" s="4" t="str">
        <f>IF(B78&lt;&gt;"","L"&amp;COUNTIF($B$2:B78,"&lt;&gt;"),"")</f>
        <v/>
      </c>
      <c r="J78" s="5" t="str">
        <f>IF(K78="","",IF(OR(K78="Commercial Proposal",K78="Negotiation",K78="Win",K78="Lost",K78="Cancel",K78="Converted"),"Deal","Lead"))</f>
        <v/>
      </c>
      <c r="P78" s="2"/>
      <c r="R78" s="2"/>
    </row>
    <row r="79" spans="1:18">
      <c r="A79" s="4" t="str">
        <f>IF(B79&lt;&gt;"","L"&amp;COUNTIF($B$2:B79,"&lt;&gt;"),"")</f>
        <v/>
      </c>
      <c r="J79" s="5" t="str">
        <f>IF(K79="","",IF(OR(K79="Commercial Proposal",K79="Negotiation",K79="Win",K79="Lost",K79="Cancel",K79="Converted"),"Deal","Lead"))</f>
        <v/>
      </c>
      <c r="P79" s="2"/>
      <c r="R79" s="2"/>
    </row>
    <row r="80" spans="1:18">
      <c r="A80" s="4" t="str">
        <f>IF(B80&lt;&gt;"","L"&amp;COUNTIF($B$2:B80,"&lt;&gt;"),"")</f>
        <v/>
      </c>
      <c r="J80" s="5" t="str">
        <f>IF(K80="","",IF(OR(K80="Commercial Proposal",K80="Negotiation",K80="Win",K80="Lost",K80="Cancel",K80="Converted"),"Deal","Lead"))</f>
        <v/>
      </c>
      <c r="P80" s="2"/>
      <c r="R80" s="2"/>
    </row>
    <row r="81" spans="1:18">
      <c r="A81" s="4" t="str">
        <f>IF(B81&lt;&gt;"","L"&amp;COUNTIF($B$2:B81,"&lt;&gt;"),"")</f>
        <v/>
      </c>
      <c r="J81" s="5" t="str">
        <f>IF(K81="","",IF(OR(K81="Commercial Proposal",K81="Negotiation",K81="Win",K81="Lost",K81="Cancel",K81="Converted"),"Deal","Lead"))</f>
        <v/>
      </c>
      <c r="P81" s="2"/>
      <c r="R81" s="2"/>
    </row>
    <row r="82" spans="1:18">
      <c r="A82" s="4" t="str">
        <f>IF(B82&lt;&gt;"","L"&amp;COUNTIF($B$2:B82,"&lt;&gt;"),"")</f>
        <v/>
      </c>
      <c r="J82" s="5" t="str">
        <f>IF(K82="","",IF(OR(K82="Commercial Proposal",K82="Negotiation",K82="Win",K82="Lost",K82="Cancel",K82="Converted"),"Deal","Lead"))</f>
        <v/>
      </c>
      <c r="P82" s="2"/>
      <c r="R82" s="2"/>
    </row>
    <row r="83" spans="1:18">
      <c r="A83" s="4" t="str">
        <f>IF(B83&lt;&gt;"","L"&amp;COUNTIF($B$2:B83,"&lt;&gt;"),"")</f>
        <v/>
      </c>
      <c r="J83" s="5" t="str">
        <f>IF(K83="","",IF(OR(K83="Commercial Proposal",K83="Negotiation",K83="Win",K83="Lost",K83="Cancel",K83="Converted"),"Deal","Lead"))</f>
        <v/>
      </c>
      <c r="P83" s="2"/>
      <c r="R83" s="2"/>
    </row>
    <row r="84" spans="1:18">
      <c r="A84" s="4" t="str">
        <f>IF(B84&lt;&gt;"","L"&amp;COUNTIF($B$2:B84,"&lt;&gt;"),"")</f>
        <v/>
      </c>
      <c r="J84" s="5" t="str">
        <f>IF(K84="","",IF(OR(K84="Commercial Proposal",K84="Negotiation",K84="Win",K84="Lost",K84="Cancel",K84="Converted"),"Deal","Lead"))</f>
        <v/>
      </c>
      <c r="P84" s="2"/>
      <c r="R84" s="2"/>
    </row>
    <row r="85" spans="1:18">
      <c r="A85" s="4" t="str">
        <f>IF(B85&lt;&gt;"","L"&amp;COUNTIF($B$2:B85,"&lt;&gt;"),"")</f>
        <v/>
      </c>
      <c r="J85" s="5" t="str">
        <f>IF(K85="","",IF(OR(K85="Commercial Proposal",K85="Negotiation",K85="Win",K85="Lost",K85="Cancel",K85="Converted"),"Deal","Lead"))</f>
        <v/>
      </c>
      <c r="P85" s="2"/>
      <c r="R85" s="2"/>
    </row>
    <row r="86" spans="1:18">
      <c r="A86" s="4" t="str">
        <f>IF(B86&lt;&gt;"","L"&amp;COUNTIF($B$2:B86,"&lt;&gt;"),"")</f>
        <v/>
      </c>
      <c r="J86" s="5" t="str">
        <f>IF(K86="","",IF(OR(K86="Commercial Proposal",K86="Negotiation",K86="Win",K86="Lost",K86="Cancel",K86="Converted"),"Deal","Lead"))</f>
        <v/>
      </c>
      <c r="P86" s="2"/>
      <c r="R86" s="2"/>
    </row>
    <row r="87" spans="1:18">
      <c r="A87" s="4" t="str">
        <f>IF(B87&lt;&gt;"","L"&amp;COUNTIF($B$2:B87,"&lt;&gt;"),"")</f>
        <v/>
      </c>
      <c r="J87" s="5" t="str">
        <f>IF(K87="","",IF(OR(K87="Commercial Proposal",K87="Negotiation",K87="Win",K87="Lost",K87="Cancel",K87="Converted"),"Deal","Lead"))</f>
        <v/>
      </c>
      <c r="P87" s="2"/>
      <c r="R87" s="2"/>
    </row>
    <row r="88" spans="1:18">
      <c r="A88" s="4" t="str">
        <f>IF(B88&lt;&gt;"","L"&amp;COUNTIF($B$2:B88,"&lt;&gt;"),"")</f>
        <v/>
      </c>
      <c r="J88" s="5" t="str">
        <f>IF(K88="","",IF(OR(K88="Commercial Proposal",K88="Negotiation",K88="Win",K88="Lost",K88="Cancel",K88="Converted"),"Deal","Lead"))</f>
        <v/>
      </c>
      <c r="P88" s="2"/>
      <c r="R88" s="2"/>
    </row>
    <row r="89" spans="1:18">
      <c r="A89" s="4" t="str">
        <f>IF(B89&lt;&gt;"","L"&amp;COUNTIF($B$2:B89,"&lt;&gt;"),"")</f>
        <v/>
      </c>
      <c r="J89" s="5" t="str">
        <f>IF(K89="","",IF(OR(K89="Commercial Proposal",K89="Negotiation",K89="Win",K89="Lost",K89="Cancel",K89="Converted"),"Deal","Lead"))</f>
        <v/>
      </c>
      <c r="P89" s="2"/>
      <c r="R89" s="2"/>
    </row>
    <row r="90" spans="1:18">
      <c r="A90" s="4" t="str">
        <f>IF(B90&lt;&gt;"","L"&amp;COUNTIF($B$2:B90,"&lt;&gt;"),"")</f>
        <v/>
      </c>
      <c r="J90" s="5" t="str">
        <f>IF(K90="","",IF(OR(K90="Commercial Proposal",K90="Negotiation",K90="Win",K90="Lost",K90="Cancel",K90="Converted"),"Deal","Lead"))</f>
        <v/>
      </c>
      <c r="P90" s="2"/>
      <c r="R90" s="2"/>
    </row>
    <row r="91" spans="1:18">
      <c r="A91" s="4" t="str">
        <f>IF(B91&lt;&gt;"","L"&amp;COUNTIF($B$2:B91,"&lt;&gt;"),"")</f>
        <v/>
      </c>
      <c r="J91" s="5" t="str">
        <f>IF(K91="","",IF(OR(K91="Commercial Proposal",K91="Negotiation",K91="Win",K91="Lost",K91="Cancel",K91="Converted"),"Deal","Lead"))</f>
        <v/>
      </c>
      <c r="P91" s="2"/>
      <c r="R91" s="2"/>
    </row>
    <row r="92" spans="1:18">
      <c r="A92" s="4" t="str">
        <f>IF(B92&lt;&gt;"","L"&amp;COUNTIF($B$2:B92,"&lt;&gt;"),"")</f>
        <v/>
      </c>
      <c r="J92" s="5" t="str">
        <f>IF(K92="","",IF(OR(K92="Commercial Proposal",K92="Negotiation",K92="Win",K92="Lost",K92="Cancel",K92="Converted"),"Deal","Lead"))</f>
        <v/>
      </c>
      <c r="P92" s="2"/>
      <c r="R92" s="2"/>
    </row>
    <row r="93" spans="1:18">
      <c r="A93" s="4" t="str">
        <f>IF(B93&lt;&gt;"","L"&amp;COUNTIF($B$2:B93,"&lt;&gt;"),"")</f>
        <v/>
      </c>
      <c r="J93" s="5" t="str">
        <f>IF(K93="","",IF(OR(K93="Commercial Proposal",K93="Negotiation",K93="Win",K93="Lost",K93="Cancel",K93="Converted"),"Deal","Lead"))</f>
        <v/>
      </c>
      <c r="P93" s="2"/>
      <c r="R93" s="2"/>
    </row>
    <row r="94" spans="1:18">
      <c r="A94" s="4" t="str">
        <f>IF(B94&lt;&gt;"","L"&amp;COUNTIF($B$2:B94,"&lt;&gt;"),"")</f>
        <v/>
      </c>
      <c r="J94" s="5" t="str">
        <f>IF(K94="","",IF(OR(K94="Commercial Proposal",K94="Negotiation",K94="Win",K94="Lost",K94="Cancel",K94="Converted"),"Deal","Lead"))</f>
        <v/>
      </c>
      <c r="P94" s="2"/>
      <c r="R94" s="2"/>
    </row>
    <row r="95" spans="1:18">
      <c r="A95" s="4" t="str">
        <f>IF(B95&lt;&gt;"","L"&amp;COUNTIF($B$2:B95,"&lt;&gt;"),"")</f>
        <v/>
      </c>
      <c r="J95" s="5" t="str">
        <f>IF(K95="","",IF(OR(K95="Commercial Proposal",K95="Negotiation",K95="Win",K95="Lost",K95="Cancel",K95="Converted"),"Deal","Lead"))</f>
        <v/>
      </c>
      <c r="P95" s="2"/>
      <c r="R95" s="2"/>
    </row>
    <row r="96" spans="1:18">
      <c r="A96" s="4" t="str">
        <f>IF(B96&lt;&gt;"","L"&amp;COUNTIF($B$2:B96,"&lt;&gt;"),"")</f>
        <v/>
      </c>
      <c r="J96" s="5" t="str">
        <f>IF(K96="","",IF(OR(K96="Commercial Proposal",K96="Negotiation",K96="Win",K96="Lost",K96="Cancel",K96="Converted"),"Deal","Lead"))</f>
        <v/>
      </c>
      <c r="P96" s="2"/>
      <c r="R96" s="2"/>
    </row>
    <row r="97" spans="1:18">
      <c r="A97" s="4" t="str">
        <f>IF(B97&lt;&gt;"","L"&amp;COUNTIF($B$2:B97,"&lt;&gt;"),"")</f>
        <v/>
      </c>
      <c r="J97" s="5" t="str">
        <f>IF(K97="","",IF(OR(K97="Commercial Proposal",K97="Negotiation",K97="Win",K97="Lost",K97="Cancel",K97="Converted"),"Deal","Lead"))</f>
        <v/>
      </c>
      <c r="P97" s="2"/>
      <c r="R97" s="2"/>
    </row>
    <row r="98" spans="1:18">
      <c r="A98" s="4" t="str">
        <f>IF(B98&lt;&gt;"","L"&amp;COUNTIF($B$2:B98,"&lt;&gt;"),"")</f>
        <v/>
      </c>
      <c r="J98" s="5" t="str">
        <f>IF(K98="","",IF(OR(K98="Commercial Proposal",K98="Negotiation",K98="Win",K98="Lost",K98="Cancel",K98="Converted"),"Deal","Lead"))</f>
        <v/>
      </c>
      <c r="P98" s="2"/>
      <c r="R98" s="2"/>
    </row>
    <row r="99" spans="1:18">
      <c r="A99" s="4" t="str">
        <f>IF(B99&lt;&gt;"","L"&amp;COUNTIF($B$2:B99,"&lt;&gt;"),"")</f>
        <v/>
      </c>
      <c r="J99" s="5" t="str">
        <f>IF(K99="","",IF(OR(K99="Commercial Proposal",K99="Negotiation",K99="Win",K99="Lost",K99="Cancel",K99="Converted"),"Deal","Lead"))</f>
        <v/>
      </c>
      <c r="P99" s="2"/>
      <c r="R99" s="2"/>
    </row>
    <row r="100" spans="1:18">
      <c r="A100" s="4" t="str">
        <f>IF(B100&lt;&gt;"","L"&amp;COUNTIF($B$2:B100,"&lt;&gt;"),"")</f>
        <v/>
      </c>
      <c r="J100" s="5" t="str">
        <f>IF(K100="","",IF(OR(K100="Commercial Proposal",K100="Negotiation",K100="Win",K100="Lost",K100="Cancel",K100="Converted"),"Deal","Lead"))</f>
        <v/>
      </c>
      <c r="P100" s="2"/>
      <c r="R100" s="2"/>
    </row>
    <row r="101" spans="1:18">
      <c r="A101" s="4" t="str">
        <f>IF(B101&lt;&gt;"","L"&amp;COUNTIF($B$2:B101,"&lt;&gt;"),"")</f>
        <v/>
      </c>
      <c r="J101" s="5" t="str">
        <f>IF(K101="","",IF(OR(K101="Commercial Proposal",K101="Negotiation",K101="Win",K101="Lost",K101="Cancel",K101="Converted"),"Deal","Lead"))</f>
        <v/>
      </c>
      <c r="P101" s="2"/>
      <c r="R101" s="2"/>
    </row>
    <row r="102" spans="1:18">
      <c r="A102" s="4" t="str">
        <f>IF(B102&lt;&gt;"","L"&amp;COUNTIF($B$2:B102,"&lt;&gt;"),"")</f>
        <v/>
      </c>
      <c r="J102" s="5" t="str">
        <f>IF(K102="","",IF(OR(K102="Commercial Proposal",K102="Negotiation",K102="Win",K102="Lost",K102="Cancel",K102="Converted"),"Deal","Lead"))</f>
        <v/>
      </c>
      <c r="P102" s="2"/>
      <c r="R102" s="2"/>
    </row>
    <row r="103" spans="1:18">
      <c r="A103" s="4" t="str">
        <f>IF(B103&lt;&gt;"","L"&amp;COUNTIF($B$2:B103,"&lt;&gt;"),"")</f>
        <v/>
      </c>
      <c r="J103" s="5" t="str">
        <f>IF(K103="","",IF(OR(K103="Commercial Proposal",K103="Negotiation",K103="Win",K103="Lost",K103="Cancel",K103="Converted"),"Deal","Lead"))</f>
        <v/>
      </c>
      <c r="P103" s="2"/>
      <c r="R103" s="2"/>
    </row>
    <row r="104" spans="1:18">
      <c r="A104" s="4" t="str">
        <f>IF(B104&lt;&gt;"","L"&amp;COUNTIF($B$2:B104,"&lt;&gt;"),"")</f>
        <v/>
      </c>
      <c r="J104" s="5" t="str">
        <f>IF(K104="","",IF(OR(K104="Commercial Proposal",K104="Negotiation",K104="Win",K104="Lost",K104="Cancel",K104="Converted"),"Deal","Lead"))</f>
        <v/>
      </c>
      <c r="P104" s="2"/>
      <c r="R104" s="2"/>
    </row>
    <row r="105" spans="1:18">
      <c r="A105" s="4" t="str">
        <f>IF(B105&lt;&gt;"","L"&amp;COUNTIF($B$2:B105,"&lt;&gt;"),"")</f>
        <v/>
      </c>
      <c r="J105" s="5" t="str">
        <f>IF(K105="","",IF(OR(K105="Commercial Proposal",K105="Negotiation",K105="Win",K105="Lost",K105="Cancel",K105="Converted"),"Deal","Lead"))</f>
        <v/>
      </c>
      <c r="P105" s="2"/>
      <c r="R105" s="2"/>
    </row>
    <row r="106" spans="1:18">
      <c r="A106" s="4" t="str">
        <f>IF(B106&lt;&gt;"","L"&amp;COUNTIF($B$2:B106,"&lt;&gt;"),"")</f>
        <v/>
      </c>
      <c r="J106" s="5" t="str">
        <f>IF(K106="","",IF(OR(K106="Commercial Proposal",K106="Negotiation",K106="Win",K106="Lost",K106="Cancel",K106="Converted"),"Deal","Lead"))</f>
        <v/>
      </c>
      <c r="P106" s="2"/>
      <c r="R106" s="2"/>
    </row>
    <row r="107" spans="1:18">
      <c r="A107" s="4" t="str">
        <f>IF(B107&lt;&gt;"","L"&amp;COUNTIF($B$2:B107,"&lt;&gt;"),"")</f>
        <v/>
      </c>
      <c r="J107" s="5" t="str">
        <f>IF(K107="","",IF(OR(K107="Commercial Proposal",K107="Negotiation",K107="Win",K107="Lost",K107="Cancel",K107="Converted"),"Deal","Lead"))</f>
        <v/>
      </c>
      <c r="P107" s="2"/>
      <c r="R107" s="2"/>
    </row>
    <row r="108" spans="1:18">
      <c r="A108" s="4" t="str">
        <f>IF(B108&lt;&gt;"","L"&amp;COUNTIF($B$2:B108,"&lt;&gt;"),"")</f>
        <v/>
      </c>
      <c r="J108" s="5" t="str">
        <f>IF(K108="","",IF(OR(K108="Commercial Proposal",K108="Negotiation",K108="Win",K108="Lost",K108="Cancel",K108="Converted"),"Deal","Lead"))</f>
        <v/>
      </c>
      <c r="P108" s="2"/>
      <c r="R108" s="2"/>
    </row>
    <row r="109" spans="1:18">
      <c r="A109" s="4" t="str">
        <f>IF(B109&lt;&gt;"","L"&amp;COUNTIF($B$2:B109,"&lt;&gt;"),"")</f>
        <v/>
      </c>
      <c r="J109" s="5" t="str">
        <f>IF(K109="","",IF(OR(K109="Commercial Proposal",K109="Negotiation",K109="Win",K109="Lost",K109="Cancel",K109="Converted"),"Deal","Lead"))</f>
        <v/>
      </c>
      <c r="P109" s="2"/>
      <c r="R109" s="2"/>
    </row>
    <row r="110" spans="1:18">
      <c r="A110" s="4" t="str">
        <f>IF(B110&lt;&gt;"","L"&amp;COUNTIF($B$2:B110,"&lt;&gt;"),"")</f>
        <v/>
      </c>
      <c r="J110" s="5" t="str">
        <f>IF(K110="","",IF(OR(K110="Commercial Proposal",K110="Negotiation",K110="Win",K110="Lost",K110="Cancel",K110="Converted"),"Deal","Lead"))</f>
        <v/>
      </c>
      <c r="P110" s="2"/>
      <c r="R110" s="2"/>
    </row>
    <row r="111" spans="1:18">
      <c r="A111" s="4" t="str">
        <f>IF(B111&lt;&gt;"","L"&amp;COUNTIF($B$2:B111,"&lt;&gt;"),"")</f>
        <v/>
      </c>
      <c r="J111" s="5" t="str">
        <f>IF(K111="","",IF(OR(K111="Commercial Proposal",K111="Negotiation",K111="Win",K111="Lost",K111="Cancel",K111="Converted"),"Deal","Lead"))</f>
        <v/>
      </c>
      <c r="P111" s="2"/>
      <c r="R111" s="2"/>
    </row>
    <row r="112" spans="1:18">
      <c r="A112" s="4" t="str">
        <f>IF(B112&lt;&gt;"","L"&amp;COUNTIF($B$2:B112,"&lt;&gt;"),"")</f>
        <v/>
      </c>
      <c r="J112" s="5" t="str">
        <f>IF(K112="","",IF(OR(K112="Commercial Proposal",K112="Negotiation",K112="Win",K112="Lost",K112="Cancel",K112="Converted"),"Deal","Lead"))</f>
        <v/>
      </c>
      <c r="P112" s="2"/>
      <c r="R112" s="2"/>
    </row>
    <row r="113" spans="1:18">
      <c r="A113" s="4" t="str">
        <f>IF(B113&lt;&gt;"","L"&amp;COUNTIF($B$2:B113,"&lt;&gt;"),"")</f>
        <v/>
      </c>
      <c r="J113" s="5" t="str">
        <f>IF(K113="","",IF(OR(K113="Commercial Proposal",K113="Negotiation",K113="Win",K113="Lost",K113="Cancel",K113="Converted"),"Deal","Lead"))</f>
        <v/>
      </c>
      <c r="P113" s="2"/>
      <c r="R113" s="2"/>
    </row>
    <row r="114" spans="1:18">
      <c r="A114" s="4" t="str">
        <f>IF(B114&lt;&gt;"","L"&amp;COUNTIF($B$2:B114,"&lt;&gt;"),"")</f>
        <v/>
      </c>
      <c r="J114" s="5" t="str">
        <f>IF(K114="","",IF(OR(K114="Commercial Proposal",K114="Negotiation",K114="Win",K114="Lost",K114="Cancel",K114="Converted"),"Deal","Lead"))</f>
        <v/>
      </c>
      <c r="P114" s="2"/>
      <c r="R114" s="2"/>
    </row>
    <row r="115" spans="1:18">
      <c r="A115" s="4" t="str">
        <f>IF(B115&lt;&gt;"","L"&amp;COUNTIF($B$2:B115,"&lt;&gt;"),"")</f>
        <v/>
      </c>
      <c r="J115" s="5" t="str">
        <f>IF(K115="","",IF(OR(K115="Commercial Proposal",K115="Negotiation",K115="Win",K115="Lost",K115="Cancel",K115="Converted"),"Deal","Lead"))</f>
        <v/>
      </c>
      <c r="P115" s="2"/>
      <c r="R115" s="2"/>
    </row>
    <row r="116" spans="1:18">
      <c r="A116" s="4" t="str">
        <f>IF(B116&lt;&gt;"","L"&amp;COUNTIF($B$2:B116,"&lt;&gt;"),"")</f>
        <v/>
      </c>
      <c r="J116" s="5" t="str">
        <f>IF(K116="","",IF(OR(K116="Commercial Proposal",K116="Negotiation",K116="Win",K116="Lost",K116="Cancel",K116="Converted"),"Deal","Lead"))</f>
        <v/>
      </c>
      <c r="P116" s="2"/>
      <c r="R116" s="2"/>
    </row>
    <row r="117" spans="1:18">
      <c r="A117" s="4" t="str">
        <f>IF(B117&lt;&gt;"","L"&amp;COUNTIF($B$2:B117,"&lt;&gt;"),"")</f>
        <v/>
      </c>
      <c r="J117" s="5" t="str">
        <f>IF(K117="","",IF(OR(K117="Commercial Proposal",K117="Negotiation",K117="Win",K117="Lost",K117="Cancel",K117="Converted"),"Deal","Lead"))</f>
        <v/>
      </c>
      <c r="P117" s="2"/>
      <c r="R117" s="2"/>
    </row>
    <row r="118" spans="1:18">
      <c r="A118" s="4" t="str">
        <f>IF(B118&lt;&gt;"","L"&amp;COUNTIF($B$2:B118,"&lt;&gt;"),"")</f>
        <v/>
      </c>
      <c r="J118" s="5" t="str">
        <f>IF(K118="","",IF(OR(K118="Commercial Proposal",K118="Negotiation",K118="Win",K118="Lost",K118="Cancel",K118="Converted"),"Deal","Lead"))</f>
        <v/>
      </c>
      <c r="P118" s="2"/>
      <c r="R118" s="2"/>
    </row>
    <row r="119" spans="1:18">
      <c r="A119" s="4" t="str">
        <f>IF(B119&lt;&gt;"","L"&amp;COUNTIF($B$2:B119,"&lt;&gt;"),"")</f>
        <v/>
      </c>
      <c r="J119" s="5" t="str">
        <f>IF(K119="","",IF(OR(K119="Commercial Proposal",K119="Negotiation",K119="Win",K119="Lost",K119="Cancel",K119="Converted"),"Deal","Lead"))</f>
        <v/>
      </c>
      <c r="P119" s="2"/>
      <c r="R119" s="2"/>
    </row>
    <row r="120" spans="1:18">
      <c r="A120" s="4" t="str">
        <f>IF(B120&lt;&gt;"","L"&amp;COUNTIF($B$2:B120,"&lt;&gt;"),"")</f>
        <v/>
      </c>
      <c r="J120" s="5" t="str">
        <f>IF(K120="","",IF(OR(K120="Commercial Proposal",K120="Negotiation",K120="Win",K120="Lost",K120="Cancel",K120="Converted"),"Deal","Lead"))</f>
        <v/>
      </c>
      <c r="P120" s="2"/>
      <c r="R120" s="2"/>
    </row>
    <row r="121" spans="1:18">
      <c r="A121" s="4" t="str">
        <f>IF(B121&lt;&gt;"","L"&amp;COUNTIF($B$2:B121,"&lt;&gt;"),"")</f>
        <v/>
      </c>
      <c r="J121" s="5" t="str">
        <f>IF(K121="","",IF(OR(K121="Commercial Proposal",K121="Negotiation",K121="Win",K121="Lost",K121="Cancel",K121="Converted"),"Deal","Lead"))</f>
        <v/>
      </c>
      <c r="P121" s="2"/>
      <c r="R121" s="2"/>
    </row>
    <row r="122" spans="1:18">
      <c r="A122" s="4" t="str">
        <f>IF(B122&lt;&gt;"","L"&amp;COUNTIF($B$2:B122,"&lt;&gt;"),"")</f>
        <v/>
      </c>
      <c r="J122" s="5" t="str">
        <f>IF(K122="","",IF(OR(K122="Commercial Proposal",K122="Negotiation",K122="Win",K122="Lost",K122="Cancel",K122="Converted"),"Deal","Lead"))</f>
        <v/>
      </c>
      <c r="P122" s="2"/>
      <c r="R122" s="2"/>
    </row>
    <row r="123" spans="1:18">
      <c r="A123" s="4" t="str">
        <f>IF(B123&lt;&gt;"","L"&amp;COUNTIF($B$2:B123,"&lt;&gt;"),"")</f>
        <v/>
      </c>
      <c r="J123" s="5" t="str">
        <f>IF(K123="","",IF(OR(K123="Commercial Proposal",K123="Negotiation",K123="Win",K123="Lost",K123="Cancel",K123="Converted"),"Deal","Lead"))</f>
        <v/>
      </c>
      <c r="P123" s="2"/>
      <c r="R123" s="2"/>
    </row>
    <row r="124" spans="1:18">
      <c r="A124" s="4" t="str">
        <f>IF(B124&lt;&gt;"","L"&amp;COUNTIF($B$2:B124,"&lt;&gt;"),"")</f>
        <v/>
      </c>
      <c r="J124" s="5" t="str">
        <f>IF(K124="","",IF(OR(K124="Commercial Proposal",K124="Negotiation",K124="Win",K124="Lost",K124="Cancel",K124="Converted"),"Deal","Lead"))</f>
        <v/>
      </c>
      <c r="P124" s="2"/>
      <c r="R124" s="2"/>
    </row>
    <row r="125" spans="1:18">
      <c r="A125" s="4" t="str">
        <f>IF(B125&lt;&gt;"","L"&amp;COUNTIF($B$2:B125,"&lt;&gt;"),"")</f>
        <v/>
      </c>
      <c r="J125" s="5" t="str">
        <f>IF(K125="","",IF(OR(K125="Commercial Proposal",K125="Negotiation",K125="Win",K125="Lost",K125="Cancel",K125="Converted"),"Deal","Lead"))</f>
        <v/>
      </c>
      <c r="P125" s="2"/>
      <c r="R125" s="2"/>
    </row>
    <row r="126" spans="1:18">
      <c r="A126" s="4" t="str">
        <f>IF(B126&lt;&gt;"","L"&amp;COUNTIF($B$2:B126,"&lt;&gt;"),"")</f>
        <v/>
      </c>
      <c r="J126" s="5" t="str">
        <f>IF(K126="","",IF(OR(K126="Commercial Proposal",K126="Negotiation",K126="Win",K126="Lost",K126="Cancel",K126="Converted"),"Deal","Lead"))</f>
        <v/>
      </c>
      <c r="P126" s="2"/>
      <c r="R126" s="2"/>
    </row>
    <row r="127" spans="1:18">
      <c r="A127" s="4" t="str">
        <f>IF(B127&lt;&gt;"","L"&amp;COUNTIF($B$2:B127,"&lt;&gt;"),"")</f>
        <v/>
      </c>
      <c r="J127" s="5" t="str">
        <f>IF(K127="","",IF(OR(K127="Commercial Proposal",K127="Negotiation",K127="Win",K127="Lost",K127="Cancel",K127="Converted"),"Deal","Lead"))</f>
        <v/>
      </c>
      <c r="P127" s="2"/>
      <c r="R127" s="2"/>
    </row>
    <row r="128" spans="1:18">
      <c r="A128" s="4" t="str">
        <f>IF(B128&lt;&gt;"","L"&amp;COUNTIF($B$2:B128,"&lt;&gt;"),"")</f>
        <v/>
      </c>
      <c r="J128" s="5" t="str">
        <f>IF(K128="","",IF(OR(K128="Commercial Proposal",K128="Negotiation",K128="Win",K128="Lost",K128="Cancel",K128="Converted"),"Deal","Lead"))</f>
        <v/>
      </c>
      <c r="P128" s="2"/>
      <c r="R128" s="2"/>
    </row>
    <row r="129" spans="1:18">
      <c r="A129" s="4" t="str">
        <f>IF(B129&lt;&gt;"","L"&amp;COUNTIF($B$2:B129,"&lt;&gt;"),"")</f>
        <v/>
      </c>
      <c r="J129" s="5" t="str">
        <f>IF(K129="","",IF(OR(K129="Commercial Proposal",K129="Negotiation",K129="Win",K129="Lost",K129="Cancel",K129="Converted"),"Deal","Lead"))</f>
        <v/>
      </c>
      <c r="P129" s="2"/>
      <c r="R129" s="2"/>
    </row>
    <row r="130" spans="1:18">
      <c r="A130" s="4" t="str">
        <f>IF(B130&lt;&gt;"","L"&amp;COUNTIF($B$2:B130,"&lt;&gt;"),"")</f>
        <v/>
      </c>
      <c r="J130" s="5" t="str">
        <f>IF(K130="","",IF(OR(K130="Commercial Proposal",K130="Negotiation",K130="Win",K130="Lost",K130="Cancel",K130="Converted"),"Deal","Lead"))</f>
        <v/>
      </c>
      <c r="P130" s="2"/>
      <c r="R130" s="2"/>
    </row>
    <row r="131" spans="1:18">
      <c r="A131" s="4" t="str">
        <f>IF(B131&lt;&gt;"","L"&amp;COUNTIF($B$2:B131,"&lt;&gt;"),"")</f>
        <v/>
      </c>
      <c r="J131" s="5" t="str">
        <f>IF(K131="","",IF(OR(K131="Commercial Proposal",K131="Negotiation",K131="Win",K131="Lost",K131="Cancel",K131="Converted"),"Deal","Lead"))</f>
        <v/>
      </c>
      <c r="P131" s="2"/>
      <c r="R131" s="2"/>
    </row>
    <row r="132" spans="1:18">
      <c r="A132" s="4" t="str">
        <f>IF(B132&lt;&gt;"","L"&amp;COUNTIF($B$2:B132,"&lt;&gt;"),"")</f>
        <v/>
      </c>
      <c r="J132" s="5" t="str">
        <f>IF(K132="","",IF(OR(K132="Commercial Proposal",K132="Negotiation",K132="Win",K132="Lost",K132="Cancel",K132="Converted"),"Deal","Lead"))</f>
        <v/>
      </c>
      <c r="P132" s="2"/>
      <c r="R132" s="2"/>
    </row>
    <row r="133" spans="1:18">
      <c r="A133" s="4" t="str">
        <f>IF(B133&lt;&gt;"","L"&amp;COUNTIF($B$2:B133,"&lt;&gt;"),"")</f>
        <v/>
      </c>
      <c r="J133" s="5" t="str">
        <f>IF(K133="","",IF(OR(K133="Commercial Proposal",K133="Negotiation",K133="Win",K133="Lost",K133="Cancel",K133="Converted"),"Deal","Lead"))</f>
        <v/>
      </c>
      <c r="P133" s="2"/>
      <c r="R133" s="2"/>
    </row>
    <row r="134" spans="1:18">
      <c r="A134" s="4" t="str">
        <f>IF(B134&lt;&gt;"","L"&amp;COUNTIF($B$2:B134,"&lt;&gt;"),"")</f>
        <v/>
      </c>
      <c r="J134" s="5" t="str">
        <f>IF(K134="","",IF(OR(K134="Commercial Proposal",K134="Negotiation",K134="Win",K134="Lost",K134="Cancel",K134="Converted"),"Deal","Lead"))</f>
        <v/>
      </c>
      <c r="P134" s="2"/>
      <c r="R134" s="2"/>
    </row>
    <row r="135" spans="1:18">
      <c r="A135" s="4" t="str">
        <f>IF(B135&lt;&gt;"","L"&amp;COUNTIF($B$2:B135,"&lt;&gt;"),"")</f>
        <v/>
      </c>
      <c r="J135" s="5" t="str">
        <f>IF(K135="","",IF(OR(K135="Commercial Proposal",K135="Negotiation",K135="Win",K135="Lost",K135="Cancel",K135="Converted"),"Deal","Lead"))</f>
        <v/>
      </c>
      <c r="P135" s="2"/>
      <c r="R135" s="2"/>
    </row>
    <row r="136" spans="1:18">
      <c r="A136" s="4" t="str">
        <f>IF(B136&lt;&gt;"","L"&amp;COUNTIF($B$2:B136,"&lt;&gt;"),"")</f>
        <v/>
      </c>
      <c r="J136" s="5" t="str">
        <f>IF(K136="","",IF(OR(K136="Commercial Proposal",K136="Negotiation",K136="Win",K136="Lost",K136="Cancel",K136="Converted"),"Deal","Lead"))</f>
        <v/>
      </c>
      <c r="P136" s="2"/>
      <c r="R136" s="2"/>
    </row>
    <row r="137" spans="1:18">
      <c r="A137" s="4" t="str">
        <f>IF(B137&lt;&gt;"","L"&amp;COUNTIF($B$2:B137,"&lt;&gt;"),"")</f>
        <v/>
      </c>
      <c r="J137" s="5" t="str">
        <f>IF(K137="","",IF(OR(K137="Commercial Proposal",K137="Negotiation",K137="Win",K137="Lost",K137="Cancel",K137="Converted"),"Deal","Lead"))</f>
        <v/>
      </c>
      <c r="P137" s="2"/>
      <c r="R137" s="2"/>
    </row>
    <row r="138" spans="1:18">
      <c r="A138" s="4" t="str">
        <f>IF(B138&lt;&gt;"","L"&amp;COUNTIF($B$2:B138,"&lt;&gt;"),"")</f>
        <v/>
      </c>
      <c r="J138" s="5" t="str">
        <f>IF(K138="","",IF(OR(K138="Commercial Proposal",K138="Negotiation",K138="Win",K138="Lost",K138="Cancel",K138="Converted"),"Deal","Lead"))</f>
        <v/>
      </c>
      <c r="P138" s="2"/>
      <c r="R138" s="2"/>
    </row>
    <row r="139" spans="1:18">
      <c r="A139" s="4" t="str">
        <f>IF(B139&lt;&gt;"","L"&amp;COUNTIF($B$2:B139,"&lt;&gt;"),"")</f>
        <v/>
      </c>
      <c r="J139" s="5" t="str">
        <f>IF(K139="","",IF(OR(K139="Commercial Proposal",K139="Negotiation",K139="Win",K139="Lost",K139="Cancel",K139="Converted"),"Deal","Lead"))</f>
        <v/>
      </c>
      <c r="P139" s="2"/>
      <c r="R139" s="2"/>
    </row>
    <row r="140" spans="1:18">
      <c r="A140" s="4" t="str">
        <f>IF(B140&lt;&gt;"","L"&amp;COUNTIF($B$2:B140,"&lt;&gt;"),"")</f>
        <v/>
      </c>
      <c r="J140" s="5" t="str">
        <f>IF(K140="","",IF(OR(K140="Commercial Proposal",K140="Negotiation",K140="Win",K140="Lost",K140="Cancel",K140="Converted"),"Deal","Lead"))</f>
        <v/>
      </c>
      <c r="P140" s="2"/>
      <c r="R140" s="2"/>
    </row>
    <row r="141" spans="1:18">
      <c r="A141" s="4" t="str">
        <f>IF(B141&lt;&gt;"","L"&amp;COUNTIF($B$2:B141,"&lt;&gt;"),"")</f>
        <v/>
      </c>
      <c r="J141" s="5" t="str">
        <f>IF(K141="","",IF(OR(K141="Commercial Proposal",K141="Negotiation",K141="Win",K141="Lost",K141="Cancel",K141="Converted"),"Deal","Lead"))</f>
        <v/>
      </c>
      <c r="P141" s="2"/>
      <c r="R141" s="2"/>
    </row>
    <row r="142" spans="1:18">
      <c r="A142" s="4" t="str">
        <f>IF(B142&lt;&gt;"","L"&amp;COUNTIF($B$2:B142,"&lt;&gt;"),"")</f>
        <v/>
      </c>
      <c r="J142" s="5" t="str">
        <f>IF(K142="","",IF(OR(K142="Commercial Proposal",K142="Negotiation",K142="Win",K142="Lost",K142="Cancel",K142="Converted"),"Deal","Lead"))</f>
        <v/>
      </c>
      <c r="P142" s="2"/>
      <c r="R142" s="2"/>
    </row>
    <row r="143" spans="1:18">
      <c r="A143" s="4" t="str">
        <f>IF(B143&lt;&gt;"","L"&amp;COUNTIF($B$2:B143,"&lt;&gt;"),"")</f>
        <v/>
      </c>
      <c r="J143" s="5" t="str">
        <f>IF(K143="","",IF(OR(K143="Commercial Proposal",K143="Negotiation",K143="Win",K143="Lost",K143="Cancel",K143="Converted"),"Deal","Lead"))</f>
        <v/>
      </c>
      <c r="P143" s="2"/>
      <c r="R143" s="2"/>
    </row>
    <row r="144" spans="1:18">
      <c r="A144" s="4" t="str">
        <f>IF(B144&lt;&gt;"","L"&amp;COUNTIF($B$2:B144,"&lt;&gt;"),"")</f>
        <v/>
      </c>
      <c r="J144" s="5" t="str">
        <f>IF(K144="","",IF(OR(K144="Commercial Proposal",K144="Negotiation",K144="Win",K144="Lost",K144="Cancel",K144="Converted"),"Deal","Lead"))</f>
        <v/>
      </c>
      <c r="P144" s="2"/>
      <c r="R144" s="2"/>
    </row>
    <row r="145" spans="1:18">
      <c r="A145" s="4" t="str">
        <f>IF(B145&lt;&gt;"","L"&amp;COUNTIF($B$2:B145,"&lt;&gt;"),"")</f>
        <v/>
      </c>
      <c r="J145" s="5" t="str">
        <f>IF(K145="","",IF(OR(K145="Commercial Proposal",K145="Negotiation",K145="Win",K145="Lost",K145="Cancel",K145="Converted"),"Deal","Lead"))</f>
        <v/>
      </c>
      <c r="P145" s="2"/>
      <c r="R145" s="2"/>
    </row>
    <row r="146" spans="1:18">
      <c r="A146" s="4" t="str">
        <f>IF(B146&lt;&gt;"","L"&amp;COUNTIF($B$2:B146,"&lt;&gt;"),"")</f>
        <v/>
      </c>
      <c r="J146" s="5" t="str">
        <f>IF(K146="","",IF(OR(K146="Commercial Proposal",K146="Negotiation",K146="Win",K146="Lost",K146="Cancel",K146="Converted"),"Deal","Lead"))</f>
        <v/>
      </c>
      <c r="P146" s="2"/>
      <c r="R146" s="2"/>
    </row>
    <row r="147" spans="1:18">
      <c r="A147" s="4" t="str">
        <f>IF(B147&lt;&gt;"","L"&amp;COUNTIF($B$2:B147,"&lt;&gt;"),"")</f>
        <v/>
      </c>
      <c r="J147" s="5" t="str">
        <f>IF(K147="","",IF(OR(K147="Commercial Proposal",K147="Negotiation",K147="Win",K147="Lost",K147="Cancel",K147="Converted"),"Deal","Lead"))</f>
        <v/>
      </c>
      <c r="P147" s="2"/>
      <c r="R147" s="2"/>
    </row>
    <row r="148" spans="1:18">
      <c r="A148" s="4" t="str">
        <f>IF(B148&lt;&gt;"","L"&amp;COUNTIF($B$2:B148,"&lt;&gt;"),"")</f>
        <v/>
      </c>
      <c r="J148" s="5" t="str">
        <f>IF(K148="","",IF(OR(K148="Commercial Proposal",K148="Negotiation",K148="Win",K148="Lost",K148="Cancel",K148="Converted"),"Deal","Lead"))</f>
        <v/>
      </c>
      <c r="P148" s="2"/>
      <c r="R148" s="2"/>
    </row>
    <row r="149" spans="1:18">
      <c r="A149" s="4" t="str">
        <f>IF(B149&lt;&gt;"","L"&amp;COUNTIF($B$2:B149,"&lt;&gt;"),"")</f>
        <v/>
      </c>
      <c r="J149" s="5" t="str">
        <f>IF(K149="","",IF(OR(K149="Commercial Proposal",K149="Negotiation",K149="Win",K149="Lost",K149="Cancel",K149="Converted"),"Deal","Lead"))</f>
        <v/>
      </c>
      <c r="P149" s="2"/>
      <c r="R149" s="2"/>
    </row>
    <row r="150" spans="1:18">
      <c r="A150" s="4" t="str">
        <f>IF(B150&lt;&gt;"","L"&amp;COUNTIF($B$2:B150,"&lt;&gt;"),"")</f>
        <v/>
      </c>
      <c r="J150" s="5" t="str">
        <f>IF(K150="","",IF(OR(K150="Commercial Proposal",K150="Negotiation",K150="Win",K150="Lost",K150="Cancel",K150="Converted"),"Deal","Lead"))</f>
        <v/>
      </c>
      <c r="P150" s="2"/>
      <c r="R150" s="2"/>
    </row>
    <row r="151" spans="1:18">
      <c r="A151" s="4" t="str">
        <f>IF(B151&lt;&gt;"","L"&amp;COUNTIF($B$2:B151,"&lt;&gt;"),"")</f>
        <v/>
      </c>
      <c r="J151" s="5" t="str">
        <f>IF(K151="","",IF(OR(K151="Commercial Proposal",K151="Negotiation",K151="Win",K151="Lost",K151="Cancel",K151="Converted"),"Deal","Lead"))</f>
        <v/>
      </c>
      <c r="P151" s="2"/>
      <c r="R151" s="2"/>
    </row>
    <row r="152" spans="1:18">
      <c r="A152" s="4" t="str">
        <f>IF(B152&lt;&gt;"","L"&amp;COUNTIF($B$2:B152,"&lt;&gt;"),"")</f>
        <v/>
      </c>
      <c r="J152" s="5" t="str">
        <f>IF(K152="","",IF(OR(K152="Commercial Proposal",K152="Negotiation",K152="Win",K152="Lost",K152="Cancel",K152="Converted"),"Deal","Lead"))</f>
        <v/>
      </c>
      <c r="P152" s="2"/>
      <c r="R152" s="2"/>
    </row>
    <row r="153" spans="1:18">
      <c r="A153" s="4" t="str">
        <f>IF(B153&lt;&gt;"","L"&amp;COUNTIF($B$2:B153,"&lt;&gt;"),"")</f>
        <v/>
      </c>
      <c r="J153" s="5" t="str">
        <f>IF(K153="","",IF(OR(K153="Commercial Proposal",K153="Negotiation",K153="Win",K153="Lost",K153="Cancel",K153="Converted"),"Deal","Lead"))</f>
        <v/>
      </c>
      <c r="P153" s="2"/>
      <c r="R153" s="2"/>
    </row>
    <row r="154" spans="1:18">
      <c r="A154" s="4" t="str">
        <f>IF(B154&lt;&gt;"","L"&amp;COUNTIF($B$2:B154,"&lt;&gt;"),"")</f>
        <v/>
      </c>
      <c r="J154" s="5" t="str">
        <f>IF(K154="","",IF(OR(K154="Commercial Proposal",K154="Negotiation",K154="Win",K154="Lost",K154="Cancel",K154="Converted"),"Deal","Lead"))</f>
        <v/>
      </c>
      <c r="P154" s="2"/>
      <c r="R154" s="2"/>
    </row>
    <row r="155" spans="1:18">
      <c r="A155" s="4" t="str">
        <f>IF(B155&lt;&gt;"","L"&amp;COUNTIF($B$2:B155,"&lt;&gt;"),"")</f>
        <v/>
      </c>
      <c r="J155" s="5" t="str">
        <f>IF(K155="","",IF(OR(K155="Commercial Proposal",K155="Negotiation",K155="Win",K155="Lost",K155="Cancel",K155="Converted"),"Deal","Lead"))</f>
        <v/>
      </c>
      <c r="P155" s="2"/>
      <c r="R155" s="2"/>
    </row>
    <row r="156" spans="1:18">
      <c r="A156" s="4" t="str">
        <f>IF(B156&lt;&gt;"","L"&amp;COUNTIF($B$2:B156,"&lt;&gt;"),"")</f>
        <v/>
      </c>
      <c r="J156" s="5" t="str">
        <f>IF(K156="","",IF(OR(K156="Commercial Proposal",K156="Negotiation",K156="Win",K156="Lost",K156="Cancel",K156="Converted"),"Deal","Lead"))</f>
        <v/>
      </c>
      <c r="P156" s="2"/>
      <c r="R156" s="2"/>
    </row>
    <row r="157" spans="1:18">
      <c r="A157" s="4" t="str">
        <f>IF(B157&lt;&gt;"","L"&amp;COUNTIF($B$2:B157,"&lt;&gt;"),"")</f>
        <v/>
      </c>
      <c r="J157" s="5" t="str">
        <f>IF(K157="","",IF(OR(K157="Commercial Proposal",K157="Negotiation",K157="Win",K157="Lost",K157="Cancel",K157="Converted"),"Deal","Lead"))</f>
        <v/>
      </c>
      <c r="P157" s="2"/>
      <c r="R157" s="2"/>
    </row>
    <row r="158" spans="1:18">
      <c r="A158" s="4" t="str">
        <f>IF(B158&lt;&gt;"","L"&amp;COUNTIF($B$2:B158,"&lt;&gt;"),"")</f>
        <v/>
      </c>
      <c r="J158" s="5" t="str">
        <f>IF(K158="","",IF(OR(K158="Commercial Proposal",K158="Negotiation",K158="Win",K158="Lost",K158="Cancel",K158="Converted"),"Deal","Lead"))</f>
        <v/>
      </c>
      <c r="P158" s="2"/>
      <c r="R158" s="2"/>
    </row>
    <row r="159" spans="1:18">
      <c r="A159" s="4" t="str">
        <f>IF(B159&lt;&gt;"","L"&amp;COUNTIF($B$2:B159,"&lt;&gt;"),"")</f>
        <v/>
      </c>
      <c r="J159" s="5" t="str">
        <f>IF(K159="","",IF(OR(K159="Commercial Proposal",K159="Negotiation",K159="Win",K159="Lost",K159="Cancel",K159="Converted"),"Deal","Lead"))</f>
        <v/>
      </c>
      <c r="P159" s="2"/>
      <c r="R159" s="2"/>
    </row>
    <row r="160" spans="1:18">
      <c r="A160" s="4" t="str">
        <f>IF(B160&lt;&gt;"","L"&amp;COUNTIF($B$2:B160,"&lt;&gt;"),"")</f>
        <v/>
      </c>
      <c r="J160" s="5" t="str">
        <f>IF(K160="","",IF(OR(K160="Commercial Proposal",K160="Negotiation",K160="Win",K160="Lost",K160="Cancel",K160="Converted"),"Deal","Lead"))</f>
        <v/>
      </c>
      <c r="P160" s="2"/>
      <c r="R160" s="2"/>
    </row>
    <row r="161" spans="1:18">
      <c r="A161" s="4" t="str">
        <f>IF(B161&lt;&gt;"","L"&amp;COUNTIF($B$2:B161,"&lt;&gt;"),"")</f>
        <v/>
      </c>
      <c r="J161" s="5" t="str">
        <f>IF(K161="","",IF(OR(K161="Commercial Proposal",K161="Negotiation",K161="Win",K161="Lost",K161="Cancel",K161="Converted"),"Deal","Lead"))</f>
        <v/>
      </c>
      <c r="P161" s="2"/>
      <c r="R161" s="2"/>
    </row>
    <row r="162" spans="1:18">
      <c r="A162" s="4" t="str">
        <f>IF(B162&lt;&gt;"","L"&amp;COUNTIF($B$2:B162,"&lt;&gt;"),"")</f>
        <v/>
      </c>
      <c r="J162" s="5" t="str">
        <f>IF(K162="","",IF(OR(K162="Commercial Proposal",K162="Negotiation",K162="Win",K162="Lost",K162="Cancel",K162="Converted"),"Deal","Lead"))</f>
        <v/>
      </c>
      <c r="P162" s="2"/>
      <c r="R162" s="2"/>
    </row>
    <row r="163" spans="1:18">
      <c r="A163" s="4" t="str">
        <f>IF(B163&lt;&gt;"","L"&amp;COUNTIF($B$2:B163,"&lt;&gt;"),"")</f>
        <v/>
      </c>
      <c r="J163" s="5" t="str">
        <f>IF(K163="","",IF(OR(K163="Commercial Proposal",K163="Negotiation",K163="Win",K163="Lost",K163="Cancel",K163="Converted"),"Deal","Lead"))</f>
        <v/>
      </c>
      <c r="P163" s="2"/>
      <c r="R163" s="2"/>
    </row>
    <row r="164" spans="1:18">
      <c r="A164" s="4" t="str">
        <f>IF(B164&lt;&gt;"","L"&amp;COUNTIF($B$2:B164,"&lt;&gt;"),"")</f>
        <v/>
      </c>
      <c r="J164" s="5" t="str">
        <f>IF(K164="","",IF(OR(K164="Commercial Proposal",K164="Negotiation",K164="Win",K164="Lost",K164="Cancel",K164="Converted"),"Deal","Lead"))</f>
        <v/>
      </c>
      <c r="P164" s="2"/>
      <c r="R164" s="2"/>
    </row>
    <row r="165" spans="1:18">
      <c r="A165" s="4" t="str">
        <f>IF(B165&lt;&gt;"","L"&amp;COUNTIF($B$2:B165,"&lt;&gt;"),"")</f>
        <v/>
      </c>
      <c r="J165" s="5" t="str">
        <f>IF(K165="","",IF(OR(K165="Commercial Proposal",K165="Negotiation",K165="Win",K165="Lost",K165="Cancel",K165="Converted"),"Deal","Lead"))</f>
        <v/>
      </c>
      <c r="P165" s="2"/>
      <c r="R165" s="2"/>
    </row>
    <row r="166" spans="1:18">
      <c r="A166" s="4" t="str">
        <f>IF(B166&lt;&gt;"","L"&amp;COUNTIF($B$2:B166,"&lt;&gt;"),"")</f>
        <v/>
      </c>
      <c r="J166" s="5" t="str">
        <f>IF(K166="","",IF(OR(K166="Commercial Proposal",K166="Negotiation",K166="Win",K166="Lost",K166="Cancel",K166="Converted"),"Deal","Lead"))</f>
        <v/>
      </c>
      <c r="P166" s="2"/>
      <c r="R166" s="2"/>
    </row>
    <row r="167" spans="1:18">
      <c r="A167" s="4" t="str">
        <f>IF(B167&lt;&gt;"","L"&amp;COUNTIF($B$2:B167,"&lt;&gt;"),"")</f>
        <v/>
      </c>
      <c r="J167" s="5" t="str">
        <f>IF(K167="","",IF(OR(K167="Commercial Proposal",K167="Negotiation",K167="Win",K167="Lost",K167="Cancel",K167="Converted"),"Deal","Lead"))</f>
        <v/>
      </c>
      <c r="P167" s="2"/>
      <c r="R167" s="2"/>
    </row>
    <row r="168" spans="1:18">
      <c r="A168" s="4" t="str">
        <f>IF(B168&lt;&gt;"","L"&amp;COUNTIF($B$2:B168,"&lt;&gt;"),"")</f>
        <v/>
      </c>
      <c r="J168" s="5" t="str">
        <f>IF(K168="","",IF(OR(K168="Commercial Proposal",K168="Negotiation",K168="Win",K168="Lost",K168="Cancel",K168="Converted"),"Deal","Lead"))</f>
        <v/>
      </c>
      <c r="P168" s="2"/>
      <c r="R168" s="2"/>
    </row>
    <row r="169" spans="1:18">
      <c r="A169" s="4" t="str">
        <f>IF(B169&lt;&gt;"","L"&amp;COUNTIF($B$2:B169,"&lt;&gt;"),"")</f>
        <v/>
      </c>
      <c r="J169" s="5" t="str">
        <f>IF(K169="","",IF(OR(K169="Commercial Proposal",K169="Negotiation",K169="Win",K169="Lost",K169="Cancel",K169="Converted"),"Deal","Lead"))</f>
        <v/>
      </c>
      <c r="P169" s="2"/>
      <c r="R169" s="2"/>
    </row>
    <row r="170" spans="1:18">
      <c r="A170" s="4" t="str">
        <f>IF(B170&lt;&gt;"","L"&amp;COUNTIF($B$2:B170,"&lt;&gt;"),"")</f>
        <v/>
      </c>
      <c r="J170" s="5" t="str">
        <f>IF(K170="","",IF(OR(K170="Commercial Proposal",K170="Negotiation",K170="Win",K170="Lost",K170="Cancel",K170="Converted"),"Deal","Lead"))</f>
        <v/>
      </c>
      <c r="P170" s="2"/>
      <c r="R170" s="2"/>
    </row>
    <row r="171" spans="1:18">
      <c r="A171" s="4" t="str">
        <f>IF(B171&lt;&gt;"","L"&amp;COUNTIF($B$2:B171,"&lt;&gt;"),"")</f>
        <v/>
      </c>
      <c r="J171" s="5" t="str">
        <f>IF(K171="","",IF(OR(K171="Commercial Proposal",K171="Negotiation",K171="Win",K171="Lost",K171="Cancel",K171="Converted"),"Deal","Lead"))</f>
        <v/>
      </c>
      <c r="P171" s="2"/>
      <c r="R171" s="2"/>
    </row>
    <row r="172" spans="1:18">
      <c r="A172" s="4" t="str">
        <f>IF(B172&lt;&gt;"","L"&amp;COUNTIF($B$2:B172,"&lt;&gt;"),"")</f>
        <v/>
      </c>
      <c r="J172" s="5" t="str">
        <f>IF(K172="","",IF(OR(K172="Commercial Proposal",K172="Negotiation",K172="Win",K172="Lost",K172="Cancel",K172="Converted"),"Deal","Lead"))</f>
        <v/>
      </c>
      <c r="P172" s="2"/>
      <c r="R172" s="2"/>
    </row>
    <row r="173" spans="1:18">
      <c r="A173" s="4" t="str">
        <f>IF(B173&lt;&gt;"","L"&amp;COUNTIF($B$2:B173,"&lt;&gt;"),"")</f>
        <v/>
      </c>
      <c r="J173" s="5" t="str">
        <f>IF(K173="","",IF(OR(K173="Commercial Proposal",K173="Negotiation",K173="Win",K173="Lost",K173="Cancel",K173="Converted"),"Deal","Lead"))</f>
        <v/>
      </c>
      <c r="P173" s="2"/>
      <c r="R173" s="2"/>
    </row>
    <row r="174" spans="1:18">
      <c r="A174" s="4" t="str">
        <f>IF(B174&lt;&gt;"","L"&amp;COUNTIF($B$2:B174,"&lt;&gt;"),"")</f>
        <v/>
      </c>
      <c r="J174" s="5" t="str">
        <f>IF(K174="","",IF(OR(K174="Commercial Proposal",K174="Negotiation",K174="Win",K174="Lost",K174="Cancel",K174="Converted"),"Deal","Lead"))</f>
        <v/>
      </c>
      <c r="P174" s="2"/>
      <c r="R174" s="2"/>
    </row>
    <row r="175" spans="1:18">
      <c r="A175" s="4" t="str">
        <f>IF(B175&lt;&gt;"","L"&amp;COUNTIF($B$2:B175,"&lt;&gt;"),"")</f>
        <v/>
      </c>
      <c r="J175" s="5" t="str">
        <f>IF(K175="","",IF(OR(K175="Commercial Proposal",K175="Negotiation",K175="Win",K175="Lost",K175="Cancel",K175="Converted"),"Deal","Lead"))</f>
        <v/>
      </c>
      <c r="P175" s="2"/>
      <c r="R175" s="2"/>
    </row>
    <row r="176" spans="1:18">
      <c r="A176" s="4" t="str">
        <f>IF(B176&lt;&gt;"","L"&amp;COUNTIF($B$2:B176,"&lt;&gt;"),"")</f>
        <v/>
      </c>
      <c r="J176" s="5" t="str">
        <f>IF(K176="","",IF(OR(K176="Commercial Proposal",K176="Negotiation",K176="Win",K176="Lost",K176="Cancel",K176="Converted"),"Deal","Lead"))</f>
        <v/>
      </c>
      <c r="P176" s="2"/>
      <c r="R176" s="2"/>
    </row>
    <row r="177" spans="1:18">
      <c r="A177" s="4" t="str">
        <f>IF(B177&lt;&gt;"","L"&amp;COUNTIF($B$2:B177,"&lt;&gt;"),"")</f>
        <v/>
      </c>
      <c r="J177" s="5" t="str">
        <f>IF(K177="","",IF(OR(K177="Commercial Proposal",K177="Negotiation",K177="Win",K177="Lost",K177="Cancel",K177="Converted"),"Deal","Lead"))</f>
        <v/>
      </c>
      <c r="P177" s="2"/>
      <c r="R177" s="2"/>
    </row>
    <row r="178" spans="1:18">
      <c r="A178" s="4" t="str">
        <f>IF(B178&lt;&gt;"","L"&amp;COUNTIF($B$2:B178,"&lt;&gt;"),"")</f>
        <v/>
      </c>
      <c r="J178" s="5" t="str">
        <f>IF(K178="","",IF(OR(K178="Commercial Proposal",K178="Negotiation",K178="Win",K178="Lost",K178="Cancel",K178="Converted"),"Deal","Lead"))</f>
        <v/>
      </c>
      <c r="P178" s="2"/>
      <c r="R178" s="2"/>
    </row>
    <row r="179" spans="1:18">
      <c r="A179" s="4" t="str">
        <f>IF(B179&lt;&gt;"","L"&amp;COUNTIF($B$2:B179,"&lt;&gt;"),"")</f>
        <v/>
      </c>
      <c r="J179" s="5" t="str">
        <f>IF(K179="","",IF(OR(K179="Commercial Proposal",K179="Negotiation",K179="Win",K179="Lost",K179="Cancel",K179="Converted"),"Deal","Lead"))</f>
        <v/>
      </c>
      <c r="P179" s="2"/>
      <c r="R179" s="2"/>
    </row>
    <row r="180" spans="1:18">
      <c r="A180" s="4" t="str">
        <f>IF(B180&lt;&gt;"","L"&amp;COUNTIF($B$2:B180,"&lt;&gt;"),"")</f>
        <v/>
      </c>
      <c r="J180" s="5" t="str">
        <f>IF(K180="","",IF(OR(K180="Commercial Proposal",K180="Negotiation",K180="Win",K180="Lost",K180="Cancel",K180="Converted"),"Deal","Lead"))</f>
        <v/>
      </c>
      <c r="P180" s="2"/>
      <c r="R180" s="2"/>
    </row>
    <row r="181" spans="1:18">
      <c r="A181" s="4" t="str">
        <f>IF(B181&lt;&gt;"","L"&amp;COUNTIF($B$2:B181,"&lt;&gt;"),"")</f>
        <v/>
      </c>
      <c r="J181" s="5" t="str">
        <f>IF(K181="","",IF(OR(K181="Commercial Proposal",K181="Negotiation",K181="Win",K181="Lost",K181="Cancel",K181="Converted"),"Deal","Lead"))</f>
        <v/>
      </c>
      <c r="P181" s="2"/>
      <c r="R181" s="2"/>
    </row>
    <row r="182" spans="1:18">
      <c r="A182" s="4" t="str">
        <f>IF(B182&lt;&gt;"","L"&amp;COUNTIF($B$2:B182,"&lt;&gt;"),"")</f>
        <v/>
      </c>
      <c r="J182" s="5" t="str">
        <f>IF(K182="","",IF(OR(K182="Commercial Proposal",K182="Negotiation",K182="Win",K182="Lost",K182="Cancel",K182="Converted"),"Deal","Lead"))</f>
        <v/>
      </c>
      <c r="P182" s="2"/>
      <c r="R182" s="2"/>
    </row>
    <row r="183" spans="1:18">
      <c r="A183" s="4" t="str">
        <f>IF(B183&lt;&gt;"","L"&amp;COUNTIF($B$2:B183,"&lt;&gt;"),"")</f>
        <v/>
      </c>
      <c r="J183" s="5" t="str">
        <f>IF(K183="","",IF(OR(K183="Commercial Proposal",K183="Negotiation",K183="Win",K183="Lost",K183="Cancel",K183="Converted"),"Deal","Lead"))</f>
        <v/>
      </c>
      <c r="P183" s="2"/>
      <c r="R183" s="2"/>
    </row>
    <row r="184" spans="1:18">
      <c r="A184" s="4" t="str">
        <f>IF(B184&lt;&gt;"","L"&amp;COUNTIF($B$2:B184,"&lt;&gt;"),"")</f>
        <v/>
      </c>
      <c r="J184" s="5" t="str">
        <f>IF(K184="","",IF(OR(K184="Commercial Proposal",K184="Negotiation",K184="Win",K184="Lost",K184="Cancel",K184="Converted"),"Deal","Lead"))</f>
        <v/>
      </c>
      <c r="P184" s="2"/>
      <c r="R184" s="2"/>
    </row>
    <row r="185" spans="1:18">
      <c r="A185" s="4" t="str">
        <f>IF(B185&lt;&gt;"","L"&amp;COUNTIF($B$2:B185,"&lt;&gt;"),"")</f>
        <v/>
      </c>
      <c r="J185" s="5" t="str">
        <f>IF(K185="","",IF(OR(K185="Commercial Proposal",K185="Negotiation",K185="Win",K185="Lost",K185="Cancel",K185="Converted"),"Deal","Lead"))</f>
        <v/>
      </c>
      <c r="P185" s="2"/>
      <c r="R185" s="2"/>
    </row>
    <row r="186" spans="1:18">
      <c r="A186" s="4" t="str">
        <f>IF(B186&lt;&gt;"","L"&amp;COUNTIF($B$2:B186,"&lt;&gt;"),"")</f>
        <v/>
      </c>
      <c r="J186" s="5" t="str">
        <f>IF(K186="","",IF(OR(K186="Commercial Proposal",K186="Negotiation",K186="Win",K186="Lost",K186="Cancel",K186="Converted"),"Deal","Lead"))</f>
        <v/>
      </c>
      <c r="P186" s="2"/>
      <c r="R186" s="2"/>
    </row>
    <row r="187" spans="1:18">
      <c r="A187" s="4" t="str">
        <f>IF(B187&lt;&gt;"","L"&amp;COUNTIF($B$2:B187,"&lt;&gt;"),"")</f>
        <v/>
      </c>
      <c r="J187" s="5" t="str">
        <f>IF(K187="","",IF(OR(K187="Commercial Proposal",K187="Negotiation",K187="Win",K187="Lost",K187="Cancel",K187="Converted"),"Deal","Lead"))</f>
        <v/>
      </c>
      <c r="P187" s="2"/>
      <c r="R187" s="2"/>
    </row>
    <row r="188" spans="1:18">
      <c r="A188" s="4" t="str">
        <f>IF(B188&lt;&gt;"","L"&amp;COUNTIF($B$2:B188,"&lt;&gt;"),"")</f>
        <v/>
      </c>
      <c r="J188" s="5" t="str">
        <f>IF(K188="","",IF(OR(K188="Commercial Proposal",K188="Negotiation",K188="Win",K188="Lost",K188="Cancel",K188="Converted"),"Deal","Lead"))</f>
        <v/>
      </c>
      <c r="P188" s="2"/>
      <c r="R188" s="2"/>
    </row>
    <row r="189" spans="1:18">
      <c r="A189" s="4" t="str">
        <f>IF(B189&lt;&gt;"","L"&amp;COUNTIF($B$2:B189,"&lt;&gt;"),"")</f>
        <v/>
      </c>
      <c r="J189" s="5" t="str">
        <f>IF(K189="","",IF(OR(K189="Commercial Proposal",K189="Negotiation",K189="Win",K189="Lost",K189="Cancel",K189="Converted"),"Deal","Lead"))</f>
        <v/>
      </c>
      <c r="P189" s="2"/>
      <c r="R189" s="2"/>
    </row>
    <row r="190" spans="1:18">
      <c r="A190" s="4" t="str">
        <f>IF(B190&lt;&gt;"","L"&amp;COUNTIF($B$2:B190,"&lt;&gt;"),"")</f>
        <v/>
      </c>
      <c r="J190" s="5" t="str">
        <f>IF(K190="","",IF(OR(K190="Commercial Proposal",K190="Negotiation",K190="Win",K190="Lost",K190="Cancel",K190="Converted"),"Deal","Lead"))</f>
        <v/>
      </c>
      <c r="P190" s="2"/>
      <c r="R190" s="2"/>
    </row>
    <row r="191" spans="1:18">
      <c r="A191" s="4" t="str">
        <f>IF(B191&lt;&gt;"","L"&amp;COUNTIF($B$2:B191,"&lt;&gt;"),"")</f>
        <v/>
      </c>
      <c r="J191" s="5" t="str">
        <f>IF(K191="","",IF(OR(K191="Commercial Proposal",K191="Negotiation",K191="Win",K191="Lost",K191="Cancel",K191="Converted"),"Deal","Lead"))</f>
        <v/>
      </c>
      <c r="P191" s="2"/>
      <c r="R191" s="2"/>
    </row>
    <row r="192" spans="1:18">
      <c r="A192" s="4" t="str">
        <f>IF(B192&lt;&gt;"","L"&amp;COUNTIF($B$2:B192,"&lt;&gt;"),"")</f>
        <v/>
      </c>
      <c r="J192" s="5" t="str">
        <f>IF(K192="","",IF(OR(K192="Commercial Proposal",K192="Negotiation",K192="Win",K192="Lost",K192="Cancel",K192="Converted"),"Deal","Lead"))</f>
        <v/>
      </c>
      <c r="P192" s="2"/>
      <c r="R192" s="2"/>
    </row>
    <row r="193" spans="1:18">
      <c r="A193" s="4" t="str">
        <f>IF(B193&lt;&gt;"","L"&amp;COUNTIF($B$2:B193,"&lt;&gt;"),"")</f>
        <v/>
      </c>
      <c r="J193" s="5" t="str">
        <f>IF(K193="","",IF(OR(K193="Commercial Proposal",K193="Negotiation",K193="Win",K193="Lost",K193="Cancel",K193="Converted"),"Deal","Lead"))</f>
        <v/>
      </c>
      <c r="P193" s="2"/>
      <c r="R193" s="2"/>
    </row>
    <row r="194" spans="1:18">
      <c r="A194" s="4" t="str">
        <f>IF(B194&lt;&gt;"","L"&amp;COUNTIF($B$2:B194,"&lt;&gt;"),"")</f>
        <v/>
      </c>
      <c r="J194" s="5" t="str">
        <f>IF(K194="","",IF(OR(K194="Commercial Proposal",K194="Negotiation",K194="Win",K194="Lost",K194="Cancel",K194="Converted"),"Deal","Lead"))</f>
        <v/>
      </c>
      <c r="P194" s="2"/>
      <c r="R194" s="2"/>
    </row>
    <row r="195" spans="1:18">
      <c r="A195" s="4" t="str">
        <f>IF(B195&lt;&gt;"","L"&amp;COUNTIF($B$2:B195,"&lt;&gt;"),"")</f>
        <v/>
      </c>
      <c r="J195" s="5" t="str">
        <f>IF(K195="","",IF(OR(K195="Commercial Proposal",K195="Negotiation",K195="Win",K195="Lost",K195="Cancel",K195="Converted"),"Deal","Lead"))</f>
        <v/>
      </c>
      <c r="P195" s="2"/>
      <c r="R195" s="2"/>
    </row>
    <row r="196" spans="1:18">
      <c r="A196" s="4" t="str">
        <f>IF(B196&lt;&gt;"","L"&amp;COUNTIF($B$2:B196,"&lt;&gt;"),"")</f>
        <v/>
      </c>
      <c r="J196" s="5" t="str">
        <f>IF(K196="","",IF(OR(K196="Commercial Proposal",K196="Negotiation",K196="Win",K196="Lost",K196="Cancel",K196="Converted"),"Deal","Lead"))</f>
        <v/>
      </c>
      <c r="P196" s="2"/>
      <c r="R196" s="2"/>
    </row>
    <row r="197" spans="1:18">
      <c r="A197" s="4" t="str">
        <f>IF(B197&lt;&gt;"","L"&amp;COUNTIF($B$2:B197,"&lt;&gt;"),"")</f>
        <v/>
      </c>
      <c r="J197" s="5" t="str">
        <f>IF(K197="","",IF(OR(K197="Commercial Proposal",K197="Negotiation",K197="Win",K197="Lost",K197="Cancel",K197="Converted"),"Deal","Lead"))</f>
        <v/>
      </c>
      <c r="P197" s="2"/>
      <c r="R197" s="2"/>
    </row>
    <row r="198" spans="1:18">
      <c r="A198" s="4" t="str">
        <f>IF(B198&lt;&gt;"","L"&amp;COUNTIF($B$2:B198,"&lt;&gt;"),"")</f>
        <v/>
      </c>
      <c r="J198" s="5" t="str">
        <f>IF(K198="","",IF(OR(K198="Commercial Proposal",K198="Negotiation",K198="Win",K198="Lost",K198="Cancel",K198="Converted"),"Deal","Lead"))</f>
        <v/>
      </c>
      <c r="P198" s="2"/>
      <c r="R198" s="2"/>
    </row>
    <row r="199" spans="1:18">
      <c r="A199" s="4" t="str">
        <f>IF(B199&lt;&gt;"","L"&amp;COUNTIF($B$2:B199,"&lt;&gt;"),"")</f>
        <v/>
      </c>
      <c r="J199" s="5" t="str">
        <f>IF(K199="","",IF(OR(K199="Commercial Proposal",K199="Negotiation",K199="Win",K199="Lost",K199="Cancel",K199="Converted"),"Deal","Lead"))</f>
        <v/>
      </c>
      <c r="P199" s="2"/>
      <c r="R199" s="2"/>
    </row>
    <row r="200" spans="1:18">
      <c r="A200" s="4" t="str">
        <f>IF(B200&lt;&gt;"","L"&amp;COUNTIF($B$2:B200,"&lt;&gt;"),"")</f>
        <v/>
      </c>
      <c r="J200" s="5" t="str">
        <f>IF(K200="","",IF(OR(K200="Commercial Proposal",K200="Negotiation",K200="Win",K200="Lost",K200="Cancel",K200="Converted"),"Deal","Lead"))</f>
        <v/>
      </c>
      <c r="P200" s="2"/>
      <c r="R200" s="2"/>
    </row>
    <row r="201" spans="1:18">
      <c r="A201" s="4" t="str">
        <f>IF(B201&lt;&gt;"","L"&amp;COUNTIF($B$2:B201,"&lt;&gt;"),"")</f>
        <v/>
      </c>
      <c r="J201" s="5" t="str">
        <f>IF(K201="","",IF(OR(K201="Commercial Proposal",K201="Negotiation",K201="Win",K201="Lost",K201="Cancel",K201="Converted"),"Deal","Lead"))</f>
        <v/>
      </c>
      <c r="P201" s="2"/>
      <c r="R201" s="2"/>
    </row>
    <row r="202" spans="1:18">
      <c r="A202" s="4" t="str">
        <f>IF(B202&lt;&gt;"","L"&amp;COUNTIF($B$2:B202,"&lt;&gt;"),"")</f>
        <v/>
      </c>
      <c r="J202" s="5" t="str">
        <f>IF(K202="","",IF(OR(K202="Commercial Proposal",K202="Negotiation",K202="Win",K202="Lost",K202="Cancel",K202="Converted"),"Deal","Lead"))</f>
        <v/>
      </c>
      <c r="P202" s="2"/>
      <c r="R202" s="2"/>
    </row>
    <row r="203" spans="1:18">
      <c r="A203" s="4" t="str">
        <f>IF(B203&lt;&gt;"","L"&amp;COUNTIF($B$2:B203,"&lt;&gt;"),"")</f>
        <v/>
      </c>
      <c r="J203" s="5" t="str">
        <f>IF(K203="","",IF(OR(K203="Commercial Proposal",K203="Negotiation",K203="Win",K203="Lost",K203="Cancel",K203="Converted"),"Deal","Lead"))</f>
        <v/>
      </c>
      <c r="P203" s="2"/>
      <c r="R203" s="2"/>
    </row>
    <row r="204" spans="1:18">
      <c r="A204" s="4" t="str">
        <f>IF(B204&lt;&gt;"","L"&amp;COUNTIF($B$2:B204,"&lt;&gt;"),"")</f>
        <v/>
      </c>
      <c r="J204" s="5" t="str">
        <f>IF(K204="","",IF(OR(K204="Commercial Proposal",K204="Negotiation",K204="Win",K204="Lost",K204="Cancel",K204="Converted"),"Deal","Lead"))</f>
        <v/>
      </c>
      <c r="P204" s="2"/>
      <c r="R204" s="2"/>
    </row>
    <row r="205" spans="1:18">
      <c r="A205" s="4" t="str">
        <f>IF(B205&lt;&gt;"","L"&amp;COUNTIF($B$2:B205,"&lt;&gt;"),"")</f>
        <v/>
      </c>
      <c r="J205" s="5" t="str">
        <f>IF(K205="","",IF(OR(K205="Commercial Proposal",K205="Negotiation",K205="Win",K205="Lost",K205="Cancel",K205="Converted"),"Deal","Lead"))</f>
        <v/>
      </c>
      <c r="P205" s="2"/>
      <c r="R205" s="2"/>
    </row>
    <row r="206" spans="1:18">
      <c r="A206" s="4" t="str">
        <f>IF(B206&lt;&gt;"","L"&amp;COUNTIF($B$2:B206,"&lt;&gt;"),"")</f>
        <v/>
      </c>
      <c r="J206" s="5" t="str">
        <f>IF(K206="","",IF(OR(K206="Commercial Proposal",K206="Negotiation",K206="Win",K206="Lost",K206="Cancel",K206="Converted"),"Deal","Lead"))</f>
        <v/>
      </c>
      <c r="P206" s="2"/>
      <c r="R206" s="2"/>
    </row>
    <row r="207" spans="1:18">
      <c r="A207" s="4" t="str">
        <f>IF(B207&lt;&gt;"","L"&amp;COUNTIF($B$2:B207,"&lt;&gt;"),"")</f>
        <v/>
      </c>
      <c r="J207" s="5" t="str">
        <f>IF(K207="","",IF(OR(K207="Commercial Proposal",K207="Negotiation",K207="Win",K207="Lost",K207="Cancel",K207="Converted"),"Deal","Lead"))</f>
        <v/>
      </c>
      <c r="P207" s="2"/>
      <c r="R207" s="2"/>
    </row>
    <row r="208" spans="1:18">
      <c r="A208" s="4" t="str">
        <f>IF(B208&lt;&gt;"","L"&amp;COUNTIF($B$2:B208,"&lt;&gt;"),"")</f>
        <v/>
      </c>
      <c r="J208" s="5" t="str">
        <f>IF(K208="","",IF(OR(K208="Commercial Proposal",K208="Negotiation",K208="Win",K208="Lost",K208="Cancel",K208="Converted"),"Deal","Lead"))</f>
        <v/>
      </c>
      <c r="P208" s="2"/>
      <c r="R208" s="2"/>
    </row>
    <row r="209" spans="1:18">
      <c r="A209" s="4" t="str">
        <f>IF(B209&lt;&gt;"","L"&amp;COUNTIF($B$2:B209,"&lt;&gt;"),"")</f>
        <v/>
      </c>
      <c r="J209" s="5" t="str">
        <f>IF(K209="","",IF(OR(K209="Commercial Proposal",K209="Negotiation",K209="Win",K209="Lost",K209="Cancel",K209="Converted"),"Deal","Lead"))</f>
        <v/>
      </c>
      <c r="P209" s="2"/>
      <c r="R209" s="2"/>
    </row>
    <row r="210" spans="1:18">
      <c r="A210" s="4" t="str">
        <f>IF(B210&lt;&gt;"","L"&amp;COUNTIF($B$2:B210,"&lt;&gt;"),"")</f>
        <v/>
      </c>
      <c r="J210" s="5" t="str">
        <f>IF(K210="","",IF(OR(K210="Commercial Proposal",K210="Negotiation",K210="Win",K210="Lost",K210="Cancel",K210="Converted"),"Deal","Lead"))</f>
        <v/>
      </c>
      <c r="P210" s="2"/>
      <c r="R210" s="2"/>
    </row>
    <row r="211" spans="1:18">
      <c r="A211" s="4" t="str">
        <f>IF(B211&lt;&gt;"","L"&amp;COUNTIF($B$2:B211,"&lt;&gt;"),"")</f>
        <v/>
      </c>
      <c r="J211" s="5" t="str">
        <f>IF(K211="","",IF(OR(K211="Commercial Proposal",K211="Negotiation",K211="Win",K211="Lost",K211="Cancel",K211="Converted"),"Deal","Lead"))</f>
        <v/>
      </c>
      <c r="P211" s="2"/>
      <c r="R211" s="2"/>
    </row>
    <row r="212" spans="1:18">
      <c r="A212" s="4" t="str">
        <f>IF(B212&lt;&gt;"","L"&amp;COUNTIF($B$2:B212,"&lt;&gt;"),"")</f>
        <v/>
      </c>
      <c r="J212" s="5" t="str">
        <f>IF(K212="","",IF(OR(K212="Commercial Proposal",K212="Negotiation",K212="Win",K212="Lost",K212="Cancel",K212="Converted"),"Deal","Lead"))</f>
        <v/>
      </c>
      <c r="P212" s="2"/>
      <c r="R212" s="2"/>
    </row>
    <row r="213" spans="1:18">
      <c r="A213" s="4" t="str">
        <f>IF(B213&lt;&gt;"","L"&amp;COUNTIF($B$2:B213,"&lt;&gt;"),"")</f>
        <v/>
      </c>
      <c r="J213" s="5" t="str">
        <f>IF(K213="","",IF(OR(K213="Commercial Proposal",K213="Negotiation",K213="Win",K213="Lost",K213="Cancel",K213="Converted"),"Deal","Lead"))</f>
        <v/>
      </c>
      <c r="P213" s="2"/>
      <c r="R213" s="2"/>
    </row>
    <row r="214" spans="1:18">
      <c r="A214" s="4" t="str">
        <f>IF(B214&lt;&gt;"","L"&amp;COUNTIF($B$2:B214,"&lt;&gt;"),"")</f>
        <v/>
      </c>
      <c r="J214" s="5" t="str">
        <f>IF(K214="","",IF(OR(K214="Commercial Proposal",K214="Negotiation",K214="Win",K214="Lost",K214="Cancel",K214="Converted"),"Deal","Lead"))</f>
        <v/>
      </c>
      <c r="P214" s="2"/>
      <c r="R214" s="2"/>
    </row>
    <row r="215" spans="1:18">
      <c r="A215" s="4" t="str">
        <f>IF(B215&lt;&gt;"","L"&amp;COUNTIF($B$2:B215,"&lt;&gt;"),"")</f>
        <v/>
      </c>
      <c r="J215" s="5" t="str">
        <f>IF(K215="","",IF(OR(K215="Commercial Proposal",K215="Negotiation",K215="Win",K215="Lost",K215="Cancel",K215="Converted"),"Deal","Lead"))</f>
        <v/>
      </c>
      <c r="P215" s="2"/>
      <c r="R215" s="2"/>
    </row>
    <row r="216" spans="1:18">
      <c r="A216" s="4" t="str">
        <f>IF(B216&lt;&gt;"","L"&amp;COUNTIF($B$2:B216,"&lt;&gt;"),"")</f>
        <v/>
      </c>
      <c r="J216" s="5" t="str">
        <f>IF(K216="","",IF(OR(K216="Commercial Proposal",K216="Negotiation",K216="Win",K216="Lost",K216="Cancel",K216="Converted"),"Deal","Lead"))</f>
        <v/>
      </c>
      <c r="P216" s="2"/>
      <c r="R216" s="2"/>
    </row>
    <row r="217" spans="1:18">
      <c r="A217" s="4" t="str">
        <f>IF(B217&lt;&gt;"","L"&amp;COUNTIF($B$2:B217,"&lt;&gt;"),"")</f>
        <v/>
      </c>
      <c r="J217" s="5" t="str">
        <f>IF(K217="","",IF(OR(K217="Commercial Proposal",K217="Negotiation",K217="Win",K217="Lost",K217="Cancel",K217="Converted"),"Deal","Lead"))</f>
        <v/>
      </c>
      <c r="P217" s="2"/>
      <c r="R217" s="2"/>
    </row>
    <row r="218" spans="1:18">
      <c r="A218" s="4" t="str">
        <f>IF(B218&lt;&gt;"","L"&amp;COUNTIF($B$2:B218,"&lt;&gt;"),"")</f>
        <v/>
      </c>
      <c r="J218" s="5" t="str">
        <f>IF(K218="","",IF(OR(K218="Commercial Proposal",K218="Negotiation",K218="Win",K218="Lost",K218="Cancel",K218="Converted"),"Deal","Lead"))</f>
        <v/>
      </c>
      <c r="P218" s="2"/>
      <c r="R218" s="2"/>
    </row>
    <row r="219" spans="1:18">
      <c r="A219" s="4" t="str">
        <f>IF(B219&lt;&gt;"","L"&amp;COUNTIF($B$2:B219,"&lt;&gt;"),"")</f>
        <v/>
      </c>
      <c r="J219" s="5" t="str">
        <f>IF(K219="","",IF(OR(K219="Commercial Proposal",K219="Negotiation",K219="Win",K219="Lost",K219="Cancel",K219="Converted"),"Deal","Lead"))</f>
        <v/>
      </c>
      <c r="P219" s="2"/>
      <c r="R219" s="2"/>
    </row>
    <row r="220" spans="1:18">
      <c r="A220" s="4" t="str">
        <f>IF(B220&lt;&gt;"","L"&amp;COUNTIF($B$2:B220,"&lt;&gt;"),"")</f>
        <v/>
      </c>
      <c r="J220" s="5" t="str">
        <f>IF(K220="","",IF(OR(K220="Commercial Proposal",K220="Negotiation",K220="Win",K220="Lost",K220="Cancel",K220="Converted"),"Deal","Lead"))</f>
        <v/>
      </c>
      <c r="P220" s="2"/>
      <c r="R220" s="2"/>
    </row>
    <row r="221" spans="1:18">
      <c r="A221" s="4" t="str">
        <f>IF(B221&lt;&gt;"","L"&amp;COUNTIF($B$2:B221,"&lt;&gt;"),"")</f>
        <v/>
      </c>
      <c r="J221" s="5" t="str">
        <f>IF(K221="","",IF(OR(K221="Commercial Proposal",K221="Negotiation",K221="Win",K221="Lost",K221="Cancel",K221="Converted"),"Deal","Lead"))</f>
        <v/>
      </c>
      <c r="P221" s="2"/>
      <c r="R221" s="2"/>
    </row>
    <row r="222" spans="1:18">
      <c r="A222" s="4" t="str">
        <f>IF(B222&lt;&gt;"","L"&amp;COUNTIF($B$2:B222,"&lt;&gt;"),"")</f>
        <v/>
      </c>
      <c r="J222" s="5" t="str">
        <f>IF(K222="","",IF(OR(K222="Commercial Proposal",K222="Negotiation",K222="Win",K222="Lost",K222="Cancel",K222="Converted"),"Deal","Lead"))</f>
        <v/>
      </c>
      <c r="P222" s="2"/>
      <c r="R222" s="2"/>
    </row>
    <row r="223" spans="1:18">
      <c r="A223" s="4" t="str">
        <f>IF(B223&lt;&gt;"","L"&amp;COUNTIF($B$2:B223,"&lt;&gt;"),"")</f>
        <v/>
      </c>
      <c r="J223" s="5" t="str">
        <f>IF(K223="","",IF(OR(K223="Commercial Proposal",K223="Negotiation",K223="Win",K223="Lost",K223="Cancel",K223="Converted"),"Deal","Lead"))</f>
        <v/>
      </c>
      <c r="P223" s="2"/>
      <c r="R223" s="2"/>
    </row>
    <row r="224" spans="1:18">
      <c r="A224" s="4" t="str">
        <f>IF(B224&lt;&gt;"","L"&amp;COUNTIF($B$2:B224,"&lt;&gt;"),"")</f>
        <v/>
      </c>
      <c r="J224" s="5" t="str">
        <f>IF(K224="","",IF(OR(K224="Commercial Proposal",K224="Negotiation",K224="Win",K224="Lost",K224="Cancel",K224="Converted"),"Deal","Lead"))</f>
        <v/>
      </c>
      <c r="P224" s="2"/>
      <c r="R224" s="2"/>
    </row>
    <row r="225" spans="1:18">
      <c r="A225" s="4" t="str">
        <f>IF(B225&lt;&gt;"","L"&amp;COUNTIF($B$2:B225,"&lt;&gt;"),"")</f>
        <v/>
      </c>
      <c r="J225" s="5" t="str">
        <f>IF(K225="","",IF(OR(K225="Commercial Proposal",K225="Negotiation",K225="Win",K225="Lost",K225="Cancel",K225="Converted"),"Deal","Lead"))</f>
        <v/>
      </c>
      <c r="P225" s="2"/>
      <c r="R225" s="2"/>
    </row>
    <row r="226" spans="1:18">
      <c r="A226" s="4" t="str">
        <f>IF(B226&lt;&gt;"","L"&amp;COUNTIF($B$2:B226,"&lt;&gt;"),"")</f>
        <v/>
      </c>
      <c r="J226" s="5" t="str">
        <f>IF(K226="","",IF(OR(K226="Commercial Proposal",K226="Negotiation",K226="Win",K226="Lost",K226="Cancel",K226="Converted"),"Deal","Lead"))</f>
        <v/>
      </c>
      <c r="P226" s="2"/>
      <c r="R226" s="2"/>
    </row>
    <row r="227" spans="1:18">
      <c r="A227" s="4" t="str">
        <f>IF(B227&lt;&gt;"","L"&amp;COUNTIF($B$2:B227,"&lt;&gt;"),"")</f>
        <v/>
      </c>
      <c r="J227" s="5" t="str">
        <f>IF(K227="","",IF(OR(K227="Commercial Proposal",K227="Negotiation",K227="Win",K227="Lost",K227="Cancel",K227="Converted"),"Deal","Lead"))</f>
        <v/>
      </c>
      <c r="P227" s="2"/>
      <c r="R227" s="2"/>
    </row>
    <row r="228" spans="1:18">
      <c r="A228" s="4" t="str">
        <f>IF(B228&lt;&gt;"","L"&amp;COUNTIF($B$2:B228,"&lt;&gt;"),"")</f>
        <v/>
      </c>
      <c r="J228" s="5" t="str">
        <f>IF(K228="","",IF(OR(K228="Commercial Proposal",K228="Negotiation",K228="Win",K228="Lost",K228="Cancel",K228="Converted"),"Deal","Lead"))</f>
        <v/>
      </c>
      <c r="P228" s="2"/>
      <c r="R228" s="2"/>
    </row>
    <row r="229" spans="1:18">
      <c r="A229" s="4" t="str">
        <f>IF(B229&lt;&gt;"","L"&amp;COUNTIF($B$2:B229,"&lt;&gt;"),"")</f>
        <v/>
      </c>
      <c r="J229" s="5" t="str">
        <f>IF(K229="","",IF(OR(K229="Commercial Proposal",K229="Negotiation",K229="Win",K229="Lost",K229="Cancel",K229="Converted"),"Deal","Lead"))</f>
        <v/>
      </c>
      <c r="P229" s="2"/>
      <c r="R229" s="2"/>
    </row>
    <row r="230" spans="1:18">
      <c r="A230" s="4" t="str">
        <f>IF(B230&lt;&gt;"","L"&amp;COUNTIF($B$2:B230,"&lt;&gt;"),"")</f>
        <v/>
      </c>
      <c r="J230" s="5" t="str">
        <f>IF(K230="","",IF(OR(K230="Commercial Proposal",K230="Negotiation",K230="Win",K230="Lost",K230="Cancel",K230="Converted"),"Deal","Lead"))</f>
        <v/>
      </c>
      <c r="P230" s="2"/>
      <c r="R230" s="2"/>
    </row>
    <row r="231" spans="1:18">
      <c r="A231" s="4" t="str">
        <f>IF(B231&lt;&gt;"","L"&amp;COUNTIF($B$2:B231,"&lt;&gt;"),"")</f>
        <v/>
      </c>
      <c r="J231" s="5" t="str">
        <f>IF(K231="","",IF(OR(K231="Commercial Proposal",K231="Negotiation",K231="Win",K231="Lost",K231="Cancel",K231="Converted"),"Deal","Lead"))</f>
        <v/>
      </c>
      <c r="P231" s="2"/>
      <c r="R231" s="2"/>
    </row>
    <row r="232" spans="1:18">
      <c r="A232" s="4" t="str">
        <f>IF(B232&lt;&gt;"","L"&amp;COUNTIF($B$2:B232,"&lt;&gt;"),"")</f>
        <v/>
      </c>
      <c r="J232" s="5" t="str">
        <f>IF(K232="","",IF(OR(K232="Commercial Proposal",K232="Negotiation",K232="Win",K232="Lost",K232="Cancel",K232="Converted"),"Deal","Lead"))</f>
        <v/>
      </c>
      <c r="P232" s="2"/>
      <c r="R232" s="2"/>
    </row>
    <row r="233" spans="1:18">
      <c r="A233" s="4" t="str">
        <f>IF(B233&lt;&gt;"","L"&amp;COUNTIF($B$2:B233,"&lt;&gt;"),"")</f>
        <v/>
      </c>
      <c r="J233" s="5" t="str">
        <f>IF(K233="","",IF(OR(K233="Commercial Proposal",K233="Negotiation",K233="Win",K233="Lost",K233="Cancel",K233="Converted"),"Deal","Lead"))</f>
        <v/>
      </c>
      <c r="P233" s="2"/>
      <c r="R233" s="2"/>
    </row>
    <row r="234" spans="1:18">
      <c r="A234" s="4" t="str">
        <f>IF(B234&lt;&gt;"","L"&amp;COUNTIF($B$2:B234,"&lt;&gt;"),"")</f>
        <v/>
      </c>
      <c r="J234" s="5" t="str">
        <f>IF(K234="","",IF(OR(K234="Commercial Proposal",K234="Negotiation",K234="Win",K234="Lost",K234="Cancel",K234="Converted"),"Deal","Lead"))</f>
        <v/>
      </c>
      <c r="P234" s="2"/>
      <c r="R234" s="2"/>
    </row>
    <row r="235" spans="1:18">
      <c r="A235" s="4" t="str">
        <f>IF(B235&lt;&gt;"","L"&amp;COUNTIF($B$2:B235,"&lt;&gt;"),"")</f>
        <v/>
      </c>
      <c r="J235" s="5" t="str">
        <f>IF(K235="","",IF(OR(K235="Commercial Proposal",K235="Negotiation",K235="Win",K235="Lost",K235="Cancel",K235="Converted"),"Deal","Lead"))</f>
        <v/>
      </c>
      <c r="P235" s="2"/>
      <c r="R235" s="2"/>
    </row>
    <row r="236" spans="1:18">
      <c r="A236" s="4" t="str">
        <f>IF(B236&lt;&gt;"","L"&amp;COUNTIF($B$2:B236,"&lt;&gt;"),"")</f>
        <v/>
      </c>
      <c r="J236" s="5" t="str">
        <f>IF(K236="","",IF(OR(K236="Commercial Proposal",K236="Negotiation",K236="Win",K236="Lost",K236="Cancel",K236="Converted"),"Deal","Lead"))</f>
        <v/>
      </c>
      <c r="P236" s="2"/>
      <c r="R236" s="2"/>
    </row>
    <row r="237" spans="1:18">
      <c r="A237" s="4" t="str">
        <f>IF(B237&lt;&gt;"","L"&amp;COUNTIF($B$2:B237,"&lt;&gt;"),"")</f>
        <v/>
      </c>
      <c r="J237" s="5" t="str">
        <f>IF(K237="","",IF(OR(K237="Commercial Proposal",K237="Negotiation",K237="Win",K237="Lost",K237="Cancel",K237="Converted"),"Deal","Lead"))</f>
        <v/>
      </c>
      <c r="P237" s="2"/>
      <c r="R237" s="2"/>
    </row>
    <row r="238" spans="1:18">
      <c r="A238" s="4" t="str">
        <f>IF(B238&lt;&gt;"","L"&amp;COUNTIF($B$2:B238,"&lt;&gt;"),"")</f>
        <v/>
      </c>
      <c r="J238" s="5" t="str">
        <f>IF(K238="","",IF(OR(K238="Commercial Proposal",K238="Negotiation",K238="Win",K238="Lost",K238="Cancel",K238="Converted"),"Deal","Lead"))</f>
        <v/>
      </c>
      <c r="P238" s="2"/>
      <c r="R238" s="2"/>
    </row>
    <row r="239" spans="1:18">
      <c r="A239" s="4" t="str">
        <f>IF(B239&lt;&gt;"","L"&amp;COUNTIF($B$2:B239,"&lt;&gt;"),"")</f>
        <v/>
      </c>
      <c r="J239" s="5" t="str">
        <f>IF(K239="","",IF(OR(K239="Commercial Proposal",K239="Negotiation",K239="Win",K239="Lost",K239="Cancel",K239="Converted"),"Deal","Lead"))</f>
        <v/>
      </c>
      <c r="P239" s="2"/>
      <c r="R239" s="2"/>
    </row>
    <row r="240" spans="1:18">
      <c r="A240" s="4" t="str">
        <f>IF(B240&lt;&gt;"","L"&amp;COUNTIF($B$2:B240,"&lt;&gt;"),"")</f>
        <v/>
      </c>
      <c r="J240" s="5" t="str">
        <f>IF(K240="","",IF(OR(K240="Commercial Proposal",K240="Negotiation",K240="Win",K240="Lost",K240="Cancel",K240="Converted"),"Deal","Lead"))</f>
        <v/>
      </c>
      <c r="P240" s="2"/>
      <c r="R240" s="2"/>
    </row>
    <row r="241" spans="1:18">
      <c r="A241" s="4" t="str">
        <f>IF(B241&lt;&gt;"","L"&amp;COUNTIF($B$2:B241,"&lt;&gt;"),"")</f>
        <v/>
      </c>
      <c r="J241" s="5" t="str">
        <f>IF(K241="","",IF(OR(K241="Commercial Proposal",K241="Negotiation",K241="Win",K241="Lost",K241="Cancel",K241="Converted"),"Deal","Lead"))</f>
        <v/>
      </c>
      <c r="P241" s="2"/>
      <c r="R241" s="2"/>
    </row>
    <row r="242" spans="1:18">
      <c r="A242" s="4" t="str">
        <f>IF(B242&lt;&gt;"","L"&amp;COUNTIF($B$2:B242,"&lt;&gt;"),"")</f>
        <v/>
      </c>
      <c r="J242" s="5" t="str">
        <f>IF(K242="","",IF(OR(K242="Commercial Proposal",K242="Negotiation",K242="Win",K242="Lost",K242="Cancel",K242="Converted"),"Deal","Lead"))</f>
        <v/>
      </c>
      <c r="P242" s="2"/>
      <c r="R242" s="2"/>
    </row>
    <row r="243" spans="1:18">
      <c r="A243" s="4" t="str">
        <f>IF(B243&lt;&gt;"","L"&amp;COUNTIF($B$2:B243,"&lt;&gt;"),"")</f>
        <v/>
      </c>
      <c r="J243" s="5" t="str">
        <f>IF(K243="","",IF(OR(K243="Commercial Proposal",K243="Negotiation",K243="Win",K243="Lost",K243="Cancel",K243="Converted"),"Deal","Lead"))</f>
        <v/>
      </c>
      <c r="P243" s="2"/>
      <c r="R243" s="2"/>
    </row>
    <row r="244" spans="1:18">
      <c r="A244" s="4" t="str">
        <f>IF(B244&lt;&gt;"","L"&amp;COUNTIF($B$2:B244,"&lt;&gt;"),"")</f>
        <v/>
      </c>
      <c r="J244" s="5" t="str">
        <f>IF(K244="","",IF(OR(K244="Commercial Proposal",K244="Negotiation",K244="Win",K244="Lost",K244="Cancel",K244="Converted"),"Deal","Lead"))</f>
        <v/>
      </c>
      <c r="P244" s="2"/>
      <c r="R244" s="2"/>
    </row>
    <row r="245" spans="1:18">
      <c r="A245" s="4" t="str">
        <f>IF(B245&lt;&gt;"","L"&amp;COUNTIF($B$2:B245,"&lt;&gt;"),"")</f>
        <v/>
      </c>
      <c r="J245" s="5" t="str">
        <f>IF(K245="","",IF(OR(K245="Commercial Proposal",K245="Negotiation",K245="Win",K245="Lost",K245="Cancel",K245="Converted"),"Deal","Lead"))</f>
        <v/>
      </c>
      <c r="P245" s="2"/>
      <c r="R245" s="2"/>
    </row>
    <row r="246" spans="1:18">
      <c r="A246" s="4" t="str">
        <f>IF(B246&lt;&gt;"","L"&amp;COUNTIF($B$2:B246,"&lt;&gt;"),"")</f>
        <v/>
      </c>
      <c r="J246" s="5" t="str">
        <f>IF(K246="","",IF(OR(K246="Commercial Proposal",K246="Negotiation",K246="Win",K246="Lost",K246="Cancel",K246="Converted"),"Deal","Lead"))</f>
        <v/>
      </c>
      <c r="P246" s="2"/>
      <c r="R246" s="2"/>
    </row>
    <row r="247" spans="1:18">
      <c r="A247" s="4" t="str">
        <f>IF(B247&lt;&gt;"","L"&amp;COUNTIF($B$2:B247,"&lt;&gt;"),"")</f>
        <v/>
      </c>
      <c r="J247" s="5" t="str">
        <f>IF(K247="","",IF(OR(K247="Commercial Proposal",K247="Negotiation",K247="Win",K247="Lost",K247="Cancel",K247="Converted"),"Deal","Lead"))</f>
        <v/>
      </c>
      <c r="P247" s="2"/>
      <c r="R247" s="2"/>
    </row>
    <row r="248" spans="1:18">
      <c r="A248" s="4" t="str">
        <f>IF(B248&lt;&gt;"","L"&amp;COUNTIF($B$2:B248,"&lt;&gt;"),"")</f>
        <v/>
      </c>
      <c r="J248" s="5" t="str">
        <f>IF(K248="","",IF(OR(K248="Commercial Proposal",K248="Negotiation",K248="Win",K248="Lost",K248="Cancel",K248="Converted"),"Deal","Lead"))</f>
        <v/>
      </c>
      <c r="P248" s="2"/>
      <c r="R248" s="2"/>
    </row>
    <row r="249" spans="1:18">
      <c r="A249" s="4" t="str">
        <f>IF(B249&lt;&gt;"","L"&amp;COUNTIF($B$2:B249,"&lt;&gt;"),"")</f>
        <v/>
      </c>
      <c r="J249" s="5" t="str">
        <f>IF(K249="","",IF(OR(K249="Commercial Proposal",K249="Negotiation",K249="Win",K249="Lost",K249="Cancel",K249="Converted"),"Deal","Lead"))</f>
        <v/>
      </c>
      <c r="P249" s="2"/>
      <c r="R249" s="2"/>
    </row>
    <row r="250" spans="1:18">
      <c r="A250" s="4" t="str">
        <f>IF(B250&lt;&gt;"","L"&amp;COUNTIF($B$2:B250,"&lt;&gt;"),"")</f>
        <v/>
      </c>
      <c r="J250" s="5" t="str">
        <f>IF(K250="","",IF(OR(K250="Commercial Proposal",K250="Negotiation",K250="Win",K250="Lost",K250="Cancel",K250="Converted"),"Deal","Lead"))</f>
        <v/>
      </c>
      <c r="P250" s="2"/>
      <c r="R250" s="2"/>
    </row>
    <row r="251" spans="1:18">
      <c r="A251" s="4" t="str">
        <f>IF(B251&lt;&gt;"","L"&amp;COUNTIF($B$2:B251,"&lt;&gt;"),"")</f>
        <v/>
      </c>
      <c r="J251" s="5" t="str">
        <f>IF(K251="","",IF(OR(K251="Commercial Proposal",K251="Negotiation",K251="Win",K251="Lost",K251="Cancel",K251="Converted"),"Deal","Lead"))</f>
        <v/>
      </c>
      <c r="P251" s="2"/>
      <c r="R251" s="2"/>
    </row>
    <row r="252" spans="1:18">
      <c r="A252" s="4" t="str">
        <f>IF(B252&lt;&gt;"","L"&amp;COUNTIF($B$2:B252,"&lt;&gt;"),"")</f>
        <v/>
      </c>
      <c r="J252" s="5" t="str">
        <f>IF(K252="","",IF(OR(K252="Commercial Proposal",K252="Negotiation",K252="Win",K252="Lost",K252="Cancel",K252="Converted"),"Deal","Lead"))</f>
        <v/>
      </c>
      <c r="P252" s="2"/>
      <c r="R252" s="2"/>
    </row>
    <row r="253" spans="1:18">
      <c r="A253" s="4" t="str">
        <f>IF(B253&lt;&gt;"","L"&amp;COUNTIF($B$2:B253,"&lt;&gt;"),"")</f>
        <v/>
      </c>
      <c r="J253" s="5" t="str">
        <f>IF(K253="","",IF(OR(K253="Commercial Proposal",K253="Negotiation",K253="Win",K253="Lost",K253="Cancel",K253="Converted"),"Deal","Lead"))</f>
        <v/>
      </c>
      <c r="P253" s="2"/>
      <c r="R253" s="2"/>
    </row>
    <row r="254" spans="1:18">
      <c r="A254" s="4" t="str">
        <f>IF(B254&lt;&gt;"","L"&amp;COUNTIF($B$2:B254,"&lt;&gt;"),"")</f>
        <v/>
      </c>
      <c r="J254" s="5" t="str">
        <f>IF(K254="","",IF(OR(K254="Commercial Proposal",K254="Negotiation",K254="Win",K254="Lost",K254="Cancel",K254="Converted"),"Deal","Lead"))</f>
        <v/>
      </c>
      <c r="P254" s="2"/>
      <c r="R254" s="2"/>
    </row>
    <row r="255" spans="1:18">
      <c r="A255" s="4" t="str">
        <f>IF(B255&lt;&gt;"","L"&amp;COUNTIF($B$2:B255,"&lt;&gt;"),"")</f>
        <v/>
      </c>
      <c r="J255" s="5" t="str">
        <f>IF(K255="","",IF(OR(K255="Commercial Proposal",K255="Negotiation",K255="Win",K255="Lost",K255="Cancel",K255="Converted"),"Deal","Lead"))</f>
        <v/>
      </c>
      <c r="P255" s="2"/>
      <c r="R255" s="2"/>
    </row>
    <row r="256" spans="1:18">
      <c r="A256" s="4" t="str">
        <f>IF(B256&lt;&gt;"","L"&amp;COUNTIF($B$2:B256,"&lt;&gt;"),"")</f>
        <v/>
      </c>
      <c r="J256" s="5" t="str">
        <f>IF(K256="","",IF(OR(K256="Commercial Proposal",K256="Negotiation",K256="Win",K256="Lost",K256="Cancel",K256="Converted"),"Deal","Lead"))</f>
        <v/>
      </c>
      <c r="P256" s="2"/>
      <c r="R256" s="2"/>
    </row>
    <row r="257" spans="1:18">
      <c r="A257" s="4" t="str">
        <f>IF(B257&lt;&gt;"","L"&amp;COUNTIF($B$2:B257,"&lt;&gt;"),"")</f>
        <v/>
      </c>
      <c r="J257" s="5" t="str">
        <f>IF(K257="","",IF(OR(K257="Commercial Proposal",K257="Negotiation",K257="Win",K257="Lost",K257="Cancel",K257="Converted"),"Deal","Lead"))</f>
        <v/>
      </c>
      <c r="P257" s="2"/>
      <c r="R257" s="2"/>
    </row>
    <row r="258" spans="1:18">
      <c r="A258" s="4" t="str">
        <f>IF(B258&lt;&gt;"","L"&amp;COUNTIF($B$2:B258,"&lt;&gt;"),"")</f>
        <v/>
      </c>
      <c r="J258" s="5" t="str">
        <f>IF(K258="","",IF(OR(K258="Commercial Proposal",K258="Negotiation",K258="Win",K258="Lost",K258="Cancel",K258="Converted"),"Deal","Lead"))</f>
        <v/>
      </c>
      <c r="P258" s="2"/>
      <c r="R258" s="2"/>
    </row>
    <row r="259" spans="1:18">
      <c r="A259" s="4" t="str">
        <f>IF(B259&lt;&gt;"","L"&amp;COUNTIF($B$2:B259,"&lt;&gt;"),"")</f>
        <v/>
      </c>
      <c r="J259" s="5" t="str">
        <f>IF(K259="","",IF(OR(K259="Commercial Proposal",K259="Negotiation",K259="Win",K259="Lost",K259="Cancel",K259="Converted"),"Deal","Lead"))</f>
        <v/>
      </c>
      <c r="P259" s="2"/>
      <c r="R259" s="2"/>
    </row>
    <row r="260" spans="1:18">
      <c r="A260" s="4" t="str">
        <f>IF(B260&lt;&gt;"","L"&amp;COUNTIF($B$2:B260,"&lt;&gt;"),"")</f>
        <v/>
      </c>
      <c r="J260" s="5" t="str">
        <f>IF(K260="","",IF(OR(K260="Commercial Proposal",K260="Negotiation",K260="Win",K260="Lost",K260="Cancel",K260="Converted"),"Deal","Lead"))</f>
        <v/>
      </c>
      <c r="P260" s="2"/>
      <c r="R260" s="2"/>
    </row>
    <row r="261" spans="1:18">
      <c r="A261" s="4" t="str">
        <f>IF(B261&lt;&gt;"","L"&amp;COUNTIF($B$2:B261,"&lt;&gt;"),"")</f>
        <v/>
      </c>
      <c r="J261" s="5" t="str">
        <f>IF(K261="","",IF(OR(K261="Commercial Proposal",K261="Negotiation",K261="Win",K261="Lost",K261="Cancel",K261="Converted"),"Deal","Lead"))</f>
        <v/>
      </c>
      <c r="P261" s="2"/>
      <c r="R261" s="2"/>
    </row>
    <row r="262" spans="1:18">
      <c r="A262" s="4" t="str">
        <f>IF(B262&lt;&gt;"","L"&amp;COUNTIF($B$2:B262,"&lt;&gt;"),"")</f>
        <v/>
      </c>
      <c r="J262" s="5" t="str">
        <f>IF(K262="","",IF(OR(K262="Commercial Proposal",K262="Negotiation",K262="Win",K262="Lost",K262="Cancel",K262="Converted"),"Deal","Lead"))</f>
        <v/>
      </c>
      <c r="P262" s="2"/>
      <c r="R262" s="2"/>
    </row>
    <row r="263" spans="1:18">
      <c r="A263" s="4" t="str">
        <f>IF(B263&lt;&gt;"","L"&amp;COUNTIF($B$2:B263,"&lt;&gt;"),"")</f>
        <v/>
      </c>
      <c r="J263" s="5" t="str">
        <f>IF(K263="","",IF(OR(K263="Commercial Proposal",K263="Negotiation",K263="Win",K263="Lost",K263="Cancel",K263="Converted"),"Deal","Lead"))</f>
        <v/>
      </c>
      <c r="P263" s="2"/>
      <c r="R263" s="2"/>
    </row>
    <row r="264" spans="1:18">
      <c r="A264" s="4" t="str">
        <f>IF(B264&lt;&gt;"","L"&amp;COUNTIF($B$2:B264,"&lt;&gt;"),"")</f>
        <v/>
      </c>
      <c r="J264" s="5" t="str">
        <f>IF(K264="","",IF(OR(K264="Commercial Proposal",K264="Negotiation",K264="Win",K264="Lost",K264="Cancel",K264="Converted"),"Deal","Lead"))</f>
        <v/>
      </c>
      <c r="P264" s="2"/>
      <c r="R264" s="2"/>
    </row>
    <row r="265" spans="1:18">
      <c r="A265" s="4" t="str">
        <f>IF(B265&lt;&gt;"","L"&amp;COUNTIF($B$2:B265,"&lt;&gt;"),"")</f>
        <v/>
      </c>
      <c r="J265" s="5" t="str">
        <f>IF(K265="","",IF(OR(K265="Commercial Proposal",K265="Negotiation",K265="Win",K265="Lost",K265="Cancel",K265="Converted"),"Deal","Lead"))</f>
        <v/>
      </c>
      <c r="P265" s="2"/>
      <c r="R265" s="2"/>
    </row>
    <row r="266" spans="1:18">
      <c r="A266" s="4" t="str">
        <f>IF(B266&lt;&gt;"","L"&amp;COUNTIF($B$2:B266,"&lt;&gt;"),"")</f>
        <v/>
      </c>
      <c r="J266" s="5" t="str">
        <f>IF(K266="","",IF(OR(K266="Commercial Proposal",K266="Negotiation",K266="Win",K266="Lost",K266="Cancel",K266="Converted"),"Deal","Lead"))</f>
        <v/>
      </c>
      <c r="P266" s="2"/>
      <c r="R266" s="2"/>
    </row>
    <row r="267" spans="1:18">
      <c r="A267" s="4" t="str">
        <f>IF(B267&lt;&gt;"","L"&amp;COUNTIF($B$2:B267,"&lt;&gt;"),"")</f>
        <v/>
      </c>
      <c r="J267" s="5" t="str">
        <f>IF(K267="","",IF(OR(K267="Commercial Proposal",K267="Negotiation",K267="Win",K267="Lost",K267="Cancel",K267="Converted"),"Deal","Lead"))</f>
        <v/>
      </c>
      <c r="P267" s="2"/>
      <c r="R267" s="2"/>
    </row>
    <row r="268" spans="1:18">
      <c r="A268" s="4" t="str">
        <f>IF(B268&lt;&gt;"","L"&amp;COUNTIF($B$2:B268,"&lt;&gt;"),"")</f>
        <v/>
      </c>
      <c r="J268" s="5" t="str">
        <f>IF(K268="","",IF(OR(K268="Commercial Proposal",K268="Negotiation",K268="Win",K268="Lost",K268="Cancel",K268="Converted"),"Deal","Lead"))</f>
        <v/>
      </c>
      <c r="P268" s="2"/>
      <c r="R268" s="2"/>
    </row>
    <row r="269" spans="1:18">
      <c r="A269" s="4" t="str">
        <f>IF(B269&lt;&gt;"","L"&amp;COUNTIF($B$2:B269,"&lt;&gt;"),"")</f>
        <v/>
      </c>
      <c r="J269" s="5" t="str">
        <f>IF(K269="","",IF(OR(K269="Commercial Proposal",K269="Negotiation",K269="Win",K269="Lost",K269="Cancel",K269="Converted"),"Deal","Lead"))</f>
        <v/>
      </c>
      <c r="P269" s="2"/>
      <c r="R269" s="2"/>
    </row>
    <row r="270" spans="1:18">
      <c r="A270" s="4" t="str">
        <f>IF(B270&lt;&gt;"","L"&amp;COUNTIF($B$2:B270,"&lt;&gt;"),"")</f>
        <v/>
      </c>
      <c r="J270" s="5" t="str">
        <f>IF(K270="","",IF(OR(K270="Commercial Proposal",K270="Negotiation",K270="Win",K270="Lost",K270="Cancel",K270="Converted"),"Deal","Lead"))</f>
        <v/>
      </c>
      <c r="P270" s="2"/>
      <c r="R270" s="2"/>
    </row>
    <row r="271" spans="1:18">
      <c r="A271" s="4" t="str">
        <f>IF(B271&lt;&gt;"","L"&amp;COUNTIF($B$2:B271,"&lt;&gt;"),"")</f>
        <v/>
      </c>
      <c r="J271" s="5" t="str">
        <f>IF(K271="","",IF(OR(K271="Commercial Proposal",K271="Negotiation",K271="Win",K271="Lost",K271="Cancel",K271="Converted"),"Deal","Lead"))</f>
        <v/>
      </c>
      <c r="P271" s="2"/>
      <c r="R271" s="2"/>
    </row>
    <row r="272" spans="1:18">
      <c r="A272" s="4" t="str">
        <f>IF(B272&lt;&gt;"","L"&amp;COUNTIF($B$2:B272,"&lt;&gt;"),"")</f>
        <v/>
      </c>
      <c r="J272" s="5" t="str">
        <f>IF(K272="","",IF(OR(K272="Commercial Proposal",K272="Negotiation",K272="Win",K272="Lost",K272="Cancel",K272="Converted"),"Deal","Lead"))</f>
        <v/>
      </c>
      <c r="P272" s="2"/>
      <c r="R272" s="2"/>
    </row>
    <row r="273" spans="1:18">
      <c r="A273" s="4" t="str">
        <f>IF(B273&lt;&gt;"","L"&amp;COUNTIF($B$2:B273,"&lt;&gt;"),"")</f>
        <v/>
      </c>
      <c r="J273" s="5" t="str">
        <f>IF(K273="","",IF(OR(K273="Commercial Proposal",K273="Negotiation",K273="Win",K273="Lost",K273="Cancel",K273="Converted"),"Deal","Lead"))</f>
        <v/>
      </c>
      <c r="P273" s="2"/>
      <c r="R273" s="2"/>
    </row>
    <row r="274" spans="1:18">
      <c r="A274" s="4" t="str">
        <f>IF(B274&lt;&gt;"","L"&amp;COUNTIF($B$2:B274,"&lt;&gt;"),"")</f>
        <v/>
      </c>
      <c r="J274" s="5" t="str">
        <f>IF(K274="","",IF(OR(K274="Commercial Proposal",K274="Negotiation",K274="Win",K274="Lost",K274="Cancel",K274="Converted"),"Deal","Lead"))</f>
        <v/>
      </c>
      <c r="P274" s="2"/>
      <c r="R274" s="2"/>
    </row>
    <row r="275" spans="1:18">
      <c r="A275" s="4" t="str">
        <f>IF(B275&lt;&gt;"","L"&amp;COUNTIF($B$2:B275,"&lt;&gt;"),"")</f>
        <v/>
      </c>
      <c r="J275" s="5" t="str">
        <f>IF(K275="","",IF(OR(K275="Commercial Proposal",K275="Negotiation",K275="Win",K275="Lost",K275="Cancel",K275="Converted"),"Deal","Lead"))</f>
        <v/>
      </c>
      <c r="P275" s="2"/>
      <c r="R275" s="2"/>
    </row>
    <row r="276" spans="1:18">
      <c r="A276" s="4" t="str">
        <f>IF(B276&lt;&gt;"","L"&amp;COUNTIF($B$2:B276,"&lt;&gt;"),"")</f>
        <v/>
      </c>
      <c r="J276" s="5" t="str">
        <f>IF(K276="","",IF(OR(K276="Commercial Proposal",K276="Negotiation",K276="Win",K276="Lost",K276="Cancel",K276="Converted"),"Deal","Lead"))</f>
        <v/>
      </c>
      <c r="P276" s="2"/>
      <c r="R276" s="2"/>
    </row>
    <row r="277" spans="1:18">
      <c r="A277" s="4" t="str">
        <f>IF(B277&lt;&gt;"","L"&amp;COUNTIF($B$2:B277,"&lt;&gt;"),"")</f>
        <v/>
      </c>
      <c r="J277" s="5" t="str">
        <f>IF(K277="","",IF(OR(K277="Commercial Proposal",K277="Negotiation",K277="Win",K277="Lost",K277="Cancel",K277="Converted"),"Deal","Lead"))</f>
        <v/>
      </c>
      <c r="P277" s="2"/>
      <c r="R277" s="2"/>
    </row>
    <row r="278" spans="1:18">
      <c r="A278" s="4" t="str">
        <f>IF(B278&lt;&gt;"","L"&amp;COUNTIF($B$2:B278,"&lt;&gt;"),"")</f>
        <v/>
      </c>
      <c r="J278" s="5" t="str">
        <f>IF(K278="","",IF(OR(K278="Commercial Proposal",K278="Negotiation",K278="Win",K278="Lost",K278="Cancel",K278="Converted"),"Deal","Lead"))</f>
        <v/>
      </c>
      <c r="P278" s="2"/>
      <c r="R278" s="2"/>
    </row>
    <row r="279" spans="1:18">
      <c r="A279" s="4" t="str">
        <f>IF(B279&lt;&gt;"","L"&amp;COUNTIF($B$2:B279,"&lt;&gt;"),"")</f>
        <v/>
      </c>
      <c r="J279" s="5" t="str">
        <f>IF(K279="","",IF(OR(K279="Commercial Proposal",K279="Negotiation",K279="Win",K279="Lost",K279="Cancel",K279="Converted"),"Deal","Lead"))</f>
        <v/>
      </c>
      <c r="P279" s="2"/>
      <c r="R279" s="2"/>
    </row>
    <row r="280" spans="1:18">
      <c r="A280" s="4" t="str">
        <f>IF(B280&lt;&gt;"","L"&amp;COUNTIF($B$2:B280,"&lt;&gt;"),"")</f>
        <v/>
      </c>
      <c r="J280" s="5" t="str">
        <f>IF(K280="","",IF(OR(K280="Commercial Proposal",K280="Negotiation",K280="Win",K280="Lost",K280="Cancel",K280="Converted"),"Deal","Lead"))</f>
        <v/>
      </c>
      <c r="P280" s="2"/>
      <c r="R280" s="2"/>
    </row>
    <row r="281" spans="1:18">
      <c r="A281" s="4" t="str">
        <f>IF(B281&lt;&gt;"","L"&amp;COUNTIF($B$2:B281,"&lt;&gt;"),"")</f>
        <v/>
      </c>
      <c r="J281" s="5" t="str">
        <f>IF(K281="","",IF(OR(K281="Commercial Proposal",K281="Negotiation",K281="Win",K281="Lost",K281="Cancel",K281="Converted"),"Deal","Lead"))</f>
        <v/>
      </c>
      <c r="P281" s="2"/>
      <c r="R281" s="2"/>
    </row>
    <row r="282" spans="1:18">
      <c r="A282" s="4" t="str">
        <f>IF(B282&lt;&gt;"","L"&amp;COUNTIF($B$2:B282,"&lt;&gt;"),"")</f>
        <v/>
      </c>
      <c r="J282" s="5" t="str">
        <f>IF(K282="","",IF(OR(K282="Commercial Proposal",K282="Negotiation",K282="Win",K282="Lost",K282="Cancel",K282="Converted"),"Deal","Lead"))</f>
        <v/>
      </c>
      <c r="P282" s="2"/>
      <c r="R282" s="2"/>
    </row>
    <row r="283" spans="1:18">
      <c r="A283" s="4" t="str">
        <f>IF(B283&lt;&gt;"","L"&amp;COUNTIF($B$2:B283,"&lt;&gt;"),"")</f>
        <v/>
      </c>
      <c r="J283" s="5" t="str">
        <f>IF(K283="","",IF(OR(K283="Commercial Proposal",K283="Negotiation",K283="Win",K283="Lost",K283="Cancel",K283="Converted"),"Deal","Lead"))</f>
        <v/>
      </c>
      <c r="P283" s="2"/>
      <c r="R283" s="2"/>
    </row>
    <row r="284" spans="1:18">
      <c r="A284" s="4" t="str">
        <f>IF(B284&lt;&gt;"","L"&amp;COUNTIF($B$2:B284,"&lt;&gt;"),"")</f>
        <v/>
      </c>
      <c r="J284" s="5" t="str">
        <f>IF(K284="","",IF(OR(K284="Commercial Proposal",K284="Negotiation",K284="Win",K284="Lost",K284="Cancel",K284="Converted"),"Deal","Lead"))</f>
        <v/>
      </c>
      <c r="P284" s="2"/>
      <c r="R284" s="2"/>
    </row>
    <row r="285" spans="1:18">
      <c r="A285" s="4" t="str">
        <f>IF(B285&lt;&gt;"","L"&amp;COUNTIF($B$2:B285,"&lt;&gt;"),"")</f>
        <v/>
      </c>
      <c r="J285" s="5" t="str">
        <f>IF(K285="","",IF(OR(K285="Commercial Proposal",K285="Negotiation",K285="Win",K285="Lost",K285="Cancel",K285="Converted"),"Deal","Lead"))</f>
        <v/>
      </c>
      <c r="P285" s="2"/>
      <c r="R285" s="2"/>
    </row>
    <row r="286" spans="1:18">
      <c r="A286" s="4" t="str">
        <f>IF(B286&lt;&gt;"","L"&amp;COUNTIF($B$2:B286,"&lt;&gt;"),"")</f>
        <v/>
      </c>
      <c r="J286" s="5" t="str">
        <f>IF(K286="","",IF(OR(K286="Commercial Proposal",K286="Negotiation",K286="Win",K286="Lost",K286="Cancel",K286="Converted"),"Deal","Lead"))</f>
        <v/>
      </c>
      <c r="P286" s="2"/>
      <c r="R286" s="2"/>
    </row>
    <row r="287" spans="1:18">
      <c r="A287" s="4" t="str">
        <f>IF(B287&lt;&gt;"","L"&amp;COUNTIF($B$2:B287,"&lt;&gt;"),"")</f>
        <v/>
      </c>
      <c r="J287" s="5" t="str">
        <f>IF(K287="","",IF(OR(K287="Commercial Proposal",K287="Negotiation",K287="Win",K287="Lost",K287="Cancel",K287="Converted"),"Deal","Lead"))</f>
        <v/>
      </c>
      <c r="P287" s="2"/>
      <c r="R287" s="2"/>
    </row>
    <row r="288" spans="1:18">
      <c r="A288" s="4" t="str">
        <f>IF(B288&lt;&gt;"","L"&amp;COUNTIF($B$2:B288,"&lt;&gt;"),"")</f>
        <v/>
      </c>
      <c r="J288" s="5" t="str">
        <f>IF(K288="","",IF(OR(K288="Commercial Proposal",K288="Negotiation",K288="Win",K288="Lost",K288="Cancel",K288="Converted"),"Deal","Lead"))</f>
        <v/>
      </c>
      <c r="P288" s="2"/>
      <c r="R288" s="2"/>
    </row>
    <row r="289" spans="1:18">
      <c r="A289" s="4" t="str">
        <f>IF(B289&lt;&gt;"","L"&amp;COUNTIF($B$2:B289,"&lt;&gt;"),"")</f>
        <v/>
      </c>
      <c r="J289" s="5" t="str">
        <f>IF(K289="","",IF(OR(K289="Commercial Proposal",K289="Negotiation",K289="Win",K289="Lost",K289="Cancel",K289="Converted"),"Deal","Lead"))</f>
        <v/>
      </c>
      <c r="P289" s="2"/>
      <c r="R289" s="2"/>
    </row>
    <row r="290" spans="1:18">
      <c r="A290" s="4" t="str">
        <f>IF(B290&lt;&gt;"","L"&amp;COUNTIF($B$2:B290,"&lt;&gt;"),"")</f>
        <v/>
      </c>
      <c r="J290" s="5" t="str">
        <f>IF(K290="","",IF(OR(K290="Commercial Proposal",K290="Negotiation",K290="Win",K290="Lost",K290="Cancel",K290="Converted"),"Deal","Lead"))</f>
        <v/>
      </c>
      <c r="P290" s="2"/>
      <c r="R290" s="2"/>
    </row>
    <row r="291" spans="1:18">
      <c r="A291" s="4" t="str">
        <f>IF(B291&lt;&gt;"","L"&amp;COUNTIF($B$2:B291,"&lt;&gt;"),"")</f>
        <v/>
      </c>
      <c r="J291" s="5" t="str">
        <f>IF(K291="","",IF(OR(K291="Commercial Proposal",K291="Negotiation",K291="Win",K291="Lost",K291="Cancel",K291="Converted"),"Deal","Lead"))</f>
        <v/>
      </c>
      <c r="P291" s="2"/>
      <c r="R291" s="2"/>
    </row>
    <row r="292" spans="1:18">
      <c r="A292" s="4" t="str">
        <f>IF(B292&lt;&gt;"","L"&amp;COUNTIF($B$2:B292,"&lt;&gt;"),"")</f>
        <v/>
      </c>
      <c r="J292" s="5" t="str">
        <f>IF(K292="","",IF(OR(K292="Commercial Proposal",K292="Negotiation",K292="Win",K292="Lost",K292="Cancel",K292="Converted"),"Deal","Lead"))</f>
        <v/>
      </c>
      <c r="P292" s="2"/>
      <c r="R292" s="2"/>
    </row>
    <row r="293" spans="1:18">
      <c r="A293" s="4" t="str">
        <f>IF(B293&lt;&gt;"","L"&amp;COUNTIF($B$2:B293,"&lt;&gt;"),"")</f>
        <v/>
      </c>
      <c r="J293" s="5" t="str">
        <f>IF(K293="","",IF(OR(K293="Commercial Proposal",K293="Negotiation",K293="Win",K293="Lost",K293="Cancel",K293="Converted"),"Deal","Lead"))</f>
        <v/>
      </c>
      <c r="P293" s="2"/>
      <c r="R293" s="2"/>
    </row>
    <row r="294" spans="1:18">
      <c r="A294" s="4" t="str">
        <f>IF(B294&lt;&gt;"","L"&amp;COUNTIF($B$2:B294,"&lt;&gt;"),"")</f>
        <v/>
      </c>
      <c r="J294" s="5" t="str">
        <f>IF(K294="","",IF(OR(K294="Commercial Proposal",K294="Negotiation",K294="Win",K294="Lost",K294="Cancel",K294="Converted"),"Deal","Lead"))</f>
        <v/>
      </c>
      <c r="P294" s="2"/>
      <c r="R294" s="2"/>
    </row>
    <row r="295" spans="1:18">
      <c r="A295" s="4" t="str">
        <f>IF(B295&lt;&gt;"","L"&amp;COUNTIF($B$2:B295,"&lt;&gt;"),"")</f>
        <v/>
      </c>
      <c r="J295" s="5" t="str">
        <f>IF(K295="","",IF(OR(K295="Commercial Proposal",K295="Negotiation",K295="Win",K295="Lost",K295="Cancel",K295="Converted"),"Deal","Lead"))</f>
        <v/>
      </c>
      <c r="P295" s="2"/>
      <c r="R295" s="2"/>
    </row>
    <row r="296" spans="1:18">
      <c r="A296" s="4" t="str">
        <f>IF(B296&lt;&gt;"","L"&amp;COUNTIF($B$2:B296,"&lt;&gt;"),"")</f>
        <v/>
      </c>
      <c r="J296" s="5" t="str">
        <f>IF(K296="","",IF(OR(K296="Commercial Proposal",K296="Negotiation",K296="Win",K296="Lost",K296="Cancel",K296="Converted"),"Deal","Lead"))</f>
        <v/>
      </c>
      <c r="P296" s="2"/>
      <c r="R296" s="2"/>
    </row>
    <row r="297" spans="1:18">
      <c r="A297" s="4" t="str">
        <f>IF(B297&lt;&gt;"","L"&amp;COUNTIF($B$2:B297,"&lt;&gt;"),"")</f>
        <v/>
      </c>
      <c r="J297" s="5" t="str">
        <f>IF(K297="","",IF(OR(K297="Commercial Proposal",K297="Negotiation",K297="Win",K297="Lost",K297="Cancel",K297="Converted"),"Deal","Lead"))</f>
        <v/>
      </c>
      <c r="P297" s="2"/>
      <c r="R297" s="2"/>
    </row>
    <row r="298" spans="1:18">
      <c r="A298" s="4" t="str">
        <f>IF(B298&lt;&gt;"","L"&amp;COUNTIF($B$2:B298,"&lt;&gt;"),"")</f>
        <v/>
      </c>
      <c r="J298" s="5" t="str">
        <f>IF(K298="","",IF(OR(K298="Commercial Proposal",K298="Negotiation",K298="Win",K298="Lost",K298="Cancel",K298="Converted"),"Deal","Lead"))</f>
        <v/>
      </c>
      <c r="P298" s="2"/>
      <c r="R298" s="2"/>
    </row>
    <row r="299" spans="1:18">
      <c r="A299" s="4" t="str">
        <f>IF(B299&lt;&gt;"","L"&amp;COUNTIF($B$2:B299,"&lt;&gt;"),"")</f>
        <v/>
      </c>
      <c r="J299" s="5" t="str">
        <f>IF(K299="","",IF(OR(K299="Commercial Proposal",K299="Negotiation",K299="Win",K299="Lost",K299="Cancel",K299="Converted"),"Deal","Lead"))</f>
        <v/>
      </c>
      <c r="P299" s="2"/>
      <c r="R299" s="2"/>
    </row>
    <row r="300" spans="1:18">
      <c r="A300" s="4" t="str">
        <f>IF(B300&lt;&gt;"","L"&amp;COUNTIF($B$2:B300,"&lt;&gt;"),"")</f>
        <v/>
      </c>
      <c r="J300" s="5" t="str">
        <f>IF(K300="","",IF(OR(K300="Commercial Proposal",K300="Negotiation",K300="Win",K300="Lost",K300="Cancel",K300="Converted"),"Deal","Lead"))</f>
        <v/>
      </c>
      <c r="P300" s="2"/>
      <c r="R300" s="2"/>
    </row>
    <row r="301" spans="1:18">
      <c r="A301" s="4" t="str">
        <f>IF(B301&lt;&gt;"","L"&amp;COUNTIF($B$2:B301,"&lt;&gt;"),"")</f>
        <v/>
      </c>
      <c r="J301" s="5" t="str">
        <f>IF(K301="","",IF(OR(K301="Commercial Proposal",K301="Negotiation",K301="Win",K301="Lost",K301="Cancel",K301="Converted"),"Deal","Lead"))</f>
        <v/>
      </c>
      <c r="P301" s="2"/>
      <c r="R301" s="2"/>
    </row>
    <row r="302" spans="1:18">
      <c r="A302" s="4" t="str">
        <f>IF(B302&lt;&gt;"","L"&amp;COUNTIF($B$2:B302,"&lt;&gt;"),"")</f>
        <v/>
      </c>
      <c r="J302" s="5" t="str">
        <f>IF(K302="","",IF(OR(K302="Commercial Proposal",K302="Negotiation",K302="Win",K302="Lost",K302="Cancel",K302="Converted"),"Deal","Lead"))</f>
        <v/>
      </c>
      <c r="P302" s="2"/>
      <c r="R302" s="2"/>
    </row>
    <row r="303" spans="1:18">
      <c r="A303" s="4" t="str">
        <f>IF(B303&lt;&gt;"","L"&amp;COUNTIF($B$2:B303,"&lt;&gt;"),"")</f>
        <v/>
      </c>
      <c r="J303" s="5" t="str">
        <f>IF(K303="","",IF(OR(K303="Commercial Proposal",K303="Negotiation",K303="Win",K303="Lost",K303="Cancel",K303="Converted"),"Deal","Lead"))</f>
        <v/>
      </c>
      <c r="P303" s="2"/>
      <c r="R303" s="2"/>
    </row>
    <row r="304" spans="1:18">
      <c r="A304" s="4" t="str">
        <f>IF(B304&lt;&gt;"","L"&amp;COUNTIF($B$2:B304,"&lt;&gt;"),"")</f>
        <v/>
      </c>
      <c r="J304" s="5" t="str">
        <f>IF(K304="","",IF(OR(K304="Commercial Proposal",K304="Negotiation",K304="Win",K304="Lost",K304="Cancel",K304="Converted"),"Deal","Lead"))</f>
        <v/>
      </c>
      <c r="P304" s="2"/>
      <c r="R304" s="2"/>
    </row>
    <row r="305" spans="1:18">
      <c r="A305" s="4" t="str">
        <f>IF(B305&lt;&gt;"","L"&amp;COUNTIF($B$2:B305,"&lt;&gt;"),"")</f>
        <v/>
      </c>
      <c r="J305" s="5" t="str">
        <f>IF(K305="","",IF(OR(K305="Commercial Proposal",K305="Negotiation",K305="Win",K305="Lost",K305="Cancel",K305="Converted"),"Deal","Lead"))</f>
        <v/>
      </c>
      <c r="P305" s="2"/>
      <c r="R305" s="2"/>
    </row>
    <row r="306" spans="1:18">
      <c r="A306" s="4" t="str">
        <f>IF(B306&lt;&gt;"","L"&amp;COUNTIF($B$2:B306,"&lt;&gt;"),"")</f>
        <v/>
      </c>
      <c r="J306" s="5" t="str">
        <f>IF(K306="","",IF(OR(K306="Commercial Proposal",K306="Negotiation",K306="Win",K306="Lost",K306="Cancel",K306="Converted"),"Deal","Lead"))</f>
        <v/>
      </c>
      <c r="P306" s="2"/>
      <c r="R306" s="2"/>
    </row>
    <row r="310" spans="1:18">
      <c r="P310" t="s">
        <v>207</v>
      </c>
    </row>
  </sheetData>
  <protectedRanges>
    <protectedRange sqref="B1:T306" name="Range1"/>
  </protectedRanges>
  <autoFilter ref="J1:J310" xr:uid="{C47800EB-FE34-4C1C-A4BA-B1365DA8844C}"/>
  <conditionalFormatting sqref="K54:K306 K41:K48 K37:K38 K16:K32 K7 K3:K4 J2:K2 J3:J306">
    <cfRule type="containsText" dxfId="13" priority="14" operator="containsText" text="Win">
      <formula>NOT(ISERROR(SEARCH("Win",J2)))</formula>
    </cfRule>
  </conditionalFormatting>
  <conditionalFormatting sqref="K54:K306 K41:K48 K37:K38 K16:K32 K7 K3:K4 J2:K2 J3:J306">
    <cfRule type="containsText" dxfId="12" priority="13" operator="containsText" text="Cancel">
      <formula>NOT(ISERROR(SEARCH("Cancel",J2)))</formula>
    </cfRule>
  </conditionalFormatting>
  <conditionalFormatting sqref="K54:K306 K41:K48 K37:K38 K16:K32 K7 K3:K4 J2:K2 J3:J306">
    <cfRule type="containsText" dxfId="11" priority="12" operator="containsText" text="Lost">
      <formula>NOT(ISERROR(SEARCH("Lost",J2)))</formula>
    </cfRule>
  </conditionalFormatting>
  <conditionalFormatting sqref="K1:K1048576">
    <cfRule type="containsText" dxfId="10" priority="11" operator="containsText" text="Lead Generation">
      <formula>NOT(ISERROR(SEARCH("Lead Generation",K1)))</formula>
    </cfRule>
  </conditionalFormatting>
  <conditionalFormatting sqref="K1:K1048576">
    <cfRule type="containsText" dxfId="9" priority="10" operator="containsText" text="Lead Qualification">
      <formula>NOT(ISERROR(SEARCH("Lead Qualification",K1)))</formula>
    </cfRule>
  </conditionalFormatting>
  <conditionalFormatting sqref="K1:K1048576">
    <cfRule type="containsText" dxfId="8" priority="9" operator="containsText" text="Assign">
      <formula>NOT(ISERROR(SEARCH("Assign",K1)))</formula>
    </cfRule>
  </conditionalFormatting>
  <conditionalFormatting sqref="K1:K1048576">
    <cfRule type="containsText" dxfId="7" priority="8" operator="containsText" text="First Contact">
      <formula>NOT(ISERROR(SEARCH("First Contact",K1)))</formula>
    </cfRule>
  </conditionalFormatting>
  <conditionalFormatting sqref="K1:K1048576">
    <cfRule type="containsText" dxfId="6" priority="7" operator="containsText" text="Discovery Meeting">
      <formula>NOT(ISERROR(SEARCH("Discovery Meeting",K1)))</formula>
    </cfRule>
  </conditionalFormatting>
  <conditionalFormatting sqref="K1:K1048576">
    <cfRule type="containsText" dxfId="5" priority="6" operator="containsText" text="Approach or Demo">
      <formula>NOT(ISERROR(SEARCH("Approach or Demo",K1)))</formula>
    </cfRule>
  </conditionalFormatting>
  <conditionalFormatting sqref="K1:K1048576">
    <cfRule type="containsText" dxfId="4" priority="5" operator="containsText" text="Converted">
      <formula>NOT(ISERROR(SEARCH("Converted",K1)))</formula>
    </cfRule>
  </conditionalFormatting>
  <conditionalFormatting sqref="K1:K1048576">
    <cfRule type="containsText" dxfId="3" priority="4" operator="containsText" text="Cancelled">
      <formula>NOT(ISERROR(SEARCH("Cancelled",K1)))</formula>
    </cfRule>
  </conditionalFormatting>
  <conditionalFormatting sqref="K1:K1048576">
    <cfRule type="containsText" dxfId="2" priority="3" operator="containsText" text="Commercial Proposal">
      <formula>NOT(ISERROR(SEARCH("Commercial Proposal",K1)))</formula>
    </cfRule>
  </conditionalFormatting>
  <conditionalFormatting sqref="K1:K1048576">
    <cfRule type="containsText" dxfId="1" priority="2" operator="containsText" text="Negotiation">
      <formula>NOT(ISERROR(SEARCH("Negotiation",K1)))</formula>
    </cfRule>
  </conditionalFormatting>
  <conditionalFormatting sqref="K1:K1048576">
    <cfRule type="containsText" dxfId="0" priority="1" operator="containsText" text="Closed">
      <formula>NOT(ISERROR(SEARCH("Closed",K1)))</formula>
    </cfRule>
  </conditionalFormatting>
  <dataValidations count="5">
    <dataValidation allowBlank="1" showInputMessage="1" showErrorMessage="1" sqref="G1:G306 I2:I306 H56:H306 J1:J1048576 S2:S306 L2:M306 N1:N1048576 P2:P306 O1:O306" xr:uid="{1CE6ECF6-96CB-442C-89AB-62A2A9E33924}"/>
    <dataValidation type="list" allowBlank="1" showInputMessage="1" showErrorMessage="1" sqref="F1:F306" xr:uid="{611C6CEC-69AB-4B67-9F4C-A9E0AB486471}">
      <formula1>"Resources, Training, BidBrain, Brand Assets, CMO services, ICP &amp; ABM, Agentic Tool, Cashflow finance, Bill Discounting, Growth Advisory, FinOps/Biz Ops, Cyber Security, CMS / CLM, Consulting Agentic Tool"</formula1>
    </dataValidation>
    <dataValidation type="list" allowBlank="1" showInputMessage="1" showErrorMessage="1" sqref="E1:E306" xr:uid="{488BB51A-0E40-438E-A9E6-B11C889C93AE}">
      <formula1>"PreSales, PostSales, Marketing, Finance, Software Dev, Consulting, Cybersecurity"</formula1>
    </dataValidation>
    <dataValidation type="list" allowBlank="1" showInputMessage="1" showErrorMessage="1" sqref="P1 M1 M47:M306 O47:P306" xr:uid="{429DFF83-69E2-4D74-9685-BBB9C157C98B}">
      <formula1>"Praveen Sahai, Arunava Chakrabarty, Dilip Sundaram, Asif Bhat, Tarun Shiroley, Hemant Tathod, Saji Mathew"</formula1>
    </dataValidation>
    <dataValidation type="list" allowBlank="1" showInputMessage="1" showErrorMessage="1" sqref="K1:K1048576" xr:uid="{43ECD0DD-16C4-46AD-9B2A-12FF4599F912}">
      <formula1>"Lead Generation, Lead Qualification, Assign, First Contact, Discovery Meeting, Approach or Demo, Converted, Cancelled,Commercial Proposal, Negotiation, Win, Lost, Cancel, Closed"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A331-D6BA-4D7B-8281-2D899DAC77A0}">
  <dimension ref="A1:M19"/>
  <sheetViews>
    <sheetView workbookViewId="0">
      <selection activeCell="D22" sqref="D22"/>
    </sheetView>
  </sheetViews>
  <sheetFormatPr defaultRowHeight="15"/>
  <cols>
    <col min="1" max="1" width="16.42578125" customWidth="1"/>
    <col min="2" max="2" width="19.28515625" customWidth="1"/>
    <col min="3" max="3" width="19.140625" customWidth="1"/>
    <col min="4" max="4" width="17.85546875" customWidth="1"/>
    <col min="5" max="6" width="18.42578125" customWidth="1"/>
    <col min="7" max="8" width="18.42578125" style="2" customWidth="1"/>
    <col min="9" max="9" width="18.140625" customWidth="1"/>
    <col min="10" max="10" width="17" customWidth="1"/>
    <col min="11" max="11" width="16" customWidth="1"/>
    <col min="12" max="13" width="17.42578125" customWidth="1"/>
  </cols>
  <sheetData>
    <row r="1" spans="1:13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3" t="s">
        <v>214</v>
      </c>
      <c r="H1" s="3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</row>
    <row r="2" spans="1:13">
      <c r="A2" s="1" t="s">
        <v>140</v>
      </c>
      <c r="B2" s="1" t="s">
        <v>221</v>
      </c>
      <c r="C2" s="1" t="s">
        <v>127</v>
      </c>
      <c r="D2" s="26" t="s">
        <v>222</v>
      </c>
      <c r="E2" s="26" t="s">
        <v>222</v>
      </c>
      <c r="F2" s="1" t="s">
        <v>223</v>
      </c>
      <c r="G2" s="3"/>
      <c r="H2" s="3"/>
      <c r="I2" s="27">
        <v>46138</v>
      </c>
      <c r="J2" s="1">
        <v>200000</v>
      </c>
      <c r="K2" s="1">
        <v>50000</v>
      </c>
      <c r="L2" s="1" t="s">
        <v>224</v>
      </c>
      <c r="M2" s="1" t="s">
        <v>225</v>
      </c>
    </row>
    <row r="3" spans="1:13">
      <c r="A3" s="1" t="s">
        <v>226</v>
      </c>
      <c r="B3" s="1" t="s">
        <v>221</v>
      </c>
      <c r="C3" s="1" t="s">
        <v>127</v>
      </c>
      <c r="D3" s="1" t="s">
        <v>227</v>
      </c>
      <c r="E3" s="28">
        <v>45771</v>
      </c>
      <c r="F3" s="1" t="s">
        <v>228</v>
      </c>
      <c r="G3" s="3"/>
      <c r="H3" s="3"/>
      <c r="I3" s="27">
        <v>46382</v>
      </c>
      <c r="J3" s="1">
        <v>1728200</v>
      </c>
      <c r="K3" s="1">
        <v>432050</v>
      </c>
      <c r="L3" s="1" t="s">
        <v>229</v>
      </c>
      <c r="M3" s="1"/>
    </row>
    <row r="4" spans="1:13">
      <c r="A4" s="1" t="s">
        <v>35</v>
      </c>
      <c r="B4" s="1" t="s">
        <v>221</v>
      </c>
      <c r="C4" s="1" t="s">
        <v>230</v>
      </c>
      <c r="D4" s="26" t="s">
        <v>222</v>
      </c>
      <c r="E4" s="26" t="s">
        <v>222</v>
      </c>
      <c r="F4" s="1" t="s">
        <v>223</v>
      </c>
      <c r="G4" s="3"/>
      <c r="H4" s="3"/>
      <c r="I4" s="27">
        <v>46107</v>
      </c>
      <c r="J4" s="1">
        <v>550000</v>
      </c>
      <c r="K4" s="1">
        <v>50000</v>
      </c>
      <c r="L4" s="1" t="s">
        <v>224</v>
      </c>
      <c r="M4" s="1" t="s">
        <v>231</v>
      </c>
    </row>
    <row r="5" spans="1:13">
      <c r="A5" s="1" t="s">
        <v>35</v>
      </c>
      <c r="B5" s="1" t="s">
        <v>221</v>
      </c>
      <c r="C5" s="1" t="s">
        <v>232</v>
      </c>
      <c r="D5" s="26" t="s">
        <v>222</v>
      </c>
      <c r="E5" s="26" t="s">
        <v>222</v>
      </c>
      <c r="F5" s="1" t="s">
        <v>223</v>
      </c>
      <c r="G5" s="3"/>
      <c r="H5" s="3"/>
      <c r="I5" s="27">
        <v>46382</v>
      </c>
      <c r="J5" s="1">
        <v>4615385</v>
      </c>
      <c r="K5" s="1">
        <v>125000</v>
      </c>
      <c r="L5" s="1" t="s">
        <v>224</v>
      </c>
      <c r="M5" s="1" t="s">
        <v>231</v>
      </c>
    </row>
    <row r="6" spans="1:13">
      <c r="A6" s="1" t="s">
        <v>74</v>
      </c>
      <c r="B6" s="1" t="s">
        <v>221</v>
      </c>
      <c r="C6" s="1" t="s">
        <v>233</v>
      </c>
      <c r="D6" s="26" t="s">
        <v>222</v>
      </c>
      <c r="E6" s="26" t="s">
        <v>222</v>
      </c>
      <c r="F6" s="1" t="s">
        <v>223</v>
      </c>
      <c r="G6" s="3"/>
      <c r="H6" s="3"/>
      <c r="I6" s="27">
        <v>46382</v>
      </c>
      <c r="J6" s="1"/>
      <c r="K6" s="1">
        <v>75200</v>
      </c>
      <c r="L6" s="1" t="s">
        <v>224</v>
      </c>
      <c r="M6" s="1" t="s">
        <v>234</v>
      </c>
    </row>
    <row r="7" spans="1:13">
      <c r="A7" s="1" t="s">
        <v>235</v>
      </c>
      <c r="B7" s="1" t="s">
        <v>221</v>
      </c>
      <c r="C7" s="1" t="s">
        <v>127</v>
      </c>
      <c r="D7" s="26" t="s">
        <v>222</v>
      </c>
      <c r="E7" s="26" t="s">
        <v>222</v>
      </c>
      <c r="F7" s="1"/>
      <c r="G7" s="3"/>
      <c r="H7" s="3"/>
      <c r="I7" s="1"/>
      <c r="J7" s="1"/>
      <c r="K7" s="1"/>
      <c r="L7" s="1" t="s">
        <v>224</v>
      </c>
      <c r="M7" s="1" t="s">
        <v>231</v>
      </c>
    </row>
    <row r="8" spans="1:13">
      <c r="A8" s="1" t="s">
        <v>236</v>
      </c>
      <c r="B8" s="1" t="s">
        <v>221</v>
      </c>
      <c r="C8" s="1" t="s">
        <v>237</v>
      </c>
      <c r="D8" s="1" t="s">
        <v>238</v>
      </c>
      <c r="E8" s="28">
        <v>45852</v>
      </c>
      <c r="F8" s="1" t="s">
        <v>228</v>
      </c>
      <c r="G8" s="3">
        <v>45870</v>
      </c>
      <c r="H8" s="3">
        <v>46112</v>
      </c>
      <c r="I8" s="27">
        <v>46260</v>
      </c>
      <c r="J8" s="1">
        <v>17100000</v>
      </c>
      <c r="K8" s="1">
        <v>300000</v>
      </c>
      <c r="L8" s="1" t="s">
        <v>224</v>
      </c>
      <c r="M8" s="1" t="s">
        <v>239</v>
      </c>
    </row>
    <row r="9" spans="1:13">
      <c r="A9" s="1" t="s">
        <v>236</v>
      </c>
      <c r="B9" s="1" t="s">
        <v>221</v>
      </c>
      <c r="C9" s="1" t="s">
        <v>127</v>
      </c>
      <c r="D9" s="1" t="s">
        <v>240</v>
      </c>
      <c r="E9" s="28">
        <v>45874</v>
      </c>
      <c r="F9" s="1" t="s">
        <v>228</v>
      </c>
      <c r="G9" s="3">
        <v>45870</v>
      </c>
      <c r="H9" s="3">
        <v>45961</v>
      </c>
      <c r="I9" s="27">
        <v>46321</v>
      </c>
      <c r="J9" s="1">
        <v>300000</v>
      </c>
      <c r="K9" s="1">
        <v>100000</v>
      </c>
      <c r="L9" s="1" t="s">
        <v>224</v>
      </c>
      <c r="M9" s="1" t="s">
        <v>239</v>
      </c>
    </row>
    <row r="10" spans="1:13">
      <c r="A10" s="1" t="s">
        <v>236</v>
      </c>
      <c r="B10" s="1" t="s">
        <v>221</v>
      </c>
      <c r="C10" s="1" t="s">
        <v>127</v>
      </c>
      <c r="D10" s="1" t="s">
        <v>241</v>
      </c>
      <c r="E10" s="28">
        <v>46036</v>
      </c>
      <c r="F10" s="1" t="s">
        <v>228</v>
      </c>
      <c r="G10" s="3">
        <v>46037</v>
      </c>
      <c r="H10" s="3">
        <v>46112</v>
      </c>
      <c r="I10" s="27">
        <v>46107</v>
      </c>
      <c r="J10" s="1">
        <v>375000</v>
      </c>
      <c r="K10" s="1">
        <v>125000</v>
      </c>
      <c r="L10" s="1" t="s">
        <v>224</v>
      </c>
      <c r="M10" s="1" t="s">
        <v>239</v>
      </c>
    </row>
    <row r="11" spans="1:13">
      <c r="A11" s="1" t="s">
        <v>236</v>
      </c>
      <c r="B11" s="1" t="s">
        <v>221</v>
      </c>
      <c r="C11" s="1" t="s">
        <v>44</v>
      </c>
      <c r="D11" s="1" t="s">
        <v>242</v>
      </c>
      <c r="E11" s="28">
        <v>45852</v>
      </c>
      <c r="F11" s="1" t="s">
        <v>228</v>
      </c>
      <c r="G11" s="3">
        <v>45870</v>
      </c>
      <c r="H11" s="3"/>
      <c r="I11" s="27">
        <v>46321</v>
      </c>
      <c r="J11" s="1">
        <v>180000</v>
      </c>
      <c r="K11" s="1">
        <v>60000</v>
      </c>
      <c r="L11" s="1" t="s">
        <v>224</v>
      </c>
      <c r="M11" s="1" t="s">
        <v>239</v>
      </c>
    </row>
    <row r="12" spans="1:13">
      <c r="A12" s="1" t="s">
        <v>236</v>
      </c>
      <c r="B12" s="1" t="s">
        <v>221</v>
      </c>
      <c r="C12" s="1" t="s">
        <v>44</v>
      </c>
      <c r="D12" s="1" t="s">
        <v>243</v>
      </c>
      <c r="E12" s="1" t="s">
        <v>244</v>
      </c>
      <c r="F12" s="1" t="s">
        <v>228</v>
      </c>
      <c r="G12" s="3">
        <v>45953</v>
      </c>
      <c r="H12" s="3">
        <v>46044</v>
      </c>
      <c r="I12" s="27">
        <v>46048</v>
      </c>
      <c r="J12" s="1">
        <v>100000</v>
      </c>
      <c r="K12" s="1">
        <v>100000</v>
      </c>
      <c r="L12" s="1" t="s">
        <v>245</v>
      </c>
      <c r="M12" s="1" t="s">
        <v>246</v>
      </c>
    </row>
    <row r="13" spans="1:13">
      <c r="A13" s="1" t="s">
        <v>247</v>
      </c>
      <c r="B13" s="1" t="s">
        <v>221</v>
      </c>
      <c r="C13" s="1" t="s">
        <v>233</v>
      </c>
      <c r="D13" s="1" t="s">
        <v>248</v>
      </c>
      <c r="E13" s="28">
        <v>45895</v>
      </c>
      <c r="F13" s="1" t="s">
        <v>228</v>
      </c>
      <c r="G13" s="3"/>
      <c r="H13" s="3"/>
      <c r="I13" s="1"/>
      <c r="J13" s="1">
        <v>300000</v>
      </c>
      <c r="K13" s="1">
        <v>100000</v>
      </c>
      <c r="L13" s="1" t="s">
        <v>249</v>
      </c>
      <c r="M13" s="1" t="s">
        <v>225</v>
      </c>
    </row>
    <row r="14" spans="1:13">
      <c r="A14" s="1" t="s">
        <v>250</v>
      </c>
      <c r="B14" s="1" t="s">
        <v>221</v>
      </c>
      <c r="C14" s="1" t="s">
        <v>237</v>
      </c>
      <c r="D14" s="1" t="s">
        <v>251</v>
      </c>
      <c r="E14" s="28">
        <v>45930</v>
      </c>
      <c r="F14" s="1" t="s">
        <v>228</v>
      </c>
      <c r="G14" s="3">
        <v>45931</v>
      </c>
      <c r="H14" s="3">
        <v>46022</v>
      </c>
      <c r="I14" s="27">
        <v>46382</v>
      </c>
      <c r="J14" s="1">
        <v>600000</v>
      </c>
      <c r="K14" s="1">
        <v>200000</v>
      </c>
      <c r="L14" s="1" t="s">
        <v>224</v>
      </c>
      <c r="M14" s="1" t="s">
        <v>239</v>
      </c>
    </row>
    <row r="15" spans="1:13">
      <c r="A15" s="1" t="s">
        <v>252</v>
      </c>
      <c r="B15" s="1" t="s">
        <v>221</v>
      </c>
      <c r="C15" s="1" t="s">
        <v>253</v>
      </c>
      <c r="D15" s="26" t="s">
        <v>222</v>
      </c>
      <c r="E15" s="1"/>
      <c r="F15" s="1" t="s">
        <v>228</v>
      </c>
      <c r="G15" s="3"/>
      <c r="H15" s="3"/>
      <c r="I15" s="27">
        <v>46291</v>
      </c>
      <c r="J15" s="1">
        <v>10200000</v>
      </c>
      <c r="K15" s="1">
        <v>850000</v>
      </c>
      <c r="L15" s="1" t="s">
        <v>224</v>
      </c>
      <c r="M15" s="1" t="s">
        <v>239</v>
      </c>
    </row>
    <row r="16" spans="1:13">
      <c r="A16" s="1" t="s">
        <v>140</v>
      </c>
      <c r="B16" s="1" t="s">
        <v>221</v>
      </c>
      <c r="C16" s="1" t="s">
        <v>44</v>
      </c>
      <c r="D16" s="1" t="s">
        <v>254</v>
      </c>
      <c r="E16" s="28">
        <v>45964</v>
      </c>
      <c r="F16" s="1" t="s">
        <v>228</v>
      </c>
      <c r="G16" s="3">
        <v>45973</v>
      </c>
      <c r="H16" s="3">
        <v>46081</v>
      </c>
      <c r="I16" s="27">
        <v>46079</v>
      </c>
      <c r="J16" s="1">
        <v>177000</v>
      </c>
      <c r="K16" s="1">
        <v>53100</v>
      </c>
      <c r="L16" s="1" t="s">
        <v>224</v>
      </c>
      <c r="M16" s="1" t="s">
        <v>231</v>
      </c>
    </row>
    <row r="17" spans="1:13">
      <c r="A17" s="1" t="s">
        <v>44</v>
      </c>
      <c r="B17" s="1" t="s">
        <v>255</v>
      </c>
      <c r="C17" s="1" t="s">
        <v>44</v>
      </c>
      <c r="D17" s="26" t="s">
        <v>222</v>
      </c>
      <c r="E17" s="26" t="s">
        <v>222</v>
      </c>
      <c r="F17" s="1" t="s">
        <v>223</v>
      </c>
      <c r="G17" s="3"/>
      <c r="H17" s="3"/>
      <c r="I17" s="27">
        <v>46352</v>
      </c>
      <c r="J17" s="1"/>
      <c r="K17" s="1"/>
      <c r="L17" s="1" t="s">
        <v>224</v>
      </c>
      <c r="M17" s="1" t="s">
        <v>225</v>
      </c>
    </row>
    <row r="18" spans="1:13">
      <c r="A18" s="1" t="s">
        <v>38</v>
      </c>
      <c r="B18" s="1" t="s">
        <v>255</v>
      </c>
      <c r="C18" s="1" t="s">
        <v>253</v>
      </c>
      <c r="D18" s="26" t="s">
        <v>222</v>
      </c>
      <c r="E18" s="26" t="s">
        <v>222</v>
      </c>
      <c r="F18" s="1" t="s">
        <v>223</v>
      </c>
      <c r="G18" s="3"/>
      <c r="H18" s="3"/>
      <c r="I18" s="27">
        <v>46352</v>
      </c>
      <c r="J18" s="1">
        <v>5100000</v>
      </c>
      <c r="K18" s="1">
        <v>425000</v>
      </c>
      <c r="L18" s="1" t="s">
        <v>224</v>
      </c>
      <c r="M18" s="1" t="s">
        <v>256</v>
      </c>
    </row>
    <row r="19" spans="1:13">
      <c r="A19" s="1" t="s">
        <v>257</v>
      </c>
      <c r="B19" s="1" t="s">
        <v>255</v>
      </c>
      <c r="C19" s="1" t="s">
        <v>127</v>
      </c>
      <c r="D19" s="26" t="s">
        <v>222</v>
      </c>
      <c r="E19" s="26" t="s">
        <v>222</v>
      </c>
      <c r="F19" s="1"/>
      <c r="G19" s="3"/>
      <c r="H19" s="3"/>
      <c r="I19" s="1"/>
      <c r="J19" s="1">
        <v>64836</v>
      </c>
      <c r="K19" s="1">
        <v>64836</v>
      </c>
      <c r="L19" s="1" t="s">
        <v>245</v>
      </c>
      <c r="M19" s="1" t="s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79001-C75F-4660-9AEC-AB92030D8EAC}">
  <dimension ref="A1:N261"/>
  <sheetViews>
    <sheetView workbookViewId="0">
      <selection activeCell="Q10" sqref="Q10"/>
    </sheetView>
  </sheetViews>
  <sheetFormatPr defaultRowHeight="15"/>
  <cols>
    <col min="14" max="14" width="37" customWidth="1"/>
  </cols>
  <sheetData>
    <row r="1" spans="1:14">
      <c r="A1" s="9" t="s">
        <v>258</v>
      </c>
      <c r="B1" s="9" t="s">
        <v>259</v>
      </c>
      <c r="C1" s="9" t="s">
        <v>260</v>
      </c>
      <c r="D1" s="9" t="s">
        <v>261</v>
      </c>
      <c r="E1" s="9" t="s">
        <v>16</v>
      </c>
      <c r="F1" s="9" t="s">
        <v>262</v>
      </c>
      <c r="G1" s="9" t="s">
        <v>263</v>
      </c>
      <c r="H1" s="10" t="s">
        <v>264</v>
      </c>
      <c r="I1" s="9" t="s">
        <v>265</v>
      </c>
      <c r="J1" s="9" t="s">
        <v>266</v>
      </c>
      <c r="K1" s="9" t="s">
        <v>267</v>
      </c>
      <c r="L1" s="9" t="s">
        <v>268</v>
      </c>
      <c r="M1" s="9" t="s">
        <v>269</v>
      </c>
      <c r="N1" s="11" t="s">
        <v>270</v>
      </c>
    </row>
    <row r="2" spans="1:14">
      <c r="A2">
        <f>IF(B2&lt;&gt;"",MAX($A$1:A1)+1,"")</f>
        <v>1</v>
      </c>
      <c r="B2" s="1" t="s">
        <v>96</v>
      </c>
      <c r="C2" s="1" t="s">
        <v>97</v>
      </c>
      <c r="D2" s="1"/>
      <c r="E2" s="1"/>
      <c r="F2" s="1" t="s">
        <v>271</v>
      </c>
      <c r="H2" s="12">
        <v>919819555747</v>
      </c>
      <c r="J2" s="1"/>
      <c r="K2" s="1"/>
      <c r="N2" s="3">
        <v>45891</v>
      </c>
    </row>
    <row r="3" spans="1:14">
      <c r="A3">
        <f>IF(B3&lt;&gt;"",MAX($A$1:A2)+1,"")</f>
        <v>2</v>
      </c>
      <c r="B3" s="1" t="s">
        <v>99</v>
      </c>
      <c r="C3" s="1" t="s">
        <v>100</v>
      </c>
      <c r="D3" s="1" t="s">
        <v>272</v>
      </c>
      <c r="E3" s="1" t="s">
        <v>273</v>
      </c>
      <c r="F3" s="1" t="s">
        <v>274</v>
      </c>
      <c r="H3" s="12">
        <v>919986047767</v>
      </c>
      <c r="J3" s="1" t="s">
        <v>275</v>
      </c>
      <c r="K3" s="1" t="s">
        <v>276</v>
      </c>
      <c r="L3" t="s">
        <v>221</v>
      </c>
      <c r="N3" s="3">
        <v>45856</v>
      </c>
    </row>
    <row r="4" spans="1:14">
      <c r="A4">
        <f>IF(B4&lt;&gt;"",MAX($A$1:A3)+1,"")</f>
        <v>3</v>
      </c>
      <c r="B4" s="1" t="s">
        <v>55</v>
      </c>
      <c r="C4" s="1" t="s">
        <v>56</v>
      </c>
      <c r="D4" s="1" t="s">
        <v>277</v>
      </c>
      <c r="E4" s="1" t="s">
        <v>278</v>
      </c>
      <c r="F4" s="1" t="s">
        <v>279</v>
      </c>
      <c r="H4" s="12"/>
      <c r="J4" s="1"/>
      <c r="K4" s="1"/>
      <c r="N4" s="3">
        <v>45807</v>
      </c>
    </row>
    <row r="5" spans="1:14">
      <c r="A5">
        <f>IF(B5&lt;&gt;"",MAX($A$1:A4)+1,"")</f>
        <v>4</v>
      </c>
      <c r="B5" s="1" t="s">
        <v>20</v>
      </c>
      <c r="C5" s="1" t="s">
        <v>21</v>
      </c>
      <c r="D5" s="1"/>
      <c r="E5" s="1"/>
      <c r="F5" s="1" t="s">
        <v>280</v>
      </c>
      <c r="H5" s="12"/>
      <c r="J5" s="1"/>
      <c r="K5" s="1"/>
      <c r="N5" s="3">
        <v>45891</v>
      </c>
    </row>
    <row r="6" spans="1:14">
      <c r="A6">
        <f>IF(B6&lt;&gt;"",MAX($A$1:A5)+1,"")</f>
        <v>5</v>
      </c>
      <c r="B6" s="1" t="s">
        <v>124</v>
      </c>
      <c r="C6" s="1" t="s">
        <v>281</v>
      </c>
      <c r="D6" s="1" t="s">
        <v>282</v>
      </c>
      <c r="E6" s="1" t="s">
        <v>283</v>
      </c>
      <c r="F6" s="1" t="s">
        <v>284</v>
      </c>
      <c r="H6" s="12">
        <v>919972933993</v>
      </c>
      <c r="J6" s="1"/>
      <c r="K6" s="1"/>
      <c r="N6" s="3">
        <v>45807</v>
      </c>
    </row>
    <row r="7" spans="1:14">
      <c r="A7">
        <f>IF(B7&lt;&gt;"",MAX($A$1:A6)+1,"")</f>
        <v>6</v>
      </c>
      <c r="B7" s="1" t="s">
        <v>124</v>
      </c>
      <c r="C7" s="1" t="s">
        <v>285</v>
      </c>
      <c r="D7" s="1" t="s">
        <v>286</v>
      </c>
      <c r="E7" s="1" t="s">
        <v>287</v>
      </c>
      <c r="F7" s="1" t="s">
        <v>288</v>
      </c>
      <c r="H7" s="12">
        <v>919845899557</v>
      </c>
      <c r="J7" s="1"/>
      <c r="K7" s="1"/>
      <c r="N7" s="3">
        <v>45807</v>
      </c>
    </row>
    <row r="8" spans="1:14">
      <c r="A8">
        <f>IF(B8&lt;&gt;"",MAX($A$1:A7)+1,"")</f>
        <v>7</v>
      </c>
      <c r="B8" s="1" t="s">
        <v>124</v>
      </c>
      <c r="C8" s="1" t="s">
        <v>289</v>
      </c>
      <c r="D8" s="1" t="s">
        <v>290</v>
      </c>
      <c r="E8" s="1" t="s">
        <v>283</v>
      </c>
      <c r="F8" s="1" t="s">
        <v>291</v>
      </c>
      <c r="H8" s="12">
        <v>919999591233</v>
      </c>
      <c r="J8" s="1"/>
      <c r="K8" s="1"/>
      <c r="N8" s="3">
        <v>45807</v>
      </c>
    </row>
    <row r="9" spans="1:14">
      <c r="A9">
        <f>IF(B9&lt;&gt;"",MAX($A$1:A8)+1,"")</f>
        <v>8</v>
      </c>
      <c r="B9" s="1" t="s">
        <v>124</v>
      </c>
      <c r="C9" s="1" t="s">
        <v>125</v>
      </c>
      <c r="D9" s="1" t="s">
        <v>292</v>
      </c>
      <c r="E9" s="1" t="s">
        <v>273</v>
      </c>
      <c r="F9" s="1" t="s">
        <v>293</v>
      </c>
      <c r="H9" s="12">
        <v>919880261300</v>
      </c>
      <c r="J9" s="1" t="s">
        <v>275</v>
      </c>
      <c r="K9" s="1" t="s">
        <v>276</v>
      </c>
      <c r="L9" t="s">
        <v>221</v>
      </c>
      <c r="N9" s="3">
        <v>45807</v>
      </c>
    </row>
    <row r="10" spans="1:14">
      <c r="A10">
        <f>IF(B10&lt;&gt;"",MAX($A$1:A9)+1,"")</f>
        <v>9</v>
      </c>
      <c r="B10" s="1" t="s">
        <v>124</v>
      </c>
      <c r="C10" s="1" t="s">
        <v>294</v>
      </c>
      <c r="D10" s="1" t="s">
        <v>295</v>
      </c>
      <c r="E10" s="1" t="s">
        <v>296</v>
      </c>
      <c r="F10" s="1" t="s">
        <v>297</v>
      </c>
      <c r="H10" s="12">
        <v>919654380000</v>
      </c>
      <c r="J10" s="1"/>
      <c r="K10" s="1"/>
      <c r="N10" s="3">
        <v>45807</v>
      </c>
    </row>
    <row r="11" spans="1:14">
      <c r="A11">
        <f>IF(B11&lt;&gt;"",MAX($A$1:A10)+1,"")</f>
        <v>10</v>
      </c>
      <c r="B11" s="1" t="s">
        <v>92</v>
      </c>
      <c r="C11" s="1" t="s">
        <v>93</v>
      </c>
      <c r="D11" s="1"/>
      <c r="E11" s="1"/>
      <c r="F11" s="1" t="s">
        <v>298</v>
      </c>
      <c r="H11" s="12"/>
      <c r="J11" s="1"/>
      <c r="K11" s="1"/>
      <c r="N11" s="3">
        <v>45891</v>
      </c>
    </row>
    <row r="12" spans="1:14">
      <c r="A12">
        <f>IF(B12&lt;&gt;"",MAX($A$1:A11)+1,"")</f>
        <v>11</v>
      </c>
      <c r="B12" s="1" t="s">
        <v>135</v>
      </c>
      <c r="C12" s="1" t="s">
        <v>136</v>
      </c>
      <c r="D12" s="1"/>
      <c r="E12" s="1"/>
      <c r="F12" s="1" t="s">
        <v>299</v>
      </c>
      <c r="H12" s="12">
        <v>6596365991</v>
      </c>
      <c r="J12" s="1"/>
      <c r="K12" s="1"/>
      <c r="N12" s="3">
        <v>45891</v>
      </c>
    </row>
    <row r="13" spans="1:14">
      <c r="A13">
        <f>IF(B13&lt;&gt;"",MAX($A$1:A12)+1,"")</f>
        <v>12</v>
      </c>
      <c r="B13" s="1" t="s">
        <v>106</v>
      </c>
      <c r="C13" s="1" t="s">
        <v>300</v>
      </c>
      <c r="D13" s="1"/>
      <c r="E13" s="1"/>
      <c r="F13" s="1" t="s">
        <v>301</v>
      </c>
      <c r="H13" s="12">
        <v>919844244209</v>
      </c>
      <c r="J13" s="1"/>
      <c r="K13" s="1"/>
      <c r="N13" s="3">
        <v>45891</v>
      </c>
    </row>
    <row r="14" spans="1:14">
      <c r="A14">
        <f>IF(B14&lt;&gt;"",MAX($A$1:A13)+1,"")</f>
        <v>13</v>
      </c>
      <c r="B14" s="1" t="s">
        <v>29</v>
      </c>
      <c r="C14" s="1" t="s">
        <v>302</v>
      </c>
      <c r="D14" s="1" t="s">
        <v>303</v>
      </c>
      <c r="E14" s="1" t="s">
        <v>41</v>
      </c>
      <c r="F14" s="1" t="s">
        <v>304</v>
      </c>
      <c r="H14" s="12">
        <v>919619196448</v>
      </c>
      <c r="J14" s="1" t="s">
        <v>305</v>
      </c>
      <c r="K14" s="1" t="s">
        <v>306</v>
      </c>
      <c r="L14" t="s">
        <v>221</v>
      </c>
      <c r="N14" s="3">
        <v>45807</v>
      </c>
    </row>
    <row r="15" spans="1:14">
      <c r="A15">
        <f>IF(B15&lt;&gt;"",MAX($A$1:A14)+1,"")</f>
        <v>14</v>
      </c>
      <c r="B15" s="1" t="s">
        <v>29</v>
      </c>
      <c r="C15" s="1" t="s">
        <v>307</v>
      </c>
      <c r="D15" s="1" t="s">
        <v>303</v>
      </c>
      <c r="E15" s="1" t="s">
        <v>41</v>
      </c>
      <c r="F15" s="1" t="s">
        <v>308</v>
      </c>
      <c r="H15" s="12"/>
      <c r="J15" s="1" t="s">
        <v>305</v>
      </c>
      <c r="K15" s="1" t="s">
        <v>306</v>
      </c>
      <c r="L15" t="s">
        <v>221</v>
      </c>
      <c r="N15" s="3">
        <v>45807</v>
      </c>
    </row>
    <row r="16" spans="1:14">
      <c r="A16">
        <f>IF(B16&lt;&gt;"",MAX($A$1:A15)+1,"")</f>
        <v>15</v>
      </c>
      <c r="B16" s="1" t="s">
        <v>29</v>
      </c>
      <c r="C16" s="1" t="s">
        <v>309</v>
      </c>
      <c r="D16" s="1" t="s">
        <v>310</v>
      </c>
      <c r="E16" s="1" t="s">
        <v>273</v>
      </c>
      <c r="F16" s="1" t="s">
        <v>311</v>
      </c>
      <c r="H16" s="12">
        <v>919820011282</v>
      </c>
      <c r="J16" s="1" t="s">
        <v>305</v>
      </c>
      <c r="K16" s="1" t="s">
        <v>306</v>
      </c>
      <c r="L16" t="s">
        <v>221</v>
      </c>
      <c r="N16" s="3">
        <v>45807</v>
      </c>
    </row>
    <row r="17" spans="1:14">
      <c r="A17">
        <f>IF(B17&lt;&gt;"",MAX($A$1:A16)+1,"")</f>
        <v>16</v>
      </c>
      <c r="B17" s="1" t="s">
        <v>29</v>
      </c>
      <c r="C17" s="1" t="s">
        <v>130</v>
      </c>
      <c r="D17" s="1" t="s">
        <v>272</v>
      </c>
      <c r="E17" s="1" t="s">
        <v>273</v>
      </c>
      <c r="F17" s="1" t="s">
        <v>312</v>
      </c>
      <c r="H17" s="12"/>
      <c r="J17" s="1" t="s">
        <v>305</v>
      </c>
      <c r="K17" s="1" t="s">
        <v>306</v>
      </c>
      <c r="L17" t="s">
        <v>221</v>
      </c>
      <c r="N17" s="3">
        <v>45807</v>
      </c>
    </row>
    <row r="18" spans="1:14">
      <c r="A18">
        <f>IF(B18&lt;&gt;"",MAX($A$1:A17)+1,"")</f>
        <v>17</v>
      </c>
      <c r="B18" s="1" t="s">
        <v>29</v>
      </c>
      <c r="C18" s="1" t="s">
        <v>60</v>
      </c>
      <c r="D18" s="1" t="s">
        <v>313</v>
      </c>
      <c r="E18" s="1" t="s">
        <v>41</v>
      </c>
      <c r="F18" s="1" t="s">
        <v>314</v>
      </c>
      <c r="H18" s="12">
        <v>917506947255</v>
      </c>
      <c r="J18" s="1" t="s">
        <v>305</v>
      </c>
      <c r="K18" s="1" t="s">
        <v>306</v>
      </c>
      <c r="L18" t="s">
        <v>221</v>
      </c>
      <c r="N18" s="3">
        <v>45807</v>
      </c>
    </row>
    <row r="19" spans="1:14">
      <c r="A19">
        <f>IF(B19&lt;&gt;"",MAX($A$1:A18)+1,"")</f>
        <v>18</v>
      </c>
      <c r="B19" s="1" t="s">
        <v>29</v>
      </c>
      <c r="C19" s="1" t="s">
        <v>315</v>
      </c>
      <c r="D19" s="1" t="s">
        <v>316</v>
      </c>
      <c r="E19" s="1" t="s">
        <v>273</v>
      </c>
      <c r="F19" s="1" t="s">
        <v>317</v>
      </c>
      <c r="H19" s="12">
        <v>919821014882</v>
      </c>
      <c r="J19" s="1" t="s">
        <v>305</v>
      </c>
      <c r="K19" s="1" t="s">
        <v>306</v>
      </c>
      <c r="L19" t="s">
        <v>221</v>
      </c>
      <c r="N19" s="3">
        <v>45807</v>
      </c>
    </row>
    <row r="20" spans="1:14">
      <c r="A20">
        <f>IF(B20&lt;&gt;"",MAX($A$1:A19)+1,"")</f>
        <v>19</v>
      </c>
      <c r="B20" s="1" t="s">
        <v>85</v>
      </c>
      <c r="C20" s="1" t="s">
        <v>86</v>
      </c>
      <c r="D20" s="1" t="s">
        <v>318</v>
      </c>
      <c r="E20" s="1" t="s">
        <v>273</v>
      </c>
      <c r="F20" s="1" t="s">
        <v>319</v>
      </c>
      <c r="H20" s="12">
        <v>917829578999</v>
      </c>
      <c r="J20" s="1" t="s">
        <v>275</v>
      </c>
      <c r="K20" s="1" t="s">
        <v>276</v>
      </c>
      <c r="L20" t="s">
        <v>221</v>
      </c>
      <c r="N20" s="3">
        <v>45807</v>
      </c>
    </row>
    <row r="21" spans="1:14">
      <c r="A21">
        <f>IF(B21&lt;&gt;"",MAX($A$1:A20)+1,"")</f>
        <v>20</v>
      </c>
      <c r="B21" s="1" t="s">
        <v>141</v>
      </c>
      <c r="C21" s="1" t="s">
        <v>142</v>
      </c>
      <c r="D21" s="1" t="s">
        <v>320</v>
      </c>
      <c r="E21" s="1" t="s">
        <v>273</v>
      </c>
      <c r="F21" s="1" t="s">
        <v>321</v>
      </c>
      <c r="H21" s="12">
        <v>919819409393</v>
      </c>
      <c r="J21" s="1" t="s">
        <v>305</v>
      </c>
      <c r="K21" s="1" t="s">
        <v>306</v>
      </c>
      <c r="L21" t="s">
        <v>221</v>
      </c>
      <c r="N21" s="3">
        <v>45807</v>
      </c>
    </row>
    <row r="22" spans="1:14">
      <c r="A22">
        <f>IF(B22&lt;&gt;"",MAX($A$1:A21)+1,"")</f>
        <v>21</v>
      </c>
      <c r="B22" s="1" t="s">
        <v>141</v>
      </c>
      <c r="C22" s="1" t="s">
        <v>322</v>
      </c>
      <c r="D22" s="1" t="s">
        <v>323</v>
      </c>
      <c r="E22" s="1" t="s">
        <v>273</v>
      </c>
      <c r="F22" s="1" t="s">
        <v>324</v>
      </c>
      <c r="H22" s="12"/>
      <c r="J22" s="1" t="s">
        <v>305</v>
      </c>
      <c r="K22" s="1" t="s">
        <v>306</v>
      </c>
      <c r="L22" t="s">
        <v>221</v>
      </c>
      <c r="N22" s="3">
        <v>45807</v>
      </c>
    </row>
    <row r="23" spans="1:14">
      <c r="A23">
        <f>IF(B23&lt;&gt;"",MAX($A$1:A22)+1,"")</f>
        <v>22</v>
      </c>
      <c r="B23" s="1" t="s">
        <v>141</v>
      </c>
      <c r="C23" s="1" t="s">
        <v>152</v>
      </c>
      <c r="D23" s="1" t="s">
        <v>325</v>
      </c>
      <c r="E23" s="1" t="s">
        <v>273</v>
      </c>
      <c r="F23" s="1" t="s">
        <v>326</v>
      </c>
      <c r="H23" s="12"/>
      <c r="J23" s="1" t="s">
        <v>305</v>
      </c>
      <c r="K23" s="1" t="s">
        <v>306</v>
      </c>
      <c r="L23" t="s">
        <v>221</v>
      </c>
      <c r="N23" s="3">
        <v>45807</v>
      </c>
    </row>
    <row r="24" spans="1:14">
      <c r="A24">
        <f>IF(B24&lt;&gt;"",MAX($A$1:A23)+1,"")</f>
        <v>23</v>
      </c>
      <c r="B24" s="1" t="s">
        <v>39</v>
      </c>
      <c r="C24" s="1" t="s">
        <v>40</v>
      </c>
      <c r="D24" s="1" t="s">
        <v>327</v>
      </c>
      <c r="E24" s="1" t="s">
        <v>41</v>
      </c>
      <c r="F24" s="1" t="s">
        <v>328</v>
      </c>
      <c r="H24" s="12">
        <v>919620231986</v>
      </c>
      <c r="J24" s="1" t="s">
        <v>275</v>
      </c>
      <c r="K24" s="1" t="s">
        <v>276</v>
      </c>
      <c r="L24" t="s">
        <v>221</v>
      </c>
      <c r="N24" s="3">
        <v>45807</v>
      </c>
    </row>
    <row r="25" spans="1:14">
      <c r="A25">
        <f>IF(B25&lt;&gt;"",MAX($A$1:A24)+1,"")</f>
        <v>24</v>
      </c>
      <c r="B25" s="1" t="s">
        <v>39</v>
      </c>
      <c r="C25" s="1" t="s">
        <v>112</v>
      </c>
      <c r="D25" s="1" t="s">
        <v>329</v>
      </c>
      <c r="E25" s="1" t="s">
        <v>41</v>
      </c>
      <c r="F25" s="1" t="s">
        <v>330</v>
      </c>
      <c r="H25" s="12">
        <v>919818882954</v>
      </c>
      <c r="J25" s="1" t="s">
        <v>331</v>
      </c>
      <c r="K25" s="1"/>
      <c r="N25" s="3">
        <v>45807</v>
      </c>
    </row>
    <row r="26" spans="1:14">
      <c r="A26">
        <f>IF(B26&lt;&gt;"",MAX($A$1:A25)+1,"")</f>
        <v>25</v>
      </c>
      <c r="B26" s="1" t="s">
        <v>39</v>
      </c>
      <c r="C26" s="1" t="s">
        <v>332</v>
      </c>
      <c r="D26" s="1" t="s">
        <v>333</v>
      </c>
      <c r="E26" s="1" t="s">
        <v>273</v>
      </c>
      <c r="F26" s="1" t="s">
        <v>334</v>
      </c>
      <c r="H26" s="12"/>
      <c r="J26" s="1" t="s">
        <v>275</v>
      </c>
      <c r="K26" s="1" t="s">
        <v>276</v>
      </c>
      <c r="L26" t="s">
        <v>221</v>
      </c>
      <c r="N26" s="3">
        <v>45807</v>
      </c>
    </row>
    <row r="27" spans="1:14">
      <c r="A27">
        <f>IF(B27&lt;&gt;"",MAX($A$1:A26)+1,"")</f>
        <v>26</v>
      </c>
      <c r="B27" s="1" t="s">
        <v>39</v>
      </c>
      <c r="C27" s="1" t="s">
        <v>335</v>
      </c>
      <c r="D27" s="1" t="s">
        <v>336</v>
      </c>
      <c r="E27" s="1" t="s">
        <v>273</v>
      </c>
      <c r="F27" s="1" t="s">
        <v>337</v>
      </c>
      <c r="H27" s="12">
        <v>919820909891</v>
      </c>
      <c r="J27" s="1"/>
      <c r="K27" s="1"/>
      <c r="N27" s="3">
        <v>45807</v>
      </c>
    </row>
    <row r="28" spans="1:14">
      <c r="A28">
        <f>IF(B28&lt;&gt;"",MAX($A$1:A27)+1,"")</f>
        <v>27</v>
      </c>
      <c r="B28" s="1" t="s">
        <v>39</v>
      </c>
      <c r="C28" s="1" t="s">
        <v>115</v>
      </c>
      <c r="D28" s="1"/>
      <c r="E28" s="1"/>
      <c r="F28" s="1" t="s">
        <v>338</v>
      </c>
      <c r="H28" s="12">
        <v>919620321121</v>
      </c>
      <c r="J28" s="1"/>
      <c r="K28" s="1"/>
      <c r="N28" s="3">
        <v>45901</v>
      </c>
    </row>
    <row r="29" spans="1:14">
      <c r="A29">
        <f>IF(B29&lt;&gt;"",MAX($A$1:A28)+1,"")</f>
        <v>28</v>
      </c>
      <c r="B29" s="1" t="s">
        <v>156</v>
      </c>
      <c r="C29" s="1" t="s">
        <v>157</v>
      </c>
      <c r="D29" s="1" t="s">
        <v>339</v>
      </c>
      <c r="E29" s="1" t="s">
        <v>273</v>
      </c>
      <c r="F29" s="1"/>
      <c r="H29" s="12"/>
      <c r="J29" s="1"/>
      <c r="K29" s="1"/>
      <c r="N29" s="3">
        <v>45890</v>
      </c>
    </row>
    <row r="30" spans="1:14">
      <c r="A30">
        <f>IF(B30&lt;&gt;"",MAX($A$1:A29)+1,"")</f>
        <v>29</v>
      </c>
      <c r="B30" s="1" t="s">
        <v>340</v>
      </c>
      <c r="C30" s="1" t="s">
        <v>341</v>
      </c>
      <c r="D30" s="1" t="s">
        <v>342</v>
      </c>
      <c r="E30" s="1" t="s">
        <v>273</v>
      </c>
      <c r="F30" s="1" t="s">
        <v>343</v>
      </c>
      <c r="H30" s="12">
        <v>91990103000</v>
      </c>
      <c r="J30" s="1" t="s">
        <v>275</v>
      </c>
      <c r="K30" s="1" t="s">
        <v>276</v>
      </c>
      <c r="L30" t="s">
        <v>221</v>
      </c>
      <c r="N30" s="3">
        <v>45807</v>
      </c>
    </row>
    <row r="31" spans="1:14">
      <c r="A31">
        <f>IF(B31&lt;&gt;"",MAX($A$1:A30)+1,"")</f>
        <v>30</v>
      </c>
      <c r="B31" s="1" t="s">
        <v>340</v>
      </c>
      <c r="C31" s="1" t="s">
        <v>344</v>
      </c>
      <c r="D31" s="1" t="s">
        <v>342</v>
      </c>
      <c r="E31" s="1" t="s">
        <v>273</v>
      </c>
      <c r="F31" s="1" t="s">
        <v>345</v>
      </c>
      <c r="H31" s="12">
        <v>919611199944</v>
      </c>
      <c r="J31" s="1" t="s">
        <v>275</v>
      </c>
      <c r="K31" s="1" t="s">
        <v>276</v>
      </c>
      <c r="L31" t="s">
        <v>221</v>
      </c>
      <c r="N31" s="3">
        <v>45807</v>
      </c>
    </row>
    <row r="32" spans="1:14">
      <c r="A32">
        <f>IF(B32&lt;&gt;"",MAX($A$1:A31)+1,"")</f>
        <v>31</v>
      </c>
      <c r="B32" s="1" t="s">
        <v>166</v>
      </c>
      <c r="C32" s="1" t="s">
        <v>167</v>
      </c>
      <c r="D32" s="1" t="s">
        <v>342</v>
      </c>
      <c r="E32" s="1"/>
      <c r="F32" s="1" t="s">
        <v>346</v>
      </c>
      <c r="H32" s="12"/>
      <c r="J32" s="1" t="s">
        <v>305</v>
      </c>
      <c r="K32" s="1" t="s">
        <v>306</v>
      </c>
      <c r="L32" t="s">
        <v>221</v>
      </c>
      <c r="N32" s="3">
        <v>45958</v>
      </c>
    </row>
    <row r="33" spans="1:14">
      <c r="A33">
        <f>IF(B33&lt;&gt;"",MAX($A$1:A32)+1,"")</f>
        <v>32</v>
      </c>
      <c r="B33" s="1" t="s">
        <v>166</v>
      </c>
      <c r="C33" s="1" t="s">
        <v>179</v>
      </c>
      <c r="D33" s="1" t="s">
        <v>347</v>
      </c>
      <c r="E33" s="1"/>
      <c r="F33" s="1" t="s">
        <v>348</v>
      </c>
      <c r="H33" s="12">
        <v>9820099409</v>
      </c>
      <c r="J33" s="1" t="s">
        <v>305</v>
      </c>
      <c r="K33" s="1" t="s">
        <v>306</v>
      </c>
      <c r="L33" t="s">
        <v>221</v>
      </c>
      <c r="N33" s="3">
        <v>46036</v>
      </c>
    </row>
    <row r="34" spans="1:14">
      <c r="A34">
        <f>IF(B34&lt;&gt;"",MAX($A$1:A33)+1,"")</f>
        <v>33</v>
      </c>
      <c r="B34" s="1" t="s">
        <v>81</v>
      </c>
      <c r="C34" s="1" t="s">
        <v>82</v>
      </c>
      <c r="D34" s="1" t="s">
        <v>349</v>
      </c>
      <c r="E34" s="1" t="s">
        <v>273</v>
      </c>
      <c r="F34" s="1" t="s">
        <v>350</v>
      </c>
      <c r="H34" s="12">
        <v>919164409734</v>
      </c>
      <c r="J34" s="1" t="s">
        <v>275</v>
      </c>
      <c r="K34" s="1" t="s">
        <v>276</v>
      </c>
      <c r="L34" t="s">
        <v>221</v>
      </c>
      <c r="N34" s="3">
        <v>45807</v>
      </c>
    </row>
    <row r="35" spans="1:14">
      <c r="A35">
        <f>IF(B35&lt;&gt;"",MAX($A$1:A34)+1,"")</f>
        <v>34</v>
      </c>
      <c r="B35" s="1" t="s">
        <v>351</v>
      </c>
      <c r="C35" s="1" t="s">
        <v>352</v>
      </c>
      <c r="D35" s="1" t="s">
        <v>353</v>
      </c>
      <c r="E35" s="1" t="s">
        <v>273</v>
      </c>
      <c r="F35" s="1" t="s">
        <v>354</v>
      </c>
      <c r="H35" s="12">
        <v>919819332161</v>
      </c>
      <c r="J35" s="1" t="s">
        <v>305</v>
      </c>
      <c r="K35" s="1" t="s">
        <v>306</v>
      </c>
      <c r="L35" t="s">
        <v>221</v>
      </c>
      <c r="N35" s="3">
        <v>45807</v>
      </c>
    </row>
    <row r="36" spans="1:14">
      <c r="A36">
        <f>IF(B36&lt;&gt;"",MAX($A$1:A35)+1,"")</f>
        <v>35</v>
      </c>
      <c r="B36" s="1" t="s">
        <v>181</v>
      </c>
      <c r="C36" s="1" t="s">
        <v>182</v>
      </c>
      <c r="D36" s="1" t="s">
        <v>339</v>
      </c>
      <c r="E36" s="1"/>
      <c r="F36" s="1" t="s">
        <v>355</v>
      </c>
      <c r="H36" s="12">
        <v>9986438603</v>
      </c>
      <c r="J36" s="1"/>
      <c r="K36" s="1"/>
      <c r="N36" s="3">
        <v>46036</v>
      </c>
    </row>
    <row r="37" spans="1:14">
      <c r="A37">
        <f>IF(B37&lt;&gt;"",MAX($A$1:A36)+1,"")</f>
        <v>36</v>
      </c>
      <c r="B37" s="1" t="s">
        <v>119</v>
      </c>
      <c r="C37" s="1" t="s">
        <v>356</v>
      </c>
      <c r="D37" s="1" t="s">
        <v>357</v>
      </c>
      <c r="E37" s="1" t="s">
        <v>273</v>
      </c>
      <c r="F37" s="1" t="s">
        <v>358</v>
      </c>
      <c r="H37" s="12"/>
      <c r="J37" s="1"/>
      <c r="K37" s="1"/>
      <c r="N37" s="3">
        <v>45807</v>
      </c>
    </row>
    <row r="38" spans="1:14">
      <c r="A38">
        <f>IF(B38&lt;&gt;"",MAX($A$1:A37)+1,"")</f>
        <v>37</v>
      </c>
      <c r="B38" s="1" t="s">
        <v>119</v>
      </c>
      <c r="C38" s="1" t="s">
        <v>120</v>
      </c>
      <c r="D38" s="1" t="s">
        <v>359</v>
      </c>
      <c r="E38" s="1" t="s">
        <v>273</v>
      </c>
      <c r="F38" s="1" t="s">
        <v>360</v>
      </c>
      <c r="H38" s="12">
        <v>919886629962</v>
      </c>
      <c r="J38" s="1"/>
      <c r="K38" s="1"/>
      <c r="N38" s="3">
        <v>45807</v>
      </c>
    </row>
    <row r="39" spans="1:14">
      <c r="A39">
        <v>38</v>
      </c>
      <c r="B39" t="s">
        <v>361</v>
      </c>
      <c r="C39" t="s">
        <v>205</v>
      </c>
      <c r="E39" t="s">
        <v>273</v>
      </c>
      <c r="F39" s="13" t="s">
        <v>362</v>
      </c>
      <c r="H39" s="14"/>
      <c r="N39" s="2"/>
    </row>
    <row r="40" spans="1:14">
      <c r="A40" t="str">
        <f>IF(B40&lt;&gt;"",MAX($A$1:A39)+1,"")</f>
        <v/>
      </c>
      <c r="H40" s="14"/>
      <c r="N40" s="2"/>
    </row>
    <row r="41" spans="1:14">
      <c r="A41" t="str">
        <f>IF(B41&lt;&gt;"",MAX($A$1:A40)+1,"")</f>
        <v/>
      </c>
      <c r="H41" s="14"/>
      <c r="N41" s="2"/>
    </row>
    <row r="42" spans="1:14">
      <c r="A42" t="str">
        <f>IF(B42&lt;&gt;"",MAX($A$1:A41)+1,"")</f>
        <v/>
      </c>
      <c r="H42" s="14"/>
      <c r="N42" s="2"/>
    </row>
    <row r="43" spans="1:14">
      <c r="A43" t="str">
        <f>IF(B43&lt;&gt;"",MAX($A$1:A42)+1,"")</f>
        <v/>
      </c>
      <c r="H43" s="14"/>
      <c r="N43" s="2"/>
    </row>
    <row r="44" spans="1:14">
      <c r="A44" t="str">
        <f>IF(B44&lt;&gt;"",MAX($A$1:A43)+1,"")</f>
        <v/>
      </c>
      <c r="H44" s="14"/>
      <c r="N44" s="2"/>
    </row>
    <row r="45" spans="1:14">
      <c r="A45" t="str">
        <f>IF(B45&lt;&gt;"",MAX($A$1:A44)+1,"")</f>
        <v/>
      </c>
      <c r="H45" s="14"/>
      <c r="N45" s="2"/>
    </row>
    <row r="46" spans="1:14">
      <c r="A46" t="str">
        <f>IF(B46&lt;&gt;"",MAX($A$1:A45)+1,"")</f>
        <v/>
      </c>
      <c r="H46" s="14"/>
      <c r="N46" s="2"/>
    </row>
    <row r="47" spans="1:14">
      <c r="A47" t="str">
        <f>IF(B47&lt;&gt;"",MAX($A$1:A46)+1,"")</f>
        <v/>
      </c>
      <c r="H47" s="14"/>
      <c r="N47" s="2"/>
    </row>
    <row r="48" spans="1:14">
      <c r="A48" t="str">
        <f>IF(B48&lt;&gt;"",MAX($A$1:A47)+1,"")</f>
        <v/>
      </c>
      <c r="H48" s="14"/>
      <c r="N48" s="2"/>
    </row>
    <row r="49" spans="1:14">
      <c r="A49" t="str">
        <f>IF(B49&lt;&gt;"",MAX($A$1:A48)+1,"")</f>
        <v/>
      </c>
      <c r="H49" s="14"/>
      <c r="N49" s="2"/>
    </row>
    <row r="50" spans="1:14">
      <c r="A50" t="str">
        <f>IF(B50&lt;&gt;"",MAX($A$1:A49)+1,"")</f>
        <v/>
      </c>
      <c r="H50" s="14"/>
      <c r="N50" s="2"/>
    </row>
    <row r="51" spans="1:14">
      <c r="A51" t="str">
        <f>IF(B51&lt;&gt;"",MAX($A$1:A50)+1,"")</f>
        <v/>
      </c>
      <c r="H51" s="14"/>
      <c r="N51" s="2"/>
    </row>
    <row r="52" spans="1:14">
      <c r="A52" t="str">
        <f>IF(B52&lt;&gt;"",MAX($A$1:A51)+1,"")</f>
        <v/>
      </c>
      <c r="H52" s="14"/>
      <c r="N52" s="2"/>
    </row>
    <row r="53" spans="1:14">
      <c r="A53" t="str">
        <f>IF(B53&lt;&gt;"",MAX($A$1:A52)+1,"")</f>
        <v/>
      </c>
      <c r="H53" s="14"/>
      <c r="N53" s="2"/>
    </row>
    <row r="54" spans="1:14">
      <c r="A54" t="str">
        <f>IF(B54&lt;&gt;"",MAX($A$1:A53)+1,"")</f>
        <v/>
      </c>
      <c r="H54" s="14"/>
      <c r="N54" s="2"/>
    </row>
    <row r="55" spans="1:14">
      <c r="A55" t="str">
        <f>IF(B55&lt;&gt;"",MAX($A$1:A54)+1,"")</f>
        <v/>
      </c>
      <c r="H55" s="14"/>
      <c r="N55" s="2"/>
    </row>
    <row r="56" spans="1:14">
      <c r="A56" t="str">
        <f>IF(B56&lt;&gt;"",MAX($A$1:A55)+1,"")</f>
        <v/>
      </c>
      <c r="H56" s="14"/>
      <c r="N56" s="2"/>
    </row>
    <row r="57" spans="1:14">
      <c r="A57" t="str">
        <f>IF(B57&lt;&gt;"",MAX($A$1:A56)+1,"")</f>
        <v/>
      </c>
      <c r="H57" s="14"/>
      <c r="N57" s="2"/>
    </row>
    <row r="58" spans="1:14">
      <c r="A58" t="str">
        <f>IF(B58&lt;&gt;"",MAX($A$1:A57)+1,"")</f>
        <v/>
      </c>
      <c r="H58" s="14"/>
      <c r="N58" s="2"/>
    </row>
    <row r="59" spans="1:14">
      <c r="A59" t="str">
        <f>IF(B59&lt;&gt;"",MAX($A$1:A58)+1,"")</f>
        <v/>
      </c>
      <c r="H59" s="14"/>
      <c r="N59" s="2"/>
    </row>
    <row r="60" spans="1:14">
      <c r="A60" t="str">
        <f>IF(B60&lt;&gt;"",MAX($A$1:A59)+1,"")</f>
        <v/>
      </c>
      <c r="H60" s="14"/>
      <c r="N60" s="2"/>
    </row>
    <row r="61" spans="1:14">
      <c r="A61" t="str">
        <f>IF(B61&lt;&gt;"",MAX($A$1:A60)+1,"")</f>
        <v/>
      </c>
      <c r="H61" s="14"/>
      <c r="N61" s="2"/>
    </row>
    <row r="62" spans="1:14">
      <c r="A62" t="str">
        <f>IF(B62&lt;&gt;"",MAX($A$1:A61)+1,"")</f>
        <v/>
      </c>
      <c r="H62" s="14"/>
      <c r="N62" s="2"/>
    </row>
    <row r="63" spans="1:14">
      <c r="A63" t="str">
        <f>IF(B63&lt;&gt;"",MAX($A$1:A62)+1,"")</f>
        <v/>
      </c>
      <c r="H63" s="14"/>
      <c r="N63" s="2"/>
    </row>
    <row r="64" spans="1:14">
      <c r="A64" t="str">
        <f>IF(B64&lt;&gt;"",MAX($A$1:A63)+1,"")</f>
        <v/>
      </c>
      <c r="H64" s="14"/>
      <c r="N64" s="2"/>
    </row>
    <row r="65" spans="1:14">
      <c r="A65" t="str">
        <f>IF(B65&lt;&gt;"",MAX($A$1:A64)+1,"")</f>
        <v/>
      </c>
      <c r="H65" s="14"/>
      <c r="N65" s="2"/>
    </row>
    <row r="66" spans="1:14">
      <c r="A66" t="str">
        <f>IF(B66&lt;&gt;"",MAX($A$1:A65)+1,"")</f>
        <v/>
      </c>
      <c r="H66" s="14"/>
      <c r="N66" s="2"/>
    </row>
    <row r="67" spans="1:14">
      <c r="A67" t="str">
        <f>IF(B67&lt;&gt;"",MAX($A$1:A66)+1,"")</f>
        <v/>
      </c>
      <c r="H67" s="14"/>
      <c r="N67" s="2"/>
    </row>
    <row r="68" spans="1:14">
      <c r="A68" t="str">
        <f>IF(B68&lt;&gt;"",MAX($A$1:A67)+1,"")</f>
        <v/>
      </c>
      <c r="H68" s="14"/>
      <c r="N68" s="2"/>
    </row>
    <row r="69" spans="1:14">
      <c r="A69" t="str">
        <f>IF(B69&lt;&gt;"",MAX($A$1:A68)+1,"")</f>
        <v/>
      </c>
      <c r="H69" s="14"/>
      <c r="N69" s="2"/>
    </row>
    <row r="70" spans="1:14">
      <c r="A70" t="str">
        <f>IF(B70&lt;&gt;"",MAX($A$1:A69)+1,"")</f>
        <v/>
      </c>
      <c r="H70" s="14"/>
      <c r="N70" s="2"/>
    </row>
    <row r="71" spans="1:14">
      <c r="A71" t="str">
        <f>IF(B71&lt;&gt;"",MAX($A$1:A70)+1,"")</f>
        <v/>
      </c>
      <c r="H71" s="14"/>
      <c r="N71" s="2"/>
    </row>
    <row r="72" spans="1:14">
      <c r="A72" t="str">
        <f>IF(B72&lt;&gt;"",MAX($A$1:A71)+1,"")</f>
        <v/>
      </c>
      <c r="H72" s="14"/>
      <c r="N72" s="2"/>
    </row>
    <row r="73" spans="1:14">
      <c r="A73" t="str">
        <f>IF(B73&lt;&gt;"",MAX($A$1:A72)+1,"")</f>
        <v/>
      </c>
      <c r="H73" s="14"/>
      <c r="N73" s="2"/>
    </row>
    <row r="74" spans="1:14">
      <c r="A74" t="str">
        <f>IF(B74&lt;&gt;"",MAX($A$1:A73)+1,"")</f>
        <v/>
      </c>
      <c r="H74" s="14"/>
      <c r="N74" s="2"/>
    </row>
    <row r="75" spans="1:14">
      <c r="A75" t="str">
        <f>IF(B75&lt;&gt;"",MAX($A$1:A74)+1,"")</f>
        <v/>
      </c>
      <c r="H75" s="14"/>
      <c r="N75" s="2"/>
    </row>
    <row r="76" spans="1:14">
      <c r="A76" t="str">
        <f>IF(B76&lt;&gt;"",MAX($A$1:A75)+1,"")</f>
        <v/>
      </c>
      <c r="H76" s="14"/>
      <c r="N76" s="2"/>
    </row>
    <row r="77" spans="1:14">
      <c r="A77" t="str">
        <f>IF(B77&lt;&gt;"",MAX($A$1:A76)+1,"")</f>
        <v/>
      </c>
      <c r="H77" s="14"/>
      <c r="N77" s="2"/>
    </row>
    <row r="78" spans="1:14">
      <c r="A78" t="str">
        <f>IF(B78&lt;&gt;"",MAX($A$1:A77)+1,"")</f>
        <v/>
      </c>
      <c r="H78" s="14"/>
      <c r="N78" s="2"/>
    </row>
    <row r="79" spans="1:14">
      <c r="A79" t="str">
        <f>IF(B79&lt;&gt;"",MAX($A$1:A78)+1,"")</f>
        <v/>
      </c>
      <c r="H79" s="14"/>
      <c r="N79" s="2"/>
    </row>
    <row r="80" spans="1:14">
      <c r="A80" t="str">
        <f>IF(B80&lt;&gt;"",MAX($A$1:A79)+1,"")</f>
        <v/>
      </c>
      <c r="H80" s="14"/>
      <c r="N80" s="2"/>
    </row>
    <row r="81" spans="1:14">
      <c r="A81" t="str">
        <f>IF(B81&lt;&gt;"",MAX($A$1:A80)+1,"")</f>
        <v/>
      </c>
      <c r="H81" s="14"/>
      <c r="N81" s="2"/>
    </row>
    <row r="82" spans="1:14">
      <c r="A82" t="str">
        <f>IF(B82&lt;&gt;"",MAX($A$1:A81)+1,"")</f>
        <v/>
      </c>
      <c r="H82" s="14"/>
      <c r="N82" s="2"/>
    </row>
    <row r="83" spans="1:14">
      <c r="A83" t="str">
        <f>IF(B83&lt;&gt;"",MAX($A$1:A82)+1,"")</f>
        <v/>
      </c>
      <c r="H83" s="14"/>
      <c r="N83" s="2"/>
    </row>
    <row r="84" spans="1:14">
      <c r="A84" t="str">
        <f>IF(B84&lt;&gt;"",MAX($A$1:A83)+1,"")</f>
        <v/>
      </c>
      <c r="H84" s="14"/>
      <c r="N84" s="2"/>
    </row>
    <row r="85" spans="1:14">
      <c r="A85" t="str">
        <f>IF(B85&lt;&gt;"",MAX($A$1:A84)+1,"")</f>
        <v/>
      </c>
      <c r="H85" s="14"/>
      <c r="N85" s="2"/>
    </row>
    <row r="86" spans="1:14">
      <c r="A86" t="str">
        <f>IF(B86&lt;&gt;"",MAX($A$1:A85)+1,"")</f>
        <v/>
      </c>
      <c r="H86" s="14"/>
      <c r="N86" s="2"/>
    </row>
    <row r="87" spans="1:14">
      <c r="A87" t="str">
        <f>IF(B87&lt;&gt;"",MAX($A$1:A86)+1,"")</f>
        <v/>
      </c>
      <c r="H87" s="14"/>
      <c r="N87" s="2"/>
    </row>
    <row r="88" spans="1:14">
      <c r="A88" t="str">
        <f>IF(B88&lt;&gt;"",MAX($A$1:A87)+1,"")</f>
        <v/>
      </c>
      <c r="H88" s="14"/>
      <c r="N88" s="2"/>
    </row>
    <row r="89" spans="1:14">
      <c r="A89" t="str">
        <f>IF(B89&lt;&gt;"",MAX($A$1:A88)+1,"")</f>
        <v/>
      </c>
      <c r="H89" s="14"/>
      <c r="N89" s="2"/>
    </row>
    <row r="90" spans="1:14">
      <c r="A90" t="str">
        <f>IF(B90&lt;&gt;"",MAX($A$1:A89)+1,"")</f>
        <v/>
      </c>
      <c r="H90" s="14"/>
      <c r="N90" s="2"/>
    </row>
    <row r="91" spans="1:14">
      <c r="A91" t="str">
        <f>IF(B91&lt;&gt;"",MAX($A$1:A90)+1,"")</f>
        <v/>
      </c>
      <c r="H91" s="14"/>
      <c r="N91" s="2"/>
    </row>
    <row r="92" spans="1:14">
      <c r="A92" t="str">
        <f>IF(B92&lt;&gt;"",MAX($A$1:A91)+1,"")</f>
        <v/>
      </c>
      <c r="H92" s="14"/>
      <c r="N92" s="2"/>
    </row>
    <row r="93" spans="1:14">
      <c r="A93" t="str">
        <f>IF(B93&lt;&gt;"",MAX($A$1:A92)+1,"")</f>
        <v/>
      </c>
      <c r="H93" s="14"/>
      <c r="N93" s="2"/>
    </row>
    <row r="94" spans="1:14">
      <c r="A94" t="str">
        <f>IF(B94&lt;&gt;"",MAX($A$1:A93)+1,"")</f>
        <v/>
      </c>
      <c r="H94" s="14"/>
      <c r="N94" s="2"/>
    </row>
    <row r="95" spans="1:14">
      <c r="A95" t="str">
        <f>IF(B95&lt;&gt;"",MAX($A$1:A94)+1,"")</f>
        <v/>
      </c>
      <c r="H95" s="14"/>
      <c r="N95" s="2"/>
    </row>
    <row r="96" spans="1:14">
      <c r="A96" t="str">
        <f>IF(B96&lt;&gt;"",MAX($A$1:A95)+1,"")</f>
        <v/>
      </c>
      <c r="H96" s="14"/>
      <c r="N96" s="2"/>
    </row>
    <row r="97" spans="1:14">
      <c r="A97" t="str">
        <f>IF(B97&lt;&gt;"",MAX($A$1:A96)+1,"")</f>
        <v/>
      </c>
      <c r="H97" s="14"/>
      <c r="N97" s="2"/>
    </row>
    <row r="98" spans="1:14">
      <c r="A98" t="str">
        <f>IF(B98&lt;&gt;"",MAX($A$1:A97)+1,"")</f>
        <v/>
      </c>
      <c r="H98" s="14"/>
      <c r="N98" s="2"/>
    </row>
    <row r="99" spans="1:14">
      <c r="A99" t="str">
        <f>IF(B99&lt;&gt;"",MAX($A$1:A98)+1,"")</f>
        <v/>
      </c>
      <c r="H99" s="14"/>
      <c r="N99" s="2"/>
    </row>
    <row r="100" spans="1:14">
      <c r="A100" t="str">
        <f>IF(B100&lt;&gt;"",MAX($A$1:A99)+1,"")</f>
        <v/>
      </c>
      <c r="H100" s="14"/>
      <c r="N100" s="2"/>
    </row>
    <row r="101" spans="1:14">
      <c r="A101" t="str">
        <f>IF(B101&lt;&gt;"",MAX($A$1:A100)+1,"")</f>
        <v/>
      </c>
      <c r="H101" s="14"/>
      <c r="N101" s="2"/>
    </row>
    <row r="102" spans="1:14">
      <c r="A102" t="str">
        <f>IF(B102&lt;&gt;"",MAX($A$1:A101)+1,"")</f>
        <v/>
      </c>
      <c r="H102" s="14"/>
      <c r="N102" s="2"/>
    </row>
    <row r="103" spans="1:14">
      <c r="A103" t="str">
        <f>IF(B103&lt;&gt;"",MAX($A$1:A102)+1,"")</f>
        <v/>
      </c>
      <c r="H103" s="14"/>
      <c r="N103" s="2"/>
    </row>
    <row r="104" spans="1:14">
      <c r="A104" t="str">
        <f>IF(B104&lt;&gt;"",MAX($A$1:A103)+1,"")</f>
        <v/>
      </c>
      <c r="H104" s="14"/>
      <c r="N104" s="2"/>
    </row>
    <row r="105" spans="1:14">
      <c r="A105" t="str">
        <f>IF(B105&lt;&gt;"",MAX($A$1:A104)+1,"")</f>
        <v/>
      </c>
      <c r="H105" s="14"/>
      <c r="N105" s="2"/>
    </row>
    <row r="106" spans="1:14">
      <c r="A106" t="str">
        <f>IF(B106&lt;&gt;"",MAX($A$1:A105)+1,"")</f>
        <v/>
      </c>
      <c r="H106" s="14"/>
      <c r="N106" s="2"/>
    </row>
    <row r="107" spans="1:14">
      <c r="A107" t="str">
        <f>IF(B107&lt;&gt;"",MAX($A$1:A106)+1,"")</f>
        <v/>
      </c>
      <c r="H107" s="14"/>
      <c r="N107" s="2"/>
    </row>
    <row r="108" spans="1:14">
      <c r="A108" t="str">
        <f>IF(B108&lt;&gt;"",MAX($A$1:A107)+1,"")</f>
        <v/>
      </c>
      <c r="H108" s="14"/>
      <c r="N108" s="2"/>
    </row>
    <row r="109" spans="1:14">
      <c r="A109" t="str">
        <f>IF(B109&lt;&gt;"",MAX($A$1:A108)+1,"")</f>
        <v/>
      </c>
      <c r="H109" s="14"/>
      <c r="N109" s="2"/>
    </row>
    <row r="110" spans="1:14">
      <c r="A110" t="str">
        <f>IF(B110&lt;&gt;"",MAX($A$1:A109)+1,"")</f>
        <v/>
      </c>
      <c r="H110" s="14"/>
      <c r="N110" s="2"/>
    </row>
    <row r="111" spans="1:14">
      <c r="A111" t="str">
        <f>IF(B111&lt;&gt;"",MAX($A$1:A110)+1,"")</f>
        <v/>
      </c>
      <c r="H111" s="14"/>
      <c r="N111" s="2"/>
    </row>
    <row r="112" spans="1:14">
      <c r="A112" t="str">
        <f>IF(B112&lt;&gt;"",MAX($A$1:A111)+1,"")</f>
        <v/>
      </c>
      <c r="H112" s="14"/>
      <c r="N112" s="2"/>
    </row>
    <row r="113" spans="1:14">
      <c r="A113" t="str">
        <f>IF(B113&lt;&gt;"",MAX($A$1:A112)+1,"")</f>
        <v/>
      </c>
      <c r="H113" s="14"/>
      <c r="N113" s="2"/>
    </row>
    <row r="114" spans="1:14">
      <c r="A114" t="str">
        <f>IF(B114&lt;&gt;"",MAX($A$1:A113)+1,"")</f>
        <v/>
      </c>
      <c r="H114" s="14"/>
      <c r="N114" s="2"/>
    </row>
    <row r="115" spans="1:14">
      <c r="A115" t="str">
        <f>IF(B115&lt;&gt;"",MAX($A$1:A114)+1,"")</f>
        <v/>
      </c>
      <c r="H115" s="14"/>
      <c r="N115" s="2"/>
    </row>
    <row r="116" spans="1:14">
      <c r="A116" t="str">
        <f>IF(B116&lt;&gt;"",MAX($A$1:A115)+1,"")</f>
        <v/>
      </c>
      <c r="H116" s="14"/>
      <c r="N116" s="2"/>
    </row>
    <row r="117" spans="1:14">
      <c r="A117" t="str">
        <f>IF(B117&lt;&gt;"",MAX($A$1:A116)+1,"")</f>
        <v/>
      </c>
      <c r="H117" s="14"/>
      <c r="N117" s="2"/>
    </row>
    <row r="118" spans="1:14">
      <c r="A118" t="str">
        <f>IF(B118&lt;&gt;"",MAX($A$1:A117)+1,"")</f>
        <v/>
      </c>
      <c r="H118" s="14"/>
      <c r="N118" s="2"/>
    </row>
    <row r="119" spans="1:14">
      <c r="A119" t="str">
        <f>IF(B119&lt;&gt;"",MAX($A$1:A118)+1,"")</f>
        <v/>
      </c>
      <c r="H119" s="14"/>
      <c r="N119" s="2"/>
    </row>
    <row r="120" spans="1:14">
      <c r="A120" t="str">
        <f>IF(B120&lt;&gt;"",MAX($A$1:A119)+1,"")</f>
        <v/>
      </c>
      <c r="H120" s="14"/>
      <c r="N120" s="2"/>
    </row>
    <row r="121" spans="1:14">
      <c r="A121" t="str">
        <f>IF(B121&lt;&gt;"",MAX($A$1:A120)+1,"")</f>
        <v/>
      </c>
      <c r="H121" s="14"/>
      <c r="N121" s="2"/>
    </row>
    <row r="122" spans="1:14">
      <c r="A122" t="str">
        <f>IF(B122&lt;&gt;"",MAX($A$1:A121)+1,"")</f>
        <v/>
      </c>
      <c r="H122" s="14"/>
      <c r="N122" s="2"/>
    </row>
    <row r="123" spans="1:14">
      <c r="A123" t="str">
        <f>IF(B123&lt;&gt;"",MAX($A$1:A122)+1,"")</f>
        <v/>
      </c>
      <c r="H123" s="14"/>
      <c r="N123" s="2"/>
    </row>
    <row r="124" spans="1:14">
      <c r="A124" t="str">
        <f>IF(B124&lt;&gt;"",MAX($A$1:A123)+1,"")</f>
        <v/>
      </c>
      <c r="H124" s="14"/>
      <c r="N124" s="2"/>
    </row>
    <row r="125" spans="1:14">
      <c r="A125" t="str">
        <f>IF(B125&lt;&gt;"",MAX($A$1:A124)+1,"")</f>
        <v/>
      </c>
      <c r="H125" s="14"/>
      <c r="N125" s="2"/>
    </row>
    <row r="126" spans="1:14">
      <c r="A126" t="str">
        <f>IF(B126&lt;&gt;"",MAX($A$1:A125)+1,"")</f>
        <v/>
      </c>
      <c r="H126" s="14"/>
      <c r="N126" s="2"/>
    </row>
    <row r="127" spans="1:14">
      <c r="A127" t="str">
        <f>IF(B127&lt;&gt;"",MAX($A$1:A126)+1,"")</f>
        <v/>
      </c>
      <c r="H127" s="14"/>
      <c r="N127" s="2"/>
    </row>
    <row r="128" spans="1:14">
      <c r="A128" t="str">
        <f>IF(B128&lt;&gt;"",MAX($A$1:A127)+1,"")</f>
        <v/>
      </c>
      <c r="H128" s="14"/>
      <c r="N128" s="2"/>
    </row>
    <row r="129" spans="1:14">
      <c r="A129" t="str">
        <f>IF(B129&lt;&gt;"",MAX($A$1:A128)+1,"")</f>
        <v/>
      </c>
      <c r="H129" s="14"/>
      <c r="N129" s="2"/>
    </row>
    <row r="130" spans="1:14">
      <c r="A130" t="str">
        <f>IF(B130&lt;&gt;"",MAX($A$1:A129)+1,"")</f>
        <v/>
      </c>
      <c r="H130" s="14"/>
      <c r="N130" s="2"/>
    </row>
    <row r="131" spans="1:14">
      <c r="A131" t="str">
        <f>IF(B131&lt;&gt;"",MAX($A$1:A130)+1,"")</f>
        <v/>
      </c>
      <c r="H131" s="14"/>
      <c r="N131" s="2"/>
    </row>
    <row r="132" spans="1:14">
      <c r="A132" t="str">
        <f>IF(B132&lt;&gt;"",MAX($A$1:A131)+1,"")</f>
        <v/>
      </c>
      <c r="H132" s="14"/>
      <c r="N132" s="2"/>
    </row>
    <row r="133" spans="1:14">
      <c r="A133" t="str">
        <f>IF(B133&lt;&gt;"",MAX($A$1:A132)+1,"")</f>
        <v/>
      </c>
      <c r="H133" s="14"/>
      <c r="N133" s="2"/>
    </row>
    <row r="134" spans="1:14">
      <c r="A134" t="str">
        <f>IF(B134&lt;&gt;"",MAX($A$1:A133)+1,"")</f>
        <v/>
      </c>
      <c r="H134" s="14"/>
      <c r="N134" s="2"/>
    </row>
    <row r="135" spans="1:14">
      <c r="A135" t="str">
        <f>IF(B135&lt;&gt;"",MAX($A$1:A134)+1,"")</f>
        <v/>
      </c>
      <c r="H135" s="14"/>
      <c r="N135" s="2"/>
    </row>
    <row r="136" spans="1:14">
      <c r="A136" t="str">
        <f>IF(B136&lt;&gt;"",MAX($A$1:A135)+1,"")</f>
        <v/>
      </c>
      <c r="H136" s="14"/>
      <c r="N136" s="2"/>
    </row>
    <row r="137" spans="1:14">
      <c r="A137" t="str">
        <f>IF(B137&lt;&gt;"",MAX($A$1:A136)+1,"")</f>
        <v/>
      </c>
      <c r="H137" s="14"/>
      <c r="N137" s="2"/>
    </row>
    <row r="138" spans="1:14">
      <c r="A138" t="str">
        <f>IF(B138&lt;&gt;"",MAX($A$1:A137)+1,"")</f>
        <v/>
      </c>
      <c r="H138" s="14"/>
      <c r="N138" s="2"/>
    </row>
    <row r="139" spans="1:14">
      <c r="A139" t="str">
        <f>IF(B139&lt;&gt;"",MAX($A$1:A138)+1,"")</f>
        <v/>
      </c>
      <c r="H139" s="14"/>
      <c r="N139" s="2"/>
    </row>
    <row r="140" spans="1:14">
      <c r="A140" t="str">
        <f>IF(B140&lt;&gt;"",MAX($A$1:A139)+1,"")</f>
        <v/>
      </c>
      <c r="H140" s="14"/>
      <c r="N140" s="2"/>
    </row>
    <row r="141" spans="1:14">
      <c r="A141" t="str">
        <f>IF(B141&lt;&gt;"",MAX($A$1:A140)+1,"")</f>
        <v/>
      </c>
      <c r="H141" s="14"/>
      <c r="N141" s="2"/>
    </row>
    <row r="142" spans="1:14">
      <c r="A142" t="str">
        <f>IF(B142&lt;&gt;"",MAX($A$1:A141)+1,"")</f>
        <v/>
      </c>
      <c r="H142" s="14"/>
      <c r="N142" s="2"/>
    </row>
    <row r="143" spans="1:14">
      <c r="A143" t="str">
        <f>IF(B143&lt;&gt;"",MAX($A$1:A142)+1,"")</f>
        <v/>
      </c>
      <c r="H143" s="14"/>
      <c r="N143" s="2"/>
    </row>
    <row r="144" spans="1:14">
      <c r="A144" t="str">
        <f>IF(B144&lt;&gt;"",MAX($A$1:A143)+1,"")</f>
        <v/>
      </c>
      <c r="H144" s="14"/>
      <c r="N144" s="2"/>
    </row>
    <row r="145" spans="1:14">
      <c r="A145" t="str">
        <f>IF(B145&lt;&gt;"",MAX($A$1:A144)+1,"")</f>
        <v/>
      </c>
      <c r="H145" s="14"/>
      <c r="N145" s="2"/>
    </row>
    <row r="146" spans="1:14">
      <c r="A146" t="str">
        <f>IF(B146&lt;&gt;"",MAX($A$1:A145)+1,"")</f>
        <v/>
      </c>
      <c r="H146" s="14"/>
      <c r="N146" s="2"/>
    </row>
    <row r="147" spans="1:14">
      <c r="A147" t="str">
        <f>IF(B147&lt;&gt;"",MAX($A$1:A146)+1,"")</f>
        <v/>
      </c>
      <c r="H147" s="14"/>
      <c r="N147" s="2"/>
    </row>
    <row r="148" spans="1:14">
      <c r="A148" t="str">
        <f>IF(B148&lt;&gt;"",MAX($A$1:A147)+1,"")</f>
        <v/>
      </c>
      <c r="H148" s="14"/>
      <c r="N148" s="2"/>
    </row>
    <row r="149" spans="1:14">
      <c r="A149" t="str">
        <f>IF(B149&lt;&gt;"",MAX($A$1:A148)+1,"")</f>
        <v/>
      </c>
      <c r="H149" s="14"/>
      <c r="N149" s="2"/>
    </row>
    <row r="150" spans="1:14">
      <c r="A150" t="str">
        <f>IF(B150&lt;&gt;"",MAX($A$1:A149)+1,"")</f>
        <v/>
      </c>
      <c r="H150" s="14"/>
      <c r="N150" s="2"/>
    </row>
    <row r="151" spans="1:14">
      <c r="A151" t="str">
        <f>IF(B151&lt;&gt;"",MAX($A$1:A150)+1,"")</f>
        <v/>
      </c>
      <c r="H151" s="14"/>
      <c r="N151" s="2"/>
    </row>
    <row r="152" spans="1:14">
      <c r="A152" t="str">
        <f>IF(B152&lt;&gt;"",MAX($A$1:A151)+1,"")</f>
        <v/>
      </c>
      <c r="H152" s="14"/>
      <c r="N152" s="2"/>
    </row>
    <row r="153" spans="1:14">
      <c r="A153" t="str">
        <f>IF(B153&lt;&gt;"",MAX($A$1:A152)+1,"")</f>
        <v/>
      </c>
      <c r="H153" s="14"/>
      <c r="N153" s="2"/>
    </row>
    <row r="154" spans="1:14">
      <c r="A154" t="str">
        <f>IF(B154&lt;&gt;"",MAX($A$1:A153)+1,"")</f>
        <v/>
      </c>
      <c r="H154" s="14"/>
      <c r="N154" s="2"/>
    </row>
    <row r="155" spans="1:14">
      <c r="A155" t="str">
        <f>IF(B155&lt;&gt;"",MAX($A$1:A154)+1,"")</f>
        <v/>
      </c>
      <c r="H155" s="14"/>
      <c r="N155" s="2"/>
    </row>
    <row r="156" spans="1:14">
      <c r="A156" t="str">
        <f>IF(B156&lt;&gt;"",MAX($A$1:A155)+1,"")</f>
        <v/>
      </c>
      <c r="H156" s="14"/>
      <c r="N156" s="2"/>
    </row>
    <row r="157" spans="1:14">
      <c r="A157" t="str">
        <f>IF(B157&lt;&gt;"",MAX($A$1:A156)+1,"")</f>
        <v/>
      </c>
      <c r="H157" s="14"/>
      <c r="N157" s="2"/>
    </row>
    <row r="158" spans="1:14">
      <c r="A158" t="str">
        <f>IF(B158&lt;&gt;"",MAX($A$1:A157)+1,"")</f>
        <v/>
      </c>
      <c r="H158" s="14"/>
      <c r="N158" s="2"/>
    </row>
    <row r="159" spans="1:14">
      <c r="A159" t="str">
        <f>IF(B159&lt;&gt;"",MAX($A$1:A158)+1,"")</f>
        <v/>
      </c>
      <c r="H159" s="14"/>
      <c r="N159" s="2"/>
    </row>
    <row r="160" spans="1:14">
      <c r="A160" t="str">
        <f>IF(B160&lt;&gt;"",MAX($A$1:A159)+1,"")</f>
        <v/>
      </c>
      <c r="H160" s="14"/>
      <c r="N160" s="2"/>
    </row>
    <row r="161" spans="1:14">
      <c r="A161" t="str">
        <f>IF(B161&lt;&gt;"",MAX($A$1:A160)+1,"")</f>
        <v/>
      </c>
      <c r="H161" s="14"/>
      <c r="N161" s="2"/>
    </row>
    <row r="162" spans="1:14">
      <c r="A162" t="str">
        <f>IF(B162&lt;&gt;"",MAX($A$1:A161)+1,"")</f>
        <v/>
      </c>
      <c r="H162" s="14"/>
      <c r="N162" s="2"/>
    </row>
    <row r="163" spans="1:14">
      <c r="A163" t="str">
        <f>IF(B163&lt;&gt;"",MAX($A$1:A162)+1,"")</f>
        <v/>
      </c>
      <c r="H163" s="14"/>
      <c r="N163" s="2"/>
    </row>
    <row r="164" spans="1:14">
      <c r="A164" t="str">
        <f>IF(B164&lt;&gt;"",MAX($A$1:A163)+1,"")</f>
        <v/>
      </c>
      <c r="H164" s="14"/>
      <c r="N164" s="2"/>
    </row>
    <row r="165" spans="1:14">
      <c r="A165" t="str">
        <f>IF(B165&lt;&gt;"",MAX($A$1:A164)+1,"")</f>
        <v/>
      </c>
      <c r="H165" s="14"/>
      <c r="N165" s="2"/>
    </row>
    <row r="166" spans="1:14">
      <c r="A166" t="str">
        <f>IF(B166&lt;&gt;"",MAX($A$1:A165)+1,"")</f>
        <v/>
      </c>
      <c r="H166" s="14"/>
      <c r="N166" s="2"/>
    </row>
    <row r="167" spans="1:14">
      <c r="A167" t="str">
        <f>IF(B167&lt;&gt;"",MAX($A$1:A166)+1,"")</f>
        <v/>
      </c>
      <c r="H167" s="14"/>
      <c r="N167" s="2"/>
    </row>
    <row r="168" spans="1:14">
      <c r="A168" t="str">
        <f>IF(B168&lt;&gt;"",MAX($A$1:A167)+1,"")</f>
        <v/>
      </c>
      <c r="H168" s="14"/>
      <c r="N168" s="2"/>
    </row>
    <row r="169" spans="1:14">
      <c r="A169" t="str">
        <f>IF(B169&lt;&gt;"",MAX($A$1:A168)+1,"")</f>
        <v/>
      </c>
      <c r="H169" s="14"/>
      <c r="N169" s="2"/>
    </row>
    <row r="170" spans="1:14">
      <c r="A170" t="str">
        <f>IF(B170&lt;&gt;"",MAX($A$1:A169)+1,"")</f>
        <v/>
      </c>
      <c r="H170" s="14"/>
      <c r="N170" s="2"/>
    </row>
    <row r="171" spans="1:14">
      <c r="A171" t="str">
        <f>IF(B171&lt;&gt;"",MAX($A$1:A170)+1,"")</f>
        <v/>
      </c>
      <c r="H171" s="14"/>
      <c r="N171" s="2"/>
    </row>
    <row r="172" spans="1:14">
      <c r="A172" t="str">
        <f>IF(B172&lt;&gt;"",MAX($A$1:A171)+1,"")</f>
        <v/>
      </c>
      <c r="H172" s="14"/>
      <c r="N172" s="2"/>
    </row>
    <row r="173" spans="1:14">
      <c r="A173" t="str">
        <f>IF(B173&lt;&gt;"",MAX($A$1:A172)+1,"")</f>
        <v/>
      </c>
      <c r="H173" s="14"/>
      <c r="N173" s="2"/>
    </row>
    <row r="174" spans="1:14">
      <c r="A174" t="str">
        <f>IF(B174&lt;&gt;"",MAX($A$1:A173)+1,"")</f>
        <v/>
      </c>
      <c r="H174" s="14"/>
      <c r="N174" s="2"/>
    </row>
    <row r="175" spans="1:14">
      <c r="A175" t="str">
        <f>IF(B175&lt;&gt;"",MAX($A$1:A174)+1,"")</f>
        <v/>
      </c>
      <c r="H175" s="14"/>
      <c r="N175" s="2"/>
    </row>
    <row r="176" spans="1:14">
      <c r="A176" t="str">
        <f>IF(B176&lt;&gt;"",MAX($A$1:A175)+1,"")</f>
        <v/>
      </c>
      <c r="H176" s="14"/>
      <c r="N176" s="2"/>
    </row>
    <row r="177" spans="1:14">
      <c r="A177" t="str">
        <f>IF(B177&lt;&gt;"",MAX($A$1:A176)+1,"")</f>
        <v/>
      </c>
      <c r="H177" s="14"/>
      <c r="N177" s="2"/>
    </row>
    <row r="178" spans="1:14">
      <c r="A178" t="str">
        <f>IF(B178&lt;&gt;"",MAX($A$1:A177)+1,"")</f>
        <v/>
      </c>
      <c r="H178" s="14"/>
      <c r="N178" s="2"/>
    </row>
    <row r="179" spans="1:14">
      <c r="A179" t="str">
        <f>IF(B179&lt;&gt;"",MAX($A$1:A178)+1,"")</f>
        <v/>
      </c>
      <c r="H179" s="14"/>
      <c r="N179" s="2"/>
    </row>
    <row r="180" spans="1:14">
      <c r="A180" t="str">
        <f>IF(B180&lt;&gt;"",MAX($A$1:A179)+1,"")</f>
        <v/>
      </c>
      <c r="H180" s="14"/>
      <c r="N180" s="2"/>
    </row>
    <row r="181" spans="1:14">
      <c r="A181" t="str">
        <f>IF(B181&lt;&gt;"",MAX($A$1:A180)+1,"")</f>
        <v/>
      </c>
      <c r="H181" s="14"/>
      <c r="N181" s="2"/>
    </row>
    <row r="182" spans="1:14">
      <c r="A182" t="str">
        <f>IF(B182&lt;&gt;"",MAX($A$1:A181)+1,"")</f>
        <v/>
      </c>
      <c r="H182" s="14"/>
      <c r="N182" s="2"/>
    </row>
    <row r="183" spans="1:14">
      <c r="A183" t="str">
        <f>IF(B183&lt;&gt;"",MAX($A$1:A182)+1,"")</f>
        <v/>
      </c>
      <c r="H183" s="14"/>
      <c r="N183" s="2"/>
    </row>
    <row r="184" spans="1:14">
      <c r="A184" t="str">
        <f>IF(B184&lt;&gt;"",MAX($A$1:A183)+1,"")</f>
        <v/>
      </c>
      <c r="H184" s="14"/>
      <c r="N184" s="2"/>
    </row>
    <row r="185" spans="1:14">
      <c r="A185" t="str">
        <f>IF(B185&lt;&gt;"",MAX($A$1:A184)+1,"")</f>
        <v/>
      </c>
      <c r="H185" s="14"/>
      <c r="N185" s="2"/>
    </row>
    <row r="186" spans="1:14">
      <c r="A186" t="str">
        <f>IF(B186&lt;&gt;"",MAX($A$1:A185)+1,"")</f>
        <v/>
      </c>
      <c r="H186" s="14"/>
      <c r="N186" s="2"/>
    </row>
    <row r="187" spans="1:14">
      <c r="A187" t="str">
        <f>IF(B187&lt;&gt;"",MAX($A$1:A186)+1,"")</f>
        <v/>
      </c>
      <c r="H187" s="14"/>
      <c r="N187" s="2"/>
    </row>
    <row r="188" spans="1:14">
      <c r="A188" t="str">
        <f>IF(B188&lt;&gt;"",MAX($A$1:A187)+1,"")</f>
        <v/>
      </c>
      <c r="H188" s="14"/>
      <c r="N188" s="2"/>
    </row>
    <row r="189" spans="1:14">
      <c r="A189" t="str">
        <f>IF(B189&lt;&gt;"",MAX($A$1:A188)+1,"")</f>
        <v/>
      </c>
      <c r="H189" s="14"/>
      <c r="N189" s="2"/>
    </row>
    <row r="190" spans="1:14">
      <c r="A190" t="str">
        <f>IF(B190&lt;&gt;"",MAX($A$1:A189)+1,"")</f>
        <v/>
      </c>
      <c r="H190" s="14"/>
      <c r="N190" s="2"/>
    </row>
    <row r="191" spans="1:14">
      <c r="A191" t="str">
        <f>IF(B191&lt;&gt;"",MAX($A$1:A190)+1,"")</f>
        <v/>
      </c>
      <c r="H191" s="14"/>
      <c r="N191" s="2"/>
    </row>
    <row r="192" spans="1:14">
      <c r="A192" t="str">
        <f>IF(B192&lt;&gt;"",MAX($A$1:A191)+1,"")</f>
        <v/>
      </c>
      <c r="H192" s="14"/>
      <c r="N192" s="2"/>
    </row>
    <row r="193" spans="1:14">
      <c r="A193" t="str">
        <f>IF(B193&lt;&gt;"",MAX($A$1:A192)+1,"")</f>
        <v/>
      </c>
      <c r="H193" s="14"/>
      <c r="N193" s="2"/>
    </row>
    <row r="194" spans="1:14">
      <c r="A194" t="str">
        <f>IF(B194&lt;&gt;"",MAX($A$1:A193)+1,"")</f>
        <v/>
      </c>
      <c r="H194" s="14"/>
      <c r="N194" s="2"/>
    </row>
    <row r="195" spans="1:14">
      <c r="A195" t="str">
        <f>IF(B195&lt;&gt;"",MAX($A$1:A194)+1,"")</f>
        <v/>
      </c>
      <c r="H195" s="14"/>
      <c r="N195" s="2"/>
    </row>
    <row r="196" spans="1:14">
      <c r="A196" t="str">
        <f>IF(B196&lt;&gt;"",MAX($A$1:A195)+1,"")</f>
        <v/>
      </c>
      <c r="H196" s="14"/>
      <c r="N196" s="2"/>
    </row>
    <row r="197" spans="1:14">
      <c r="A197" t="str">
        <f>IF(B197&lt;&gt;"",MAX($A$1:A196)+1,"")</f>
        <v/>
      </c>
      <c r="H197" s="14"/>
      <c r="N197" s="2"/>
    </row>
    <row r="198" spans="1:14">
      <c r="A198" t="str">
        <f>IF(B198&lt;&gt;"",MAX($A$1:A197)+1,"")</f>
        <v/>
      </c>
      <c r="H198" s="14"/>
      <c r="N198" s="2"/>
    </row>
    <row r="199" spans="1:14">
      <c r="A199" t="str">
        <f>IF(B199&lt;&gt;"",MAX($A$1:A198)+1,"")</f>
        <v/>
      </c>
      <c r="H199" s="14"/>
      <c r="N199" s="2"/>
    </row>
    <row r="200" spans="1:14">
      <c r="A200" t="str">
        <f>IF(B200&lt;&gt;"",MAX($A$1:A199)+1,"")</f>
        <v/>
      </c>
      <c r="H200" s="14"/>
      <c r="N200" s="2"/>
    </row>
    <row r="201" spans="1:14">
      <c r="A201" t="str">
        <f>IF(B201&lt;&gt;"",MAX($A$1:A200)+1,"")</f>
        <v/>
      </c>
      <c r="H201" s="14"/>
      <c r="N201" s="2"/>
    </row>
    <row r="202" spans="1:14">
      <c r="A202" t="str">
        <f>IF(B202&lt;&gt;"",MAX($A$1:A201)+1,"")</f>
        <v/>
      </c>
      <c r="H202" s="14"/>
      <c r="N202" s="2"/>
    </row>
    <row r="203" spans="1:14">
      <c r="A203" t="str">
        <f>IF(B203&lt;&gt;"",MAX($A$1:A202)+1,"")</f>
        <v/>
      </c>
      <c r="H203" s="14"/>
      <c r="N203" s="2"/>
    </row>
    <row r="204" spans="1:14">
      <c r="A204" t="str">
        <f>IF(B204&lt;&gt;"",MAX($A$1:A203)+1,"")</f>
        <v/>
      </c>
      <c r="H204" s="14"/>
      <c r="N204" s="2"/>
    </row>
    <row r="205" spans="1:14">
      <c r="A205" t="str">
        <f>IF(B205&lt;&gt;"",MAX($A$1:A204)+1,"")</f>
        <v/>
      </c>
      <c r="H205" s="14"/>
      <c r="N205" s="2"/>
    </row>
    <row r="206" spans="1:14">
      <c r="A206" t="str">
        <f>IF(B206&lt;&gt;"",MAX($A$1:A205)+1,"")</f>
        <v/>
      </c>
      <c r="H206" s="14"/>
      <c r="N206" s="2"/>
    </row>
    <row r="207" spans="1:14">
      <c r="A207" t="str">
        <f>IF(B207&lt;&gt;"",MAX($A$1:A206)+1,"")</f>
        <v/>
      </c>
      <c r="H207" s="14"/>
      <c r="N207" s="2"/>
    </row>
    <row r="208" spans="1:14">
      <c r="A208" t="str">
        <f>IF(B208&lt;&gt;"",MAX($A$1:A207)+1,"")</f>
        <v/>
      </c>
      <c r="H208" s="14"/>
      <c r="N208" s="2"/>
    </row>
    <row r="209" spans="1:14">
      <c r="A209" t="str">
        <f>IF(B209&lt;&gt;"",MAX($A$1:A208)+1,"")</f>
        <v/>
      </c>
      <c r="H209" s="14"/>
      <c r="N209" s="2"/>
    </row>
    <row r="210" spans="1:14">
      <c r="A210" t="str">
        <f>IF(B210&lt;&gt;"",MAX($A$1:A209)+1,"")</f>
        <v/>
      </c>
      <c r="H210" s="14"/>
      <c r="N210" s="2"/>
    </row>
    <row r="211" spans="1:14">
      <c r="A211" t="str">
        <f>IF(B211&lt;&gt;"",MAX($A$1:A210)+1,"")</f>
        <v/>
      </c>
      <c r="H211" s="14"/>
      <c r="N211" s="2"/>
    </row>
    <row r="212" spans="1:14">
      <c r="A212" t="str">
        <f>IF(B212&lt;&gt;"",MAX($A$1:A211)+1,"")</f>
        <v/>
      </c>
      <c r="H212" s="14"/>
      <c r="N212" s="2"/>
    </row>
    <row r="213" spans="1:14">
      <c r="A213" t="str">
        <f>IF(B213&lt;&gt;"",MAX($A$1:A212)+1,"")</f>
        <v/>
      </c>
      <c r="H213" s="14"/>
      <c r="N213" s="2"/>
    </row>
    <row r="214" spans="1:14">
      <c r="A214" t="str">
        <f>IF(B214&lt;&gt;"",MAX($A$1:A213)+1,"")</f>
        <v/>
      </c>
      <c r="H214" s="14"/>
      <c r="N214" s="2"/>
    </row>
    <row r="215" spans="1:14">
      <c r="A215" t="str">
        <f>IF(B215&lt;&gt;"",MAX($A$1:A214)+1,"")</f>
        <v/>
      </c>
      <c r="H215" s="14"/>
      <c r="N215" s="2"/>
    </row>
    <row r="216" spans="1:14">
      <c r="A216" t="str">
        <f>IF(B216&lt;&gt;"",MAX($A$1:A215)+1,"")</f>
        <v/>
      </c>
      <c r="H216" s="14"/>
      <c r="N216" s="2"/>
    </row>
    <row r="217" spans="1:14">
      <c r="A217" t="str">
        <f>IF(B217&lt;&gt;"",MAX($A$1:A216)+1,"")</f>
        <v/>
      </c>
      <c r="H217" s="14"/>
      <c r="N217" s="2"/>
    </row>
    <row r="218" spans="1:14">
      <c r="A218" t="str">
        <f>IF(B218&lt;&gt;"",MAX($A$1:A217)+1,"")</f>
        <v/>
      </c>
      <c r="H218" s="14"/>
      <c r="N218" s="2"/>
    </row>
    <row r="219" spans="1:14">
      <c r="A219" t="str">
        <f>IF(B219&lt;&gt;"",MAX($A$1:A218)+1,"")</f>
        <v/>
      </c>
      <c r="H219" s="14"/>
      <c r="N219" s="2"/>
    </row>
    <row r="220" spans="1:14">
      <c r="A220" t="str">
        <f>IF(B220&lt;&gt;"",MAX($A$1:A219)+1,"")</f>
        <v/>
      </c>
      <c r="H220" s="14"/>
      <c r="N220" s="2"/>
    </row>
    <row r="221" spans="1:14">
      <c r="A221" t="str">
        <f>IF(B221&lt;&gt;"",MAX($A$1:A220)+1,"")</f>
        <v/>
      </c>
      <c r="H221" s="14"/>
      <c r="N221" s="2"/>
    </row>
    <row r="222" spans="1:14">
      <c r="A222" t="str">
        <f>IF(B222&lt;&gt;"",MAX($A$1:A221)+1,"")</f>
        <v/>
      </c>
      <c r="H222" s="14"/>
      <c r="N222" s="2"/>
    </row>
    <row r="223" spans="1:14">
      <c r="A223" t="str">
        <f>IF(B223&lt;&gt;"",MAX($A$1:A222)+1,"")</f>
        <v/>
      </c>
      <c r="H223" s="14"/>
      <c r="N223" s="2"/>
    </row>
    <row r="224" spans="1:14">
      <c r="A224" t="str">
        <f>IF(B224&lt;&gt;"",MAX($A$1:A223)+1,"")</f>
        <v/>
      </c>
      <c r="H224" s="14"/>
      <c r="N224" s="2"/>
    </row>
    <row r="225" spans="1:14">
      <c r="A225" t="str">
        <f>IF(B225&lt;&gt;"",MAX($A$1:A224)+1,"")</f>
        <v/>
      </c>
      <c r="H225" s="14"/>
      <c r="N225" s="2"/>
    </row>
    <row r="226" spans="1:14">
      <c r="A226" t="str">
        <f>IF(B226&lt;&gt;"",MAX($A$1:A225)+1,"")</f>
        <v/>
      </c>
      <c r="H226" s="14"/>
      <c r="N226" s="2"/>
    </row>
    <row r="227" spans="1:14">
      <c r="A227" t="str">
        <f>IF(B227&lt;&gt;"",MAX($A$1:A226)+1,"")</f>
        <v/>
      </c>
      <c r="H227" s="14"/>
      <c r="N227" s="2"/>
    </row>
    <row r="228" spans="1:14">
      <c r="A228" t="str">
        <f>IF(B228&lt;&gt;"",MAX($A$1:A227)+1,"")</f>
        <v/>
      </c>
      <c r="H228" s="14"/>
      <c r="N228" s="2"/>
    </row>
    <row r="229" spans="1:14">
      <c r="A229" t="str">
        <f>IF(B229&lt;&gt;"",MAX($A$1:A228)+1,"")</f>
        <v/>
      </c>
      <c r="H229" s="14"/>
      <c r="N229" s="2"/>
    </row>
    <row r="230" spans="1:14">
      <c r="A230" t="str">
        <f>IF(B230&lt;&gt;"",MAX($A$1:A229)+1,"")</f>
        <v/>
      </c>
      <c r="H230" s="14"/>
      <c r="N230" s="2"/>
    </row>
    <row r="231" spans="1:14">
      <c r="A231" t="str">
        <f>IF(B231&lt;&gt;"",MAX($A$1:A230)+1,"")</f>
        <v/>
      </c>
      <c r="H231" s="14"/>
      <c r="N231" s="2"/>
    </row>
    <row r="232" spans="1:14">
      <c r="A232" t="str">
        <f>IF(B232&lt;&gt;"",MAX($A$1:A231)+1,"")</f>
        <v/>
      </c>
      <c r="H232" s="14"/>
      <c r="N232" s="2"/>
    </row>
    <row r="233" spans="1:14">
      <c r="A233" t="str">
        <f>IF(B233&lt;&gt;"",MAX($A$1:A232)+1,"")</f>
        <v/>
      </c>
      <c r="H233" s="14"/>
      <c r="N233" s="2"/>
    </row>
    <row r="234" spans="1:14">
      <c r="A234" t="str">
        <f>IF(B234&lt;&gt;"",MAX($A$1:A233)+1,"")</f>
        <v/>
      </c>
      <c r="H234" s="14"/>
      <c r="N234" s="2"/>
    </row>
    <row r="235" spans="1:14">
      <c r="A235" t="str">
        <f>IF(B235&lt;&gt;"",MAX($A$1:A234)+1,"")</f>
        <v/>
      </c>
      <c r="H235" s="14"/>
      <c r="N235" s="2"/>
    </row>
    <row r="236" spans="1:14">
      <c r="A236" t="str">
        <f>IF(B236&lt;&gt;"",MAX($A$1:A235)+1,"")</f>
        <v/>
      </c>
      <c r="H236" s="14"/>
      <c r="N236" s="2"/>
    </row>
    <row r="237" spans="1:14">
      <c r="A237" t="str">
        <f>IF(B237&lt;&gt;"",MAX($A$1:A236)+1,"")</f>
        <v/>
      </c>
      <c r="H237" s="14"/>
      <c r="N237" s="2"/>
    </row>
    <row r="238" spans="1:14">
      <c r="A238" t="str">
        <f>IF(B238&lt;&gt;"",MAX($A$1:A237)+1,"")</f>
        <v/>
      </c>
      <c r="H238" s="14"/>
      <c r="N238" s="2"/>
    </row>
    <row r="239" spans="1:14">
      <c r="A239" t="str">
        <f>IF(B239&lt;&gt;"",MAX($A$1:A238)+1,"")</f>
        <v/>
      </c>
      <c r="H239" s="14"/>
      <c r="N239" s="2"/>
    </row>
    <row r="240" spans="1:14">
      <c r="A240" t="str">
        <f>IF(B240&lt;&gt;"",MAX($A$1:A239)+1,"")</f>
        <v/>
      </c>
      <c r="H240" s="14"/>
      <c r="N240" s="2"/>
    </row>
    <row r="241" spans="1:14">
      <c r="A241" t="str">
        <f>IF(B241&lt;&gt;"",MAX($A$1:A240)+1,"")</f>
        <v/>
      </c>
      <c r="H241" s="14"/>
      <c r="N241" s="2"/>
    </row>
    <row r="242" spans="1:14">
      <c r="A242" t="str">
        <f>IF(B242&lt;&gt;"",MAX($A$1:A241)+1,"")</f>
        <v/>
      </c>
      <c r="H242" s="14"/>
      <c r="N242" s="2"/>
    </row>
    <row r="243" spans="1:14">
      <c r="A243" t="str">
        <f>IF(B243&lt;&gt;"",MAX($A$1:A242)+1,"")</f>
        <v/>
      </c>
      <c r="H243" s="14"/>
      <c r="N243" s="2"/>
    </row>
    <row r="244" spans="1:14">
      <c r="A244" t="str">
        <f>IF(B244&lt;&gt;"",MAX($A$1:A243)+1,"")</f>
        <v/>
      </c>
      <c r="H244" s="14"/>
      <c r="N244" s="2"/>
    </row>
    <row r="245" spans="1:14">
      <c r="A245" t="str">
        <f>IF(B245&lt;&gt;"",MAX($A$1:A244)+1,"")</f>
        <v/>
      </c>
      <c r="H245" s="14"/>
      <c r="N245" s="2"/>
    </row>
    <row r="246" spans="1:14">
      <c r="A246" t="str">
        <f>IF(B246&lt;&gt;"",MAX($A$1:A245)+1,"")</f>
        <v/>
      </c>
      <c r="H246" s="14"/>
      <c r="N246" s="2"/>
    </row>
    <row r="247" spans="1:14">
      <c r="A247" t="str">
        <f>IF(B247&lt;&gt;"",MAX($A$1:A246)+1,"")</f>
        <v/>
      </c>
      <c r="H247" s="14"/>
      <c r="N247" s="2"/>
    </row>
    <row r="248" spans="1:14">
      <c r="A248" t="str">
        <f>IF(B248&lt;&gt;"",MAX($A$1:A247)+1,"")</f>
        <v/>
      </c>
      <c r="H248" s="14"/>
      <c r="N248" s="2"/>
    </row>
    <row r="249" spans="1:14">
      <c r="A249" t="str">
        <f>IF(B249&lt;&gt;"",MAX($A$1:A248)+1,"")</f>
        <v/>
      </c>
      <c r="H249" s="14"/>
      <c r="N249" s="2"/>
    </row>
    <row r="250" spans="1:14">
      <c r="A250" t="str">
        <f>IF(B250&lt;&gt;"",MAX($A$1:A249)+1,"")</f>
        <v/>
      </c>
      <c r="H250" s="14"/>
      <c r="N250" s="2"/>
    </row>
    <row r="251" spans="1:14">
      <c r="A251" t="str">
        <f>IF(B251&lt;&gt;"",MAX($A$1:A250)+1,"")</f>
        <v/>
      </c>
      <c r="H251" s="14"/>
      <c r="N251" s="2"/>
    </row>
    <row r="252" spans="1:14">
      <c r="A252" t="str">
        <f>IF(B252&lt;&gt;"",MAX($A$1:A251)+1,"")</f>
        <v/>
      </c>
      <c r="H252" s="14"/>
      <c r="N252" s="2"/>
    </row>
    <row r="253" spans="1:14">
      <c r="A253" t="str">
        <f>IF(B253&lt;&gt;"",MAX($A$1:A252)+1,"")</f>
        <v/>
      </c>
      <c r="H253" s="14"/>
      <c r="N253" s="2"/>
    </row>
    <row r="254" spans="1:14">
      <c r="A254" t="str">
        <f>IF(B254&lt;&gt;"",MAX($A$1:A253)+1,"")</f>
        <v/>
      </c>
      <c r="H254" s="14"/>
      <c r="N254" s="2"/>
    </row>
    <row r="255" spans="1:14">
      <c r="A255" t="str">
        <f>IF(B255&lt;&gt;"",MAX($A$1:A254)+1,"")</f>
        <v/>
      </c>
      <c r="H255" s="14"/>
      <c r="N255" s="2"/>
    </row>
    <row r="256" spans="1:14">
      <c r="A256" t="str">
        <f>IF(B256&lt;&gt;"",MAX($A$1:A255)+1,"")</f>
        <v/>
      </c>
      <c r="H256" s="14"/>
      <c r="N256" s="2"/>
    </row>
    <row r="257" spans="1:14">
      <c r="A257" t="str">
        <f>IF(B257&lt;&gt;"",MAX($A$1:A256)+1,"")</f>
        <v/>
      </c>
      <c r="H257" s="14"/>
      <c r="N257" s="2"/>
    </row>
    <row r="258" spans="1:14">
      <c r="A258" t="str">
        <f>IF(B258&lt;&gt;"",MAX($A$1:A257)+1,"")</f>
        <v/>
      </c>
      <c r="H258" s="14"/>
      <c r="N258" s="2"/>
    </row>
    <row r="259" spans="1:14">
      <c r="A259" t="str">
        <f>IF(B259&lt;&gt;"",MAX($A$1:A258)+1,"")</f>
        <v/>
      </c>
      <c r="H259" s="14"/>
      <c r="N259" s="2"/>
    </row>
    <row r="260" spans="1:14">
      <c r="A260" t="str">
        <f>IF(B260&lt;&gt;"",MAX($A$1:A259)+1,"")</f>
        <v/>
      </c>
      <c r="H260" s="14"/>
      <c r="N260" s="2"/>
    </row>
    <row r="261" spans="1:14">
      <c r="A261" t="str">
        <f>IF(B261&lt;&gt;"",MAX($A$1:A260)+1,"")</f>
        <v/>
      </c>
      <c r="H261" s="14"/>
      <c r="N261" s="2"/>
    </row>
  </sheetData>
  <protectedRanges>
    <protectedRange sqref="B1:N38" name="Range1"/>
  </protectedRanges>
  <hyperlinks>
    <hyperlink ref="F39" r:id="rId1" xr:uid="{3A1E666B-F8DB-452A-ACD8-7762E35FE0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A. Spoorthi Rai</cp:lastModifiedBy>
  <cp:revision/>
  <dcterms:created xsi:type="dcterms:W3CDTF">2026-03-31T05:39:16Z</dcterms:created>
  <dcterms:modified xsi:type="dcterms:W3CDTF">2026-04-02T06:15:18Z</dcterms:modified>
  <cp:category/>
  <cp:contentStatus/>
</cp:coreProperties>
</file>